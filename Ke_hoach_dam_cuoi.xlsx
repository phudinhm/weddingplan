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ướng dẫn" sheetId="1" state="visible" r:id="rId3"/>
    <sheet name="Giả định" sheetId="2" state="visible" r:id="rId4"/>
    <sheet name="Chi phí" sheetId="3" state="visible" r:id="rId5"/>
    <sheet name="Hòa vốn" sheetId="4" state="visible" r:id="rId6"/>
    <sheet name="Dòng tiền" sheetId="5" state="visible" r:id="rId7"/>
    <sheet name="Phương án" sheetId="6" state="visible" r:id="rId8"/>
    <sheet name="Mô phỏng"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<sst xmlns="http://schemas.openxmlformats.org/spreadsheetml/2006/main" count="402" uniqueCount="291">
  <si>
    <t xml:space="preserve">Kế hoạch đám cưới và mô phỏng hòa vốn</t>
  </si>
  <si>
    <t xml:space="preserve">Mục đích</t>
  </si>
  <si>
    <t xml:space="preserve">Trả lời hai câu hỏi: (1) tổng chi phí đám cưới đầy đủ là bao nhiêu, (2) cần bao nhiêu khách đến thì tiền mừng bù được chi phí, tức không lỗ.</t>
  </si>
  <si>
    <t xml:space="preserve">Cách dùng 4 bước</t>
  </si>
  <si>
    <t xml:space="preserve">Bước 1: vào sheet Giả định, chỉnh số khách mời, tỷ lệ đến, và đặc biệt mức mừng trung bình mỗi phong bì (ô vàng).
Bước 2: vào sheet Chi phí, thay đơn giá bằng báo giá thật, tắt (0) hoặc thêm hạng mục.
Bước 3: xem sheet Hòa vốn để đọc điểm hòa vốn, biểu đồ và bảng độ nhạy.
Bước 4: thử vài kịch bản (khách ít, mừng thấp, tiệc rẻ hơn) và so sánh.</t>
  </si>
  <si>
    <t xml:space="preserve">Màu sắc</t>
  </si>
  <si>
    <t xml:space="preserve">Chữ xanh dương = ô bạn nhập. Chữ đen = công thức, đừng ghi đè. Chữ xanh lá = lấy số từ sheet khác. Nền vàng = giả định nhạy nhất.</t>
  </si>
  <si>
    <t xml:space="preserve">Số trong file là gì</t>
  </si>
  <si>
    <t xml:space="preserve">Giá bàn tiệc, VAT và phí phục vụ được lấy từ khảo sát TP.HCM 2026 (xem dòng Nguồn bên dưới) rồi cộng thêm buffer. Mọi hạng mục khác (trang trí, ảnh, váy, MC...) và mức mừng là ƯỚC TÍNH của Claude, vì không tìm được bảng giá hay thống kê TP.HCM đáng tin. Chưa có báo giá nhà hàng nào, nên bạn cần thay bằng báo giá thật trước khi ra quyết định.</t>
  </si>
  <si>
    <t xml:space="preserve">Nguồn khảo sát (TP.HCM)</t>
  </si>
  <si>
    <t xml:space="preserve">Phần lớn là trang quảng cáo của sảnh tiệc và đơn vị dịch vụ, đăng cách đây vài tháng, chưa kiểm chứng:
- tonywedding.vn/bang-gia-nha-hang-tiec-cuoi (giá bàn theo sảnh)
- asiana-plaza.com/bang-gia-nha-hang-tiec-cuoi-tphcm (4.5 đến 7.18 triệu/bàn)
- capellagallery.com, whitewedding.vn, chungdoi.com (khung giá theo khu vực, mùa vụ, phụ thu 5% đến 10% cộng VAT)
- Nghị quyết 204/2025/QH15: VAT 8% đến hết 31/12/2026
- vnexpress.net/an-cuoi-dat-do-4810963.html (ví dụ mức mừng 500,000 mỗi người)
Không có khảo sát nào về mức mừng trung bình hay tỷ lệ khách đến ở TP.HCM.</t>
  </si>
  <si>
    <t xml:space="preserve">Hai điểm hòa vốn</t>
  </si>
  <si>
    <t xml:space="preserve">Toàn bộ chi phí: gồm cả tiệc, nghi lễ, váy, ảnh, nhẫn. Chỉ phần tiệc: chỉ so tiền mừng với chi phí tiệc. Điểm 'lần đầu không lỗ' có thể tụt lại thành lỗ ở số khách kế tiếp vì nhà hàng tính theo bàn nguyên (bước nhảy). Dùng điểm 'an toàn' để lập kế hoạch.</t>
  </si>
  <si>
    <t xml:space="preserve">Phương án không lỗ</t>
  </si>
  <si>
    <t xml:space="preserve">Sheet Phương án so sánh kịch bản hiện tại với 3 phương án dùng bản chi phí gọn (cột L ở sheet Chi phí). Dòng 'Mừng TB mỗi phong bì tối thiểu để không lỗ' cho biết mức mừng bạn cần thực sự nhận được. Nếu mức đó cao hơn mức mừng bạn tin là có thể, phương án chưa khả thi và bạn cần cắt thêm hoặc chuẩn bị nguồn bù.</t>
  </si>
  <si>
    <t xml:space="preserve">Mẹo kiểm soát</t>
  </si>
  <si>
    <t xml:space="preserve">1) Gửi thiệp 4 đến 6 tuần trước, yêu cầu xác nhận (RSVP) ít nhất 10 đến 14 ngày trước ngày cưới.
2) Chốt số bàn chính thức với nhà hàng ở khoảng 90% số người đã xác nhận, phần còn lại dùng bàn dự phòng của sảnh.
3) Chia khách thành nhóm: nhóm thân (đến 95% đến 100%, mừng cao) và nhóm xã giao (đến khoảng 60% đến 70%, nhiều người chỉ gửi mừng). Nhập tỷ lệ đến bình quân đã gia quyền vào sheet Giả định.
4) Sheet Dòng tiền cho biết cần gom bao nhiêu tiền mặt trước ngày cưới.</t>
  </si>
  <si>
    <t xml:space="preserve">Lưu ý quan trọng</t>
  </si>
  <si>
    <t xml:space="preserve">1) Tiền mừng cưới là khoản có tính hồi lễ (bạn sẽ đi mừng lại), nên 'không lỗ' ở đây chỉ là cân bằng dòng tiền.
2) Nếu cả hai họ cùng mở tiệc riêng, hãy chạy file này cho từng bên.
3) Mô hình giả định mức mừng đều. Thực tế khách thân mừng cao, đồng nghiệp mừng thấp: nên dùng trung bình từ sổ mừng thật.
4) Vàng cưới, trang sức hồi môn là tài sản giữ lại nên không tính vào chi phí.
5) Một số khoản phát sinh phụ thuộc hợp đồng (thuê sảnh, VAT, phụ thu giờ cao điểm): đọc kỹ báo giá.</t>
  </si>
  <si>
    <t xml:space="preserve">Giả định chung của đám cưới</t>
  </si>
  <si>
    <t xml:space="preserve">Chữ xanh dương = ô bạn nhập. Ô nền vàng = giả định nhạy nhất, nên chỉnh theo thực tế của bạn trước tiên.</t>
  </si>
  <si>
    <t xml:space="preserve">A. Quy mô khách và số bàn</t>
  </si>
  <si>
    <t xml:space="preserve">Số khách mời</t>
  </si>
  <si>
    <t xml:space="preserve">người</t>
  </si>
  <si>
    <t xml:space="preserve">Tổng số người bạn dự định mời (cả hai họ, bạn bè, đồng nghiệp).</t>
  </si>
  <si>
    <t xml:space="preserve">Tỷ lệ khách đến thực tế</t>
  </si>
  <si>
    <t xml:space="preserve">%</t>
  </si>
  <si>
    <t xml:space="preserve">Thường 80% đến 90% so với số mời. Đám cưới ở quê hoặc mời đồng nghiệp xa thường thấp hơn.</t>
  </si>
  <si>
    <t xml:space="preserve">Số khách đến dự kiến</t>
  </si>
  <si>
    <t xml:space="preserve">Tự tính = khách mời x tỷ lệ đến. Đây là cần gạt chính của mô phỏng.</t>
  </si>
  <si>
    <t xml:space="preserve">Số khách mỗi bàn</t>
  </si>
  <si>
    <t xml:space="preserve">người/bàn</t>
  </si>
  <si>
    <t xml:space="preserve">Chuẩn tiệc cưới Việt Nam là 10 người/bàn.</t>
  </si>
  <si>
    <t xml:space="preserve">Bàn dự phòng thêm</t>
  </si>
  <si>
    <t xml:space="preserve">bàn</t>
  </si>
  <si>
    <t xml:space="preserve">Nhà hàng thường tính đủ bàn đã đặt, nên luôn nên dự phòng ít nhất 1 bàn cho khách phát sinh.</t>
  </si>
  <si>
    <t xml:space="preserve">Số bàn tối thiểu nhà hàng yêu cầu</t>
  </si>
  <si>
    <t xml:space="preserve">Ghi theo hợp đồng nhà hàng. Dưới mức này vẫn phải trả đủ. Nhập 0 nếu không có điều khoản này.</t>
  </si>
  <si>
    <t xml:space="preserve">Số bàn phải trả</t>
  </si>
  <si>
    <t xml:space="preserve">Tự tính = lớn hơn giữa bàn tối thiểu và (khách đến / khách mỗi bàn, làm tròn lên) + bàn dự phòng.</t>
  </si>
  <si>
    <t xml:space="preserve">B. Thuế, phụ thu và dự phòng</t>
  </si>
  <si>
    <t xml:space="preserve">VAT trên các khoản đánh dấu VAT = 1</t>
  </si>
  <si>
    <t xml:space="preserve">VAT giảm còn 8% chỉ áp dụng đến 31/12/2026 (Nghị quyết 204/2025/QH15), và chưa xác nhận được dịch vụ tiệc có thuộc diện giảm không. Bạn chưa chốt ngày cưới nên Claude dùng 10% để thận trọng. Nếu cưới trước hết 2026 và hóa đơn ghi 8% thì đổi thành 0.08.</t>
  </si>
  <si>
    <t xml:space="preserve">Phí phục vụ (service charge) trên các khoản đánh dấu VAT = 1</t>
  </si>
  <si>
    <t xml:space="preserve">Các nguồn khảo sát TP.HCM ghi phí phục vụ khoảng 5% đến 10%. Claude lấy 7% (giữa khoảng, thiên cao một chút). Nhập 0 nếu báo giá ghi đã gồm phí phục vụ.</t>
  </si>
  <si>
    <t xml:space="preserve">Tổng VAT và phí phục vụ</t>
  </si>
  <si>
    <t xml:space="preserve">Tự tính. Dùng làm hệ số phụ thu trong toàn bộ mô hình.</t>
  </si>
  <si>
    <t xml:space="preserve">Quỹ dự phòng rủi ro (% tổng chi phí)</t>
  </si>
  <si>
    <t xml:space="preserve">Khuyến nghị tối thiểu 10% cho phát sinh ngày cưới (thêm bàn, đổi kế hoạch, tip, trang trí thêm).</t>
  </si>
  <si>
    <t xml:space="preserve">C. Nguồn thu từ tiền mừng cưới</t>
  </si>
  <si>
    <t xml:space="preserve">Số người trung bình mỗi phong bì</t>
  </si>
  <si>
    <t xml:space="preserve">người/phong bì</t>
  </si>
  <si>
    <t xml:space="preserve">Vì nhiều cặp đôi và gia đình đi chung một phong bì. 1.0 nghĩa là mỗi người một phong bì.</t>
  </si>
  <si>
    <t xml:space="preserve">Mức mừng trung bình mỗi phong bì (khách đến dự)</t>
  </si>
  <si>
    <t xml:space="preserve">VND</t>
  </si>
  <si>
    <t xml:space="preserve">Theo yêu cầu của bạn: lấy mức thấp nhất, 500,000 mỗi phong bì (kịch bản xấu nhất). Không có thống kê TP.HCM: ví dụ cá nhân là 500,000 mỗi người khi dự tiệc, và khoảng 1,000,000 đến 4,000,000 cho tiệc nhà hàng, khách sạn (nguồn chung, không phải khảo sát). Đây là giả định quyết định lãi hay lỗ, thay bằng số thật khi có.</t>
  </si>
  <si>
    <t xml:space="preserve">Tỷ lệ người vắng mặt vẫn gửi tiền mừng</t>
  </si>
  <si>
    <t xml:space="preserve">Giả định của Claude. Khách xã giao, đồng nghiệp thường gửi mừng mà không dự tiệc. Nhập 0 nếu muốn tính thận trọng.</t>
  </si>
  <si>
    <t xml:space="preserve">Mức mừng trung bình mỗi phong bì gửi từ người vắng mặt</t>
  </si>
  <si>
    <t xml:space="preserve">Giả định của Claude, thấp nhất như khách dự. Ví dụ cá nhân ở TP.HCM: 300,000 khi không dự tiệc.</t>
  </si>
  <si>
    <t xml:space="preserve">Mừng từ người vắng mặt tính trên mỗi khách đến</t>
  </si>
  <si>
    <t xml:space="preserve">VND/người</t>
  </si>
  <si>
    <t xml:space="preserve">Tự tính. Người vắng = khách đến x (1 - tỷ lệ đến) / tỷ lệ đến. Khoản này không phát sinh biến phí tiệc nên thu thẳng vào bù chi phí cố định.</t>
  </si>
  <si>
    <t xml:space="preserve">Thu cố định khác</t>
  </si>
  <si>
    <t xml:space="preserve">Ví dụ hỗ trợ của bố mẹ. Mặc định 0 để tính thận trọng.</t>
  </si>
  <si>
    <t xml:space="preserve">Tổng mừng trung bình mỗi khách đến</t>
  </si>
  <si>
    <t xml:space="preserve">Tự tính = mừng mỗi khách dự + mừng từ người vắng, tính trên mỗi khách đến.</t>
  </si>
  <si>
    <t xml:space="preserve">D. Mục tiêu (dùng cho công cụ đảo ngược ở sheet Hòa vốn)</t>
  </si>
  <si>
    <t xml:space="preserve">Ngân sách trần tổng chi phí</t>
  </si>
  <si>
    <t xml:space="preserve">Bạn chưa có số này nên để trống. Khi nhập, sheet Hòa vốn sẽ tính giá thực đơn tối đa mỗi bàn để không vượt trần.</t>
  </si>
  <si>
    <t xml:space="preserve">Mức lỗ chấp nhận được</t>
  </si>
  <si>
    <t xml:space="preserve">0 nghĩa là phải hòa vốn. Nhập số dương (ví dụ 30,000,000) nếu bạn chấp nhận bù một phần từ tiền của mình.</t>
  </si>
  <si>
    <t xml:space="preserve">Danh mục chi phí đám cưới (đầy đủ)</t>
  </si>
  <si>
    <t xml:space="preserve">Cách tính: Cố định = trả một lần. Theo bàn = đơn giá x số bàn. Theo khách = đơn giá x số khách đến. Cột Tính: 1 = đưa vào ngân sách, 0 = tắt. Cột VAT: 1 = chịu VAT/phụ thu. Mọi đơn giá là ước tính tham khảo của Claude cho tiệc cưới tầm trung ở đô thị, hãy thay bằng báo giá thật.</t>
  </si>
  <si>
    <t xml:space="preserve">Cột L: đơn giá của BẢN GỌN (tiệc tối giản) để sheet Phương án so sánh. Mặc định bằng giá đầy đủ nếu không cắt. Giá bản gọn là ước tính của Claude, bạn chỉnh theo thực tế. Riêng giá bàn tiệc không dùng cột này, được nhập trực tiếp ở từng phương án.</t>
  </si>
  <si>
    <t xml:space="preserve">STT</t>
  </si>
  <si>
    <t xml:space="preserve">Nhóm</t>
  </si>
  <si>
    <t xml:space="preserve">Hạng mục</t>
  </si>
  <si>
    <t xml:space="preserve">Cách tính</t>
  </si>
  <si>
    <t xml:space="preserve">Đơn giá (VND)</t>
  </si>
  <si>
    <t xml:space="preserve">Số lượng nhân</t>
  </si>
  <si>
    <t xml:space="preserve">VAT (1/0)</t>
  </si>
  <si>
    <t xml:space="preserve">Tính (1/0)</t>
  </si>
  <si>
    <t xml:space="preserve">Thành tiền kịch bản cơ sở (VND)</t>
  </si>
  <si>
    <t xml:space="preserve">Chi phí hiệu dụng mỗi đơn vị (cột phụ)</t>
  </si>
  <si>
    <t xml:space="preserve">Ghi chú / giả định</t>
  </si>
  <si>
    <t xml:space="preserve">Đơn giá BẢN GỌN (VND)</t>
  </si>
  <si>
    <t xml:space="preserve">Chi phí hiệu dụng bản gọn (cột phụ)</t>
  </si>
  <si>
    <t xml:space="preserve">1. Tiệc cưới</t>
  </si>
  <si>
    <t xml:space="preserve">Thực đơn tiệc trọn bàn (món ăn, đã gồm đồ uống)</t>
  </si>
  <si>
    <t xml:space="preserve">Theo bàn</t>
  </si>
  <si>
    <t xml:space="preserve">Theo yêu cầu của bạn: giá bàn trung bình 7 triệu, hiểu là trọn bàn gồm cả đồ uống, chưa VAT và phí phục vụ. Khảo sát TP.HCM 2026 (trang quảng cáo sảnh): phổ thông 3.3 đến 4.5 triệu, Asiana Plaza 4.5 đến 7.18, khách sạn cao hơn. Biến số lớn nhất của ngân sách, thay bằng báo giá thật.</t>
  </si>
  <si>
    <t xml:space="preserve">Đồ uống tính thêm (nếu báo giá chưa gồm)</t>
  </si>
  <si>
    <t xml:space="preserve">Đang để 0 vì giá 7 triệu đã hiểu là gồm đồ uống. Nếu nhà hàng tính đồ uống riêng, nhập thêm (ví dụ 500,000 mỗi bàn).</t>
  </si>
  <si>
    <t xml:space="preserve">Hoa và trang trí bàn tiệc</t>
  </si>
  <si>
    <t xml:space="preserve">Bình hoa hoặc nến mỗi bàn.</t>
  </si>
  <si>
    <t xml:space="preserve">Thuê sảnh / phí mặt bằng</t>
  </si>
  <si>
    <t xml:space="preserve">Cố định</t>
  </si>
  <si>
    <t xml:space="preserve">Nhiều nơi miễn phí nếu đủ số bàn tối thiểu, khi đó nhập 0.</t>
  </si>
  <si>
    <t xml:space="preserve">Trang trí sảnh: cổng hoa, backdrop, sân khấu, bàn gallery</t>
  </si>
  <si>
    <t xml:space="preserve">Gói tầm trung 15 đến 30 triệu. Hoa tươi dễ vượt ngân sách nhất, hoa lụa hoặc hoa mix rẻ hơn nhiều.</t>
  </si>
  <si>
    <t xml:space="preserve">MC, âm thanh, ánh sáng, màn hình LED</t>
  </si>
  <si>
    <t xml:space="preserve">Ca sĩ / ban nhạc / văn nghệ</t>
  </si>
  <si>
    <t xml:space="preserve">Có thể bỏ nếu tiệc gọn.</t>
  </si>
  <si>
    <t xml:space="preserve">Bánh cưới và tháp champagne</t>
  </si>
  <si>
    <t xml:space="preserve">Photobooth / khu check-in</t>
  </si>
  <si>
    <t xml:space="preserve">Hòm tiền mừng, sổ lưu bút, bảng tên bàn</t>
  </si>
  <si>
    <t xml:space="preserve">Nhân sự lễ tân, điều phối ngày cưới</t>
  </si>
  <si>
    <t xml:space="preserve">Tiền công người thân hoặc thuê ngoài.</t>
  </si>
  <si>
    <t xml:space="preserve">Tiền bồi dưỡng: quản lý sảnh, phục vụ, tài xế, bảo vệ, thợ ảnh</t>
  </si>
  <si>
    <t xml:space="preserve">Quà cảm ơn khách (bánh, kẹo, quà nhỏ)</t>
  </si>
  <si>
    <t xml:space="preserve">Theo khách</t>
  </si>
  <si>
    <t xml:space="preserve">Mỗi khách đến một phần.</t>
  </si>
  <si>
    <t xml:space="preserve">Thiệp mời và phong bì in</t>
  </si>
  <si>
    <t xml:space="preserve">Số lượng nhân 0.7 nghĩa là khoảng 0.7 thiệp cho mỗi khách đến (một thiệp cho cả cặp hoặc gia đình, cộng thiệp thừa).</t>
  </si>
  <si>
    <t xml:space="preserve">2. Lễ nghi</t>
  </si>
  <si>
    <t xml:space="preserve">Tráp và mâm quả ăn hỏi (bên mình)</t>
  </si>
  <si>
    <t xml:space="preserve">Nếu nhà trai lo tráp thì đây là khoản bên gái chuẩn bị đáp lễ, chỉnh theo vai trò của bạn.</t>
  </si>
  <si>
    <t xml:space="preserve">Tiệc ăn hỏi / họ hàng thân (số bàn nhập ở Số lượng nhân)</t>
  </si>
  <si>
    <t xml:space="preserve">5 bàn x 3 triệu. Chỉnh số bàn ở cột Số lượng nhân.</t>
  </si>
  <si>
    <t xml:space="preserve">Trang trí nhà, cổng cưới, bàn thờ gia tiên</t>
  </si>
  <si>
    <t xml:space="preserve">Xe hoa và xe rước dâu</t>
  </si>
  <si>
    <t xml:space="preserve">Đội bưng quả, bao lì xì nghi lễ</t>
  </si>
  <si>
    <t xml:space="preserve">Thường 6 đến 10 người, mỗi người một phong bì.</t>
  </si>
  <si>
    <t xml:space="preserve">Lễ lại mặt (hôm sau cưới)</t>
  </si>
  <si>
    <t xml:space="preserve">3. Trang phục và làm đẹp</t>
  </si>
  <si>
    <t xml:space="preserve">Váy cưới (thuê hoặc may) 2 đến 3 bộ</t>
  </si>
  <si>
    <t xml:space="preserve">Vest chú rể</t>
  </si>
  <si>
    <t xml:space="preserve">Áo dài gia đình hai bên</t>
  </si>
  <si>
    <t xml:space="preserve">Trang điểm và làm tóc cô dâu (ăn hỏi và ngày cưới)</t>
  </si>
  <si>
    <t xml:space="preserve">Trang điểm mẹ, phù dâu, phù rể</t>
  </si>
  <si>
    <t xml:space="preserve">Hoa cầm tay và hoa cài áo</t>
  </si>
  <si>
    <t xml:space="preserve">Phụ kiện: giày, voan, trang sức thuê</t>
  </si>
  <si>
    <t xml:space="preserve">4. Ảnh và video</t>
  </si>
  <si>
    <t xml:space="preserve">Chụp ảnh cưới (pre-wedding) và album</t>
  </si>
  <si>
    <t xml:space="preserve">Ảnh phóng sự ngày cưới</t>
  </si>
  <si>
    <t xml:space="preserve">Quay phim, flycam, video clip</t>
  </si>
  <si>
    <t xml:space="preserve">In ảnh, khung ảnh treo tại tiệc</t>
  </si>
  <si>
    <t xml:space="preserve">5. Nhẫn và giấy tờ</t>
  </si>
  <si>
    <t xml:space="preserve">Nhẫn cưới</t>
  </si>
  <si>
    <t xml:space="preserve">Vàng cưới và trang sức hồi môn là tài sản giữ lại, không tính là chi phí tiêu hao nên không đưa vào đây.</t>
  </si>
  <si>
    <t xml:space="preserve">Đăng ký kết hôn, khám sức khỏe, giấy tờ</t>
  </si>
  <si>
    <t xml:space="preserve">6. Vận hành và phát sinh</t>
  </si>
  <si>
    <t xml:space="preserve">Di chuyển và lưu trú cho người thân, khách xa</t>
  </si>
  <si>
    <t xml:space="preserve">Quà và phong bì cảm ơn người giúp việc</t>
  </si>
  <si>
    <t xml:space="preserve">Đồ ăn nhẹ, nước cho cô dâu chú rể và ekip trước giờ tiệc</t>
  </si>
  <si>
    <t xml:space="preserve">Thường bị bỏ sót.</t>
  </si>
  <si>
    <t xml:space="preserve">Cước chuyển phát thiệp cho khách xa, thiệp điện tử</t>
  </si>
  <si>
    <t xml:space="preserve">Chi phí nhỏ phát sinh trước cưới (in ấn, đi lại, điện thoại)</t>
  </si>
  <si>
    <t xml:space="preserve">7. Tùy chọn (mặc định tắt)</t>
  </si>
  <si>
    <t xml:space="preserve">Phí khui rượu / phụ thu mang đồ uống ngoài vào sảnh</t>
  </si>
  <si>
    <t xml:space="preserve">Bật 1 nếu tự mang rượu, bia vào. Nhà hàng thường thu theo chai hoặc két.</t>
  </si>
  <si>
    <t xml:space="preserve">Phí nhà thầu ngoài (điện, mặt bằng) nếu không dùng gói của sảnh</t>
  </si>
  <si>
    <t xml:space="preserve">Bật 1 nếu thuê trang trí, âm thanh bên ngoài.</t>
  </si>
  <si>
    <t xml:space="preserve">Wedding planner / điều phối viên chuyên nghiệp</t>
  </si>
  <si>
    <t xml:space="preserve">Bật 1 nếu thuê. Giúp giảm rủi ro phát sinh.</t>
  </si>
  <si>
    <t xml:space="preserve">Tiệc nhà trai (bên còn lại) nếu bạn chịu chi phí</t>
  </si>
  <si>
    <t xml:space="preserve">Bật 1 nếu bạn phải lo cả hai bên.</t>
  </si>
  <si>
    <t xml:space="preserve">Tuần trăng mật</t>
  </si>
  <si>
    <t xml:space="preserve">Không phải chi phí đám cưới, nhưng nhiều cặp đôi muốn tính chung nguồn tiền.</t>
  </si>
  <si>
    <t xml:space="preserve">Dòng trống: thêm hạng mục của bạn. Chọn nhóm giống tên nhóm ở trên để cộng đúng.</t>
  </si>
  <si>
    <t xml:space="preserve">Tổng hợp chi phí kịch bản cơ sở</t>
  </si>
  <si>
    <t xml:space="preserve">Cộng các hạng mục</t>
  </si>
  <si>
    <t xml:space="preserve">VAT và phụ thu dịch vụ</t>
  </si>
  <si>
    <t xml:space="preserve">Dự phòng phát sinh</t>
  </si>
  <si>
    <t xml:space="preserve">TỔNG CHI PHÍ</t>
  </si>
  <si>
    <t xml:space="preserve">Doanh thu tiền mừng dự kiến</t>
  </si>
  <si>
    <t xml:space="preserve">LÃI / (LỖ)</t>
  </si>
  <si>
    <t xml:space="preserve">Chi phí theo nhóm (chưa gồm VAT và dự phòng)</t>
  </si>
  <si>
    <t xml:space="preserve">Thành tiền (VND)</t>
  </si>
  <si>
    <t xml:space="preserve">% tổng</t>
  </si>
  <si>
    <t xml:space="preserve">Kiểm tra: tổng nhóm so với cộng hạng mục</t>
  </si>
  <si>
    <t xml:space="preserve">Tham số tổng hợp cho mô phỏng (không cần chỉnh)</t>
  </si>
  <si>
    <t xml:space="preserve">Phạm vi</t>
  </si>
  <si>
    <t xml:space="preserve">Cố định (VND)</t>
  </si>
  <si>
    <t xml:space="preserve">Theo bàn (VND/bàn)</t>
  </si>
  <si>
    <t xml:space="preserve">Theo khách (VND/khách)</t>
  </si>
  <si>
    <t xml:space="preserve">Cố định chịu VAT</t>
  </si>
  <si>
    <t xml:space="preserve">Theo bàn chịu VAT</t>
  </si>
  <si>
    <t xml:space="preserve">Theo khách chịu VAT</t>
  </si>
  <si>
    <t xml:space="preserve">Toàn bộ chi phí (bản đầy đủ)</t>
  </si>
  <si>
    <t xml:space="preserve">Toàn bộ chi phí (bản gọn)</t>
  </si>
  <si>
    <t xml:space="preserve">Mô phỏng hòa vốn: bao nhiêu khách đến thì không lỗ?</t>
  </si>
  <si>
    <t xml:space="preserve">Mọi số trên trang này tự cập nhật theo sheet Giả định và Chi phí. Lãi/lỗ = tiền mừng thu được trừ toàn bộ chi phí.</t>
  </si>
  <si>
    <t xml:space="preserve">1. Kịch bản cơ sở</t>
  </si>
  <si>
    <t xml:space="preserve">Tổng chi phí (VND)</t>
  </si>
  <si>
    <t xml:space="preserve">Doanh thu tiền mừng (VND)</t>
  </si>
  <si>
    <t xml:space="preserve">LÃI / (LỖ) toàn bộ (VND)</t>
  </si>
  <si>
    <t xml:space="preserve">Chi phí bình quân mỗi khách đến (VND)</t>
  </si>
  <si>
    <t xml:space="preserve">Mừng bình quân mỗi khách đến, gồm mừng từ người vắng (VND)</t>
  </si>
  <si>
    <t xml:space="preserve">Lãi/(Lỗ) nếu chỉ tính phần tiệc (VND)</t>
  </si>
  <si>
    <t xml:space="preserve">2. Điểm hòa vốn</t>
  </si>
  <si>
    <t xml:space="preserve">Chỉ tiêu</t>
  </si>
  <si>
    <t xml:space="preserve">Toàn bộ chi phí</t>
  </si>
  <si>
    <t xml:space="preserve">Chỉ phần tiệc</t>
  </si>
  <si>
    <t xml:space="preserve">Số khách ĐẾN tối thiểu, lần đầu không lỗ</t>
  </si>
  <si>
    <t xml:space="preserve">Số khách ĐẾN an toàn (từ mức này trở lên luôn không lỗ)</t>
  </si>
  <si>
    <t xml:space="preserve">Số khách MỜI tương ứng (theo tỷ lệ đến)</t>
  </si>
  <si>
    <t xml:space="preserve">Số bàn phải trả tại mức an toàn</t>
  </si>
  <si>
    <t xml:space="preserve">Mức mừng TB mỗi phong bì cần có để hòa vốn ở số khách cơ sở (VND)</t>
  </si>
  <si>
    <t xml:space="preserve">Tương đương mừng TB mỗi khách đến (VND)</t>
  </si>
  <si>
    <t xml:space="preserve">Đóng góp biên mỗi khách thêm: mừng trừ biến phí (VND)</t>
  </si>
  <si>
    <t xml:space="preserve">Hòa vốn xấp xỉ theo công thức = chi phí cố định / đóng góp biên (kiểm chéo)</t>
  </si>
  <si>
    <t xml:space="preserve">Kiểm tra: chi phí cơ sở khớp giữa sheet Chi phí và Mô phỏng</t>
  </si>
  <si>
    <t xml:space="preserve">Nếu đóng góp biên bằng hoặc dưới 0, thêm khách không bao giờ bù được chi phí cố định, cần tăng mức mừng hoặc giảm chi phí mỗi bàn. Dòng 24 bỏ qua bàn tối thiểu nên có thể lệch nhẹ so với dòng 18.</t>
  </si>
  <si>
    <t xml:space="preserve">3. Độ nhạy: Lãi/(Lỗ) TOÀN BỘ chi phí (VND). Xanh = không lỗ, đỏ = lỗ</t>
  </si>
  <si>
    <t xml:space="preserve">Khách đến (dọc) / Mừng TB mỗi phong bì (ngang)</t>
  </si>
  <si>
    <t xml:space="preserve">4. Độ nhạy: Lãi/(Lỗ) chỉ PHẦN TIỆC (VND), chưa tính váy, ảnh, nghi lễ</t>
  </si>
  <si>
    <t xml:space="preserve">5. Đảo ngược: giá thực đơn tối đa mỗi bàn (VND) để không lỗ quá mức chấp nhận</t>
  </si>
  <si>
    <t xml:space="preserve">Giá thực đơn hiện tại mỗi bàn (VND)</t>
  </si>
  <si>
    <t xml:space="preserve">Giá thực đơn tối đa để hòa vốn (lỗ không quá mức chấp nhận ở sheet Giả định), ở khách cơ sở</t>
  </si>
  <si>
    <t xml:space="preserve">Giá thực đơn tối đa để tổng chi phí không vượt ngân sách trần, ở khách cơ sở</t>
  </si>
  <si>
    <t xml:space="preserve">Giữ nguyên mọi hạng mục khác, chỉ đổi giá thực đơn. Số âm nghĩa là dù thực đơn miễn phí vẫn chưa hòa vốn, cần cắt khoản khác hoặc tăng mức mừng.</t>
  </si>
  <si>
    <t xml:space="preserve">Xanh = thực đơn hiện tại vẫn đủ hòa vốn ở mức khách và mức mừng đó. Đỏ = phải giảm giá thực đơn xuống đúng số trong ô mới hòa vốn.</t>
  </si>
  <si>
    <t xml:space="preserve">6. Đường doanh thu và chi phí theo số khách đến (dữ liệu cho biểu đồ)</t>
  </si>
  <si>
    <t xml:space="preserve">Khách đến</t>
  </si>
  <si>
    <t xml:space="preserve">Doanh thu tiền mừng</t>
  </si>
  <si>
    <t xml:space="preserve">Chi phí toàn bộ</t>
  </si>
  <si>
    <t xml:space="preserve">Chi phí chỉ tiệc</t>
  </si>
  <si>
    <t xml:space="preserve">Lãi/(Lỗ) toàn bộ</t>
  </si>
  <si>
    <t xml:space="preserve">Dòng tiền: cần sẵn bao nhiêu tiền mặt trước khi chạm phong bì?</t>
  </si>
  <si>
    <t xml:space="preserve">Chi phí phải trả trước, tiền mừng chỉ về cuối tiệc. Chỉnh tỷ lệ các mốc theo hợp đồng thật. Tỷ lệ là giả định của Claude, thay bằng điều khoản cọc của nhà hàng và nhà cung cấp.</t>
  </si>
  <si>
    <t xml:space="preserve">Mốc thanh toán</t>
  </si>
  <si>
    <t xml:space="preserve">Thời điểm</t>
  </si>
  <si>
    <t xml:space="preserve">% tổng chi phí</t>
  </si>
  <si>
    <t xml:space="preserve">Số tiền (VND)</t>
  </si>
  <si>
    <t xml:space="preserve">Lũy kế (VND)</t>
  </si>
  <si>
    <t xml:space="preserve">Trả trước khi thu phong bì (1/0)</t>
  </si>
  <si>
    <t xml:space="preserve">Cọc giữ sảnh</t>
  </si>
  <si>
    <t xml:space="preserve">6 đến 9 tháng trước</t>
  </si>
  <si>
    <t xml:space="preserve">Cọc thử món, trang trí, trang phục, ảnh</t>
  </si>
  <si>
    <t xml:space="preserve">1 đến 2 tháng trước</t>
  </si>
  <si>
    <t xml:space="preserve">Thanh toán ảnh, thiệp, váy, nghi lễ, tiền bồi dưỡng</t>
  </si>
  <si>
    <t xml:space="preserve">1 tuần trước đến ngày cưới</t>
  </si>
  <si>
    <t xml:space="preserve">Quyết toán tiệc sau khi thu phong bì</t>
  </si>
  <si>
    <t xml:space="preserve">Cuối tiệc hoặc ngay sau tiệc</t>
  </si>
  <si>
    <t xml:space="preserve">Tổng</t>
  </si>
  <si>
    <t xml:space="preserve">Kết quả</t>
  </si>
  <si>
    <t xml:space="preserve">Tiền mặt phải có sẵn trước khi chạm phong bì (VND)</t>
  </si>
  <si>
    <t xml:space="preserve">Tỷ lệ trên tổng chi phí</t>
  </si>
  <si>
    <t xml:space="preserve">Khoản phải quyết toán sau khi thu phong bì (VND)</t>
  </si>
  <si>
    <t xml:space="preserve">Tiền mừng dự kiến thu được (VND)</t>
  </si>
  <si>
    <t xml:space="preserve">Tiền mặt còn lại sau quyết toán, chưa hoàn lại phần đã trả trước (VND)</t>
  </si>
  <si>
    <t xml:space="preserve">Lãi/(Lỗ) cuối cùng (VND)</t>
  </si>
  <si>
    <t xml:space="preserve">Cách đọc: dòng 12 là vốn tự có bạn phải gom trước, không được dựa vào tiền mừng. Nên có sẵn khoảng 60% đến 70% tổng chi phí và tránh vay thẻ tín dụng lãi cao để xoay vòng tiền cọc. Dòng 16 dương nghĩa là tiền mừng đủ trả phần quyết toán cuối, nhưng phần đã ứng trước chỉ được bù khi lãi/lỗ cuối (dòng 17) không âm.</t>
  </si>
  <si>
    <t xml:space="preserve">Phương án để KHÔNG LỖ</t>
  </si>
  <si>
    <t xml:space="preserve">Cột B là kịch bản hiện tại theo sheet Giả định. Cột C đến E là các phương án bạn chỉnh (chữ xanh). Các dòng 'tối thiểu / tối đa' tính ngược: đó là điều kiện cần để P/L bằng hoặc cao hơn mức lỗ chấp nhận ở sheet Giả định.</t>
  </si>
  <si>
    <t xml:space="preserve">Tham số</t>
  </si>
  <si>
    <t xml:space="preserve">Hiện tại (theo Giả định)</t>
  </si>
  <si>
    <t xml:space="preserve">Phương án A</t>
  </si>
  <si>
    <t xml:space="preserve">Phương án B</t>
  </si>
  <si>
    <t xml:space="preserve">Phương án C</t>
  </si>
  <si>
    <t xml:space="preserve">Tên phương án</t>
  </si>
  <si>
    <t xml:space="preserve">Theo Giả định và Chi phí</t>
  </si>
  <si>
    <t xml:space="preserve">Tiệc gọn, sảnh phổ thông 4,2 triệu/bàn</t>
  </si>
  <si>
    <t xml:space="preserve">Tiệc gọn, sảnh rẻ 3,3 triệu/bàn</t>
  </si>
  <si>
    <t xml:space="preserve">Giữ bàn 7 triệu, chỉ cắt cho gọn</t>
  </si>
  <si>
    <t xml:space="preserve">Bản chi phí (1 = đầy đủ, 2 = gọn)</t>
  </si>
  <si>
    <t xml:space="preserve">Tỷ lệ khách đến</t>
  </si>
  <si>
    <t xml:space="preserve">Số khách đến</t>
  </si>
  <si>
    <t xml:space="preserve">Giá bàn trọn gói (VND/bàn, chưa VAT và phí phục vụ)</t>
  </si>
  <si>
    <t xml:space="preserve">Số người mỗi phong bì</t>
  </si>
  <si>
    <t xml:space="preserve">Mừng trung bình mỗi phong bì (VND)</t>
  </si>
  <si>
    <t xml:space="preserve">LÃI / (LỖ) (VND)</t>
  </si>
  <si>
    <t xml:space="preserve">Kết luận</t>
  </si>
  <si>
    <t xml:space="preserve">Chi phí cố định hiệu dụng, đã gồm VAT, dự phòng, bàn dự phòng (VND)</t>
  </si>
  <si>
    <t xml:space="preserve">Tính ngược: điều kiện cần để không lỗ (giữ nguyên các tham số khác)</t>
  </si>
  <si>
    <t xml:space="preserve">Mừng TB mỗi phong bì TỐI THIỂU để không lỗ (VND)</t>
  </si>
  <si>
    <t xml:space="preserve">Giá bàn TỐI ĐA để không lỗ (VND, số âm = không khả thi)</t>
  </si>
  <si>
    <t xml:space="preserve">Số khách đến xấp xỉ để hòa vốn (cố định hiệu dụng / đóng góp biên)</t>
  </si>
  <si>
    <t xml:space="preserve">Tham số tính toán (cột phụ, không cần chỉnh)</t>
  </si>
  <si>
    <t xml:space="preserve">Chi phí cố định (VND)</t>
  </si>
  <si>
    <t xml:space="preserve">Giá bàn mỗi bàn, gồm các khoản theo bàn khác (VND)</t>
  </si>
  <si>
    <t xml:space="preserve">Chi phí theo khách (VND/khách)</t>
  </si>
  <si>
    <t xml:space="preserve">Cố định chịu VAT (VND)</t>
  </si>
  <si>
    <t xml:space="preserve">Theo bàn chịu VAT (VND/bàn)</t>
  </si>
  <si>
    <t xml:space="preserve">Theo khách chịu VAT (VND/khách)</t>
  </si>
  <si>
    <t xml:space="preserve">Mừng từ người vắng mặt tính trên mỗi khách đến (VND)</t>
  </si>
  <si>
    <t xml:space="preserve">Kiểm tra: cột B khớp với sheet Hòa vốn</t>
  </si>
  <si>
    <t xml:space="preserve">Cách đọc: dòng 24 là mức mừng bình quân bạn phải THỰC SỰ nhận để không lỗ ở phương án đó. Nếu thấp hơn mức mừng bạn tin là có thể, phương án đó khả thi. Dòng 25 cho biết nếu giữ mức mừng, giá bàn phải xuống bao nhiêu.</t>
  </si>
  <si>
    <t xml:space="preserve">Bảng mô phỏng theo từng số khách đến (sheet phụ, không cần chỉnh)</t>
  </si>
  <si>
    <t xml:space="preserve">Mỗi dòng tính lại toàn bộ chi phí và doanh thu cho một số khách đến N, dựa trên sheet Giả định và Chi phí.</t>
  </si>
  <si>
    <t xml:space="preserve">Khách đến (N)</t>
  </si>
  <si>
    <t xml:space="preserve">Chi phí chỉ phần tiệc (VND)</t>
  </si>
  <si>
    <t xml:space="preserve">Chi phí toàn bộ (VND)</t>
  </si>
  <si>
    <t xml:space="preserve">Lãi/(Lỗ) toàn bộ (VND)</t>
  </si>
  <si>
    <t xml:space="preserve">Lãi/(Lỗ) chỉ phần tiệc (VND)</t>
  </si>
  <si>
    <t xml:space="preserve">Cờ N không lỗ (toàn bộ)</t>
  </si>
  <si>
    <t xml:space="preserve">Cờ N còn lỗ (toàn bộ)</t>
  </si>
  <si>
    <t xml:space="preserve">Cờ N không lỗ (tiệc)</t>
  </si>
  <si>
    <t xml:space="preserve">Cờ N còn lỗ (tiệc)</t>
  </si>
</sst>
</file>

<file path=xl/styles.xml><?xml version="1.0" encoding="utf-8"?>
<styleSheet xmlns="http://schemas.openxmlformats.org/spreadsheetml/2006/main">
  <numFmts count="7">
    <numFmt numFmtId="164" formatCode="General"/>
    <numFmt numFmtId="165" formatCode="#,##0;\(#,##0\);\-"/>
    <numFmt numFmtId="166" formatCode="0.0%"/>
    <numFmt numFmtId="167" formatCode="0.0"/>
    <numFmt numFmtId="168" formatCode="0.0#"/>
    <numFmt numFmtId="169" formatCode="0"/>
    <numFmt numFmtId="170" formatCode="#,##0,,&quot;tr&quot;"/>
  </numFmts>
  <fonts count="16">
    <font>
      <sz val="11"/>
      <color theme="1"/>
      <name val="Calibri"/>
      <family val="2"/>
      <charset val="1"/>
    </font>
    <font>
      <sz val="10"/>
      <name val="Arial"/>
      <family val="0"/>
    </font>
    <font>
      <sz val="10"/>
      <name val="Arial"/>
      <family val="0"/>
    </font>
    <font>
      <sz val="10"/>
      <name val="Arial"/>
      <family val="0"/>
    </font>
    <font>
      <b val="true"/>
      <sz val="14"/>
      <color rgb="FF1F3A5F"/>
      <name val="Arial"/>
      <family val="0"/>
      <charset val="1"/>
    </font>
    <font>
      <b val="true"/>
      <sz val="10"/>
      <name val="Arial"/>
      <family val="0"/>
      <charset val="1"/>
    </font>
    <font>
      <sz val="10"/>
      <name val="Arial"/>
      <family val="0"/>
      <charset val="1"/>
    </font>
    <font>
      <i val="true"/>
      <sz val="10"/>
      <color rgb="FF595959"/>
      <name val="Arial"/>
      <family val="0"/>
      <charset val="1"/>
    </font>
    <font>
      <sz val="10"/>
      <color rgb="FF0000FF"/>
      <name val="Arial"/>
      <family val="0"/>
      <charset val="1"/>
    </font>
    <font>
      <sz val="9"/>
      <color rgb="FF808080"/>
      <name val="Arial"/>
      <family val="0"/>
      <charset val="1"/>
    </font>
    <font>
      <b val="true"/>
      <sz val="10"/>
      <color rgb="FFFFFFFF"/>
      <name val="Arial"/>
      <family val="0"/>
      <charset val="1"/>
    </font>
    <font>
      <sz val="10"/>
      <color rgb="FF008000"/>
      <name val="Arial"/>
      <family val="0"/>
      <charset val="1"/>
    </font>
    <font>
      <b val="true"/>
      <sz val="10"/>
      <color rgb="FF0000FF"/>
      <name val="Arial"/>
      <family val="0"/>
      <charset val="1"/>
    </font>
    <font>
      <b val="true"/>
      <sz val="18"/>
      <color rgb="FF000000"/>
      <name val="Calibri"/>
      <family val="2"/>
    </font>
    <font>
      <sz val="10"/>
      <color rgb="FF000000"/>
      <name val="Calibri"/>
      <family val="2"/>
    </font>
    <font>
      <b val="true"/>
      <sz val="10"/>
      <color rgb="FF000000"/>
      <name val="Calibri"/>
      <family val="2"/>
    </font>
  </fonts>
  <fills count="6">
    <fill>
      <patternFill patternType="none"/>
    </fill>
    <fill>
      <patternFill patternType="gray125"/>
    </fill>
    <fill>
      <patternFill patternType="solid">
        <fgColor rgb="FFD9E2F3"/>
        <bgColor rgb="FFD9D9D9"/>
      </patternFill>
    </fill>
    <fill>
      <patternFill patternType="solid">
        <fgColor rgb="FFFFFF00"/>
        <bgColor rgb="FFFFFF00"/>
      </patternFill>
    </fill>
    <fill>
      <patternFill patternType="solid">
        <fgColor rgb="FF1F3A5F"/>
        <bgColor rgb="FF333333"/>
      </patternFill>
    </fill>
    <fill>
      <patternFill patternType="solid">
        <fgColor rgb="FFF2F2F2"/>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8" fillId="3"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6" fontId="8" fillId="3" borderId="1" xfId="0" applyFont="true" applyBorder="true" applyAlignment="false" applyProtection="false">
      <alignment horizontal="general" vertical="bottom" textRotation="0" wrapText="false" indent="0" shrinkToFit="false"/>
      <protection locked="true" hidden="false"/>
    </xf>
    <xf numFmtId="165" fontId="6"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6" fontId="6" fillId="0" borderId="1" xfId="0" applyFont="true" applyBorder="true" applyAlignment="false" applyProtection="false">
      <alignment horizontal="general" vertical="bottom" textRotation="0" wrapText="false" indent="0" shrinkToFit="false"/>
      <protection locked="true" hidden="false"/>
    </xf>
    <xf numFmtId="166" fontId="8" fillId="0" borderId="1" xfId="0" applyFont="true" applyBorder="true" applyAlignment="false" applyProtection="false">
      <alignment horizontal="general" vertical="bottom" textRotation="0" wrapText="false" indent="0" shrinkToFit="false"/>
      <protection locked="true" hidden="false"/>
    </xf>
    <xf numFmtId="167" fontId="8" fillId="3"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10" fillId="4"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8" fontId="8" fillId="0" borderId="1" xfId="0" applyFont="true" applyBorder="true" applyAlignment="false" applyProtection="false">
      <alignment horizontal="general" vertical="bottom" textRotation="0" wrapText="false" indent="0" shrinkToFit="false"/>
      <protection locked="true" hidden="false"/>
    </xf>
    <xf numFmtId="169" fontId="8"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center" textRotation="0" wrapText="tru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4" fontId="5" fillId="5" borderId="0" xfId="0" applyFont="true" applyBorder="false" applyAlignment="false" applyProtection="false">
      <alignment horizontal="general" vertical="bottom"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5" fontId="5" fillId="5" borderId="1" xfId="0" applyFont="true" applyBorder="true" applyAlignment="false" applyProtection="false">
      <alignment horizontal="general" vertical="bottom" textRotation="0" wrapText="false" indent="0" shrinkToFit="false"/>
      <protection locked="true" hidden="false"/>
    </xf>
    <xf numFmtId="164" fontId="10" fillId="4" borderId="0" xfId="0" applyFont="true" applyBorder="false" applyAlignment="false" applyProtection="false">
      <alignment horizontal="general" vertical="bottom" textRotation="0" wrapText="false" indent="0" shrinkToFit="false"/>
      <protection locked="true" hidden="false"/>
    </xf>
    <xf numFmtId="164" fontId="10" fillId="4" borderId="0" xfId="0" applyFont="true" applyBorder="false" applyAlignment="true" applyProtection="false">
      <alignment horizontal="center" vertical="center" textRotation="0" wrapText="tru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65" fontId="11" fillId="0"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5" fillId="3" borderId="1" xfId="0" applyFont="true" applyBorder="true" applyAlignment="false" applyProtection="false">
      <alignment horizontal="general" vertical="bottom" textRotation="0" wrapText="false" indent="0" shrinkToFit="false"/>
      <protection locked="true" hidden="false"/>
    </xf>
    <xf numFmtId="165" fontId="12" fillId="2" borderId="1" xfId="0" applyFont="true" applyBorder="true" applyAlignment="true" applyProtection="false">
      <alignment horizontal="center" vertical="center" textRotation="0" wrapText="tru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6" fontId="5" fillId="5" borderId="0" xfId="0" applyFont="true" applyBorder="false" applyAlignment="false" applyProtection="false">
      <alignment horizontal="general" vertical="bottom" textRotation="0" wrapText="false" indent="0" shrinkToFit="false"/>
      <protection locked="true" hidden="false"/>
    </xf>
    <xf numFmtId="165" fontId="5" fillId="5" borderId="0" xfId="0" applyFont="true" applyBorder="false" applyAlignment="false" applyProtection="false">
      <alignment horizontal="general" vertical="bottom" textRotation="0" wrapText="fals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9" fontId="6" fillId="0" borderId="1" xfId="0" applyFont="true" applyBorder="true" applyAlignment="false" applyProtection="false">
      <alignment horizontal="general" vertical="bottom" textRotation="0" wrapText="false" indent="0" shrinkToFit="false"/>
      <protection locked="true" hidden="false"/>
    </xf>
    <xf numFmtId="166" fontId="11" fillId="0" borderId="1" xfId="0" applyFont="true" applyBorder="true" applyAlignment="false" applyProtection="false">
      <alignment horizontal="general" vertical="bottom" textRotation="0" wrapText="false" indent="0" shrinkToFit="false"/>
      <protection locked="true" hidden="false"/>
    </xf>
    <xf numFmtId="167" fontId="11" fillId="0"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ont>
        <name val="Arial"/>
        <charset val="1"/>
        <family val="0"/>
        <color rgb="FF9C0006"/>
      </font>
      <fill>
        <patternFill>
          <bgColor rgb="FFFFC7CE"/>
        </patternFill>
      </fill>
    </dxf>
    <dxf>
      <font>
        <name val="Arial"/>
        <charset val="1"/>
        <family val="0"/>
        <color rgb="FF006100"/>
      </font>
      <fill>
        <patternFill>
          <bgColor rgb="FFC6EFCE"/>
        </patternFill>
      </fill>
    </dxf>
    <dxf>
      <font>
        <name val="Arial"/>
        <charset val="1"/>
        <family val="0"/>
        <b val="1"/>
        <color rgb="FF006100"/>
      </font>
      <fill>
        <patternFill>
          <bgColor rgb="FFC6EFCE"/>
        </patternFill>
      </fill>
    </dxf>
    <dxf>
      <font>
        <name val="Arial"/>
        <charset val="1"/>
        <family val="0"/>
        <b val="1"/>
        <color rgb="FF9C0006"/>
      </font>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BFBFBF"/>
      <rgbColor rgb="FF808080"/>
      <rgbColor rgb="FF9999FF"/>
      <rgbColor rgb="FF993366"/>
      <rgbColor rgb="FFF2F2F2"/>
      <rgbColor rgb="FFD9E2F3"/>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7CE"/>
      <rgbColor rgb="FF3366FF"/>
      <rgbColor rgb="FF33CCCC"/>
      <rgbColor rgb="FF99CC00"/>
      <rgbColor rgb="FFFFCC00"/>
      <rgbColor rgb="FFF9A825"/>
      <rgbColor rgb="FFFF6600"/>
      <rgbColor rgb="FF595959"/>
      <rgbColor rgb="FF878787"/>
      <rgbColor rgb="FF1F3A5F"/>
      <rgbColor rgb="FF2E7D32"/>
      <rgbColor rgb="FF006100"/>
      <rgbColor rgb="FF333300"/>
      <rgbColor rgb="FFC62828"/>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Doanh thu và chi phí theo số khách đến</a:t>
            </a:r>
          </a:p>
        </c:rich>
      </c:tx>
      <c:overlay val="0"/>
      <c:spPr>
        <a:noFill/>
        <a:ln w="0">
          <a:noFill/>
        </a:ln>
      </c:spPr>
    </c:title>
    <c:autoTitleDeleted val="0"/>
    <c:plotArea>
      <c:scatterChart>
        <c:scatterStyle val="line"/>
        <c:varyColors val="0"/>
        <c:ser>
          <c:idx val="0"/>
          <c:order val="0"/>
          <c:tx>
            <c:strRef>
              <c:f>"Doanh thu tiền mừng"</c:f>
              <c:strCache>
                <c:ptCount val="1"/>
                <c:pt idx="0">
                  <c:v>Doanh thu tiền mừng</c:v>
                </c:pt>
              </c:strCache>
            </c:strRef>
          </c:tx>
          <c:spPr>
            <a:solidFill>
              <a:srgbClr val="2e7d32"/>
            </a:solidFill>
            <a:ln w="28080">
              <a:solidFill>
                <a:srgbClr val="2e7d32"/>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'Hòa vốn'!$A$73:$A$97</c:f>
              <c:numCache>
                <c:formatCode>#,##0;\(#,##0\);\-</c:formatCode>
                <c:ptCount val="25"/>
                <c:pt idx="0">
                  <c:v>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pt idx="17">
                  <c:v>425</c:v>
                </c:pt>
                <c:pt idx="18">
                  <c:v>450</c:v>
                </c:pt>
                <c:pt idx="19">
                  <c:v>475</c:v>
                </c:pt>
                <c:pt idx="20">
                  <c:v>500</c:v>
                </c:pt>
                <c:pt idx="21">
                  <c:v>525</c:v>
                </c:pt>
                <c:pt idx="22">
                  <c:v>550</c:v>
                </c:pt>
                <c:pt idx="23">
                  <c:v>575</c:v>
                </c:pt>
                <c:pt idx="24">
                  <c:v>600</c:v>
                </c:pt>
              </c:numCache>
            </c:numRef>
          </c:xVal>
          <c:yVal>
            <c:numRef>
              <c:f>'Hòa vốn'!$B$73:$B$97</c:f>
              <c:numCache>
                <c:formatCode>#,##0;\(#,##0\);\-</c:formatCode>
                <c:ptCount val="25"/>
                <c:pt idx="0">
                  <c:v>0</c:v>
                </c:pt>
                <c:pt idx="1">
                  <c:v>9306722.68907563</c:v>
                </c:pt>
                <c:pt idx="2">
                  <c:v>18613445.3781513</c:v>
                </c:pt>
                <c:pt idx="3">
                  <c:v>27920168.0672269</c:v>
                </c:pt>
                <c:pt idx="4">
                  <c:v>37226890.7563025</c:v>
                </c:pt>
                <c:pt idx="5">
                  <c:v>46533613.4453782</c:v>
                </c:pt>
                <c:pt idx="6">
                  <c:v>55840336.1344538</c:v>
                </c:pt>
                <c:pt idx="7">
                  <c:v>65147058.8235294</c:v>
                </c:pt>
                <c:pt idx="8">
                  <c:v>74453781.512605</c:v>
                </c:pt>
                <c:pt idx="9">
                  <c:v>83760504.2016807</c:v>
                </c:pt>
                <c:pt idx="10">
                  <c:v>93067226.8907563</c:v>
                </c:pt>
                <c:pt idx="11">
                  <c:v>102373949.579832</c:v>
                </c:pt>
                <c:pt idx="12">
                  <c:v>111680672.268908</c:v>
                </c:pt>
                <c:pt idx="13">
                  <c:v>120987394.957983</c:v>
                </c:pt>
                <c:pt idx="14">
                  <c:v>130294117.647059</c:v>
                </c:pt>
                <c:pt idx="15">
                  <c:v>139600840.336134</c:v>
                </c:pt>
                <c:pt idx="16">
                  <c:v>148907563.02521</c:v>
                </c:pt>
                <c:pt idx="17">
                  <c:v>158214285.714286</c:v>
                </c:pt>
                <c:pt idx="18">
                  <c:v>167521008.403361</c:v>
                </c:pt>
                <c:pt idx="19">
                  <c:v>176827731.092437</c:v>
                </c:pt>
                <c:pt idx="20">
                  <c:v>186134453.781513</c:v>
                </c:pt>
                <c:pt idx="21">
                  <c:v>195441176.470588</c:v>
                </c:pt>
                <c:pt idx="22">
                  <c:v>204747899.159664</c:v>
                </c:pt>
                <c:pt idx="23">
                  <c:v>214054621.84874</c:v>
                </c:pt>
                <c:pt idx="24">
                  <c:v>223361344.537815</c:v>
                </c:pt>
              </c:numCache>
            </c:numRef>
          </c:yVal>
          <c:smooth val="0"/>
        </c:ser>
        <c:ser>
          <c:idx val="1"/>
          <c:order val="1"/>
          <c:tx>
            <c:strRef>
              <c:f>"Chi phí toàn bộ"</c:f>
              <c:strCache>
                <c:ptCount val="1"/>
                <c:pt idx="0">
                  <c:v>Chi phí toàn bộ</c:v>
                </c:pt>
              </c:strCache>
            </c:strRef>
          </c:tx>
          <c:spPr>
            <a:solidFill>
              <a:srgbClr val="c62828"/>
            </a:solidFill>
            <a:ln w="28080">
              <a:solidFill>
                <a:srgbClr val="c6282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'Hòa vốn'!$A$73:$A$97</c:f>
              <c:numCache>
                <c:formatCode>#,##0;\(#,##0\);\-</c:formatCode>
                <c:ptCount val="25"/>
                <c:pt idx="0">
                  <c:v>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pt idx="17">
                  <c:v>425</c:v>
                </c:pt>
                <c:pt idx="18">
                  <c:v>450</c:v>
                </c:pt>
                <c:pt idx="19">
                  <c:v>475</c:v>
                </c:pt>
                <c:pt idx="20">
                  <c:v>500</c:v>
                </c:pt>
                <c:pt idx="21">
                  <c:v>525</c:v>
                </c:pt>
                <c:pt idx="22">
                  <c:v>550</c:v>
                </c:pt>
                <c:pt idx="23">
                  <c:v>575</c:v>
                </c:pt>
                <c:pt idx="24">
                  <c:v>600</c:v>
                </c:pt>
              </c:numCache>
            </c:numRef>
          </c:xVal>
          <c:yVal>
            <c:numRef>
              <c:f>'Hòa vốn'!$C$73:$C$97</c:f>
              <c:numCache>
                <c:formatCode>#,##0;\(#,##0\);\-</c:formatCode>
                <c:ptCount val="25"/>
                <c:pt idx="0">
                  <c:v>339900000</c:v>
                </c:pt>
                <c:pt idx="1">
                  <c:v>340818500</c:v>
                </c:pt>
                <c:pt idx="2">
                  <c:v>341737000</c:v>
                </c:pt>
                <c:pt idx="3">
                  <c:v>342655500</c:v>
                </c:pt>
                <c:pt idx="4">
                  <c:v>343574000</c:v>
                </c:pt>
                <c:pt idx="5">
                  <c:v>344492500</c:v>
                </c:pt>
                <c:pt idx="6">
                  <c:v>354585000</c:v>
                </c:pt>
                <c:pt idx="7">
                  <c:v>383025500</c:v>
                </c:pt>
                <c:pt idx="8">
                  <c:v>402292000</c:v>
                </c:pt>
                <c:pt idx="9">
                  <c:v>430732500</c:v>
                </c:pt>
                <c:pt idx="10">
                  <c:v>449999000</c:v>
                </c:pt>
                <c:pt idx="11">
                  <c:v>478439500</c:v>
                </c:pt>
                <c:pt idx="12">
                  <c:v>497706000</c:v>
                </c:pt>
                <c:pt idx="13">
                  <c:v>526146500</c:v>
                </c:pt>
                <c:pt idx="14">
                  <c:v>545413000</c:v>
                </c:pt>
                <c:pt idx="15">
                  <c:v>573853500</c:v>
                </c:pt>
                <c:pt idx="16">
                  <c:v>593120000</c:v>
                </c:pt>
                <c:pt idx="17">
                  <c:v>621560500</c:v>
                </c:pt>
                <c:pt idx="18">
                  <c:v>640827000</c:v>
                </c:pt>
                <c:pt idx="19">
                  <c:v>669267500</c:v>
                </c:pt>
                <c:pt idx="20">
                  <c:v>688534000</c:v>
                </c:pt>
                <c:pt idx="21">
                  <c:v>716974500</c:v>
                </c:pt>
                <c:pt idx="22">
                  <c:v>736241000</c:v>
                </c:pt>
                <c:pt idx="23">
                  <c:v>764681500</c:v>
                </c:pt>
                <c:pt idx="24">
                  <c:v>783948000</c:v>
                </c:pt>
              </c:numCache>
            </c:numRef>
          </c:yVal>
          <c:smooth val="0"/>
        </c:ser>
        <c:ser>
          <c:idx val="2"/>
          <c:order val="2"/>
          <c:tx>
            <c:strRef>
              <c:f>"Chi phí chỉ tiệc"</c:f>
              <c:strCache>
                <c:ptCount val="1"/>
                <c:pt idx="0">
                  <c:v>Chi phí chỉ tiệc</c:v>
                </c:pt>
              </c:strCache>
            </c:strRef>
          </c:tx>
          <c:spPr>
            <a:solidFill>
              <a:srgbClr val="f9a825"/>
            </a:solidFill>
            <a:ln w="28080">
              <a:solidFill>
                <a:srgbClr val="f9a825"/>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'Hòa vốn'!$A$73:$A$97</c:f>
              <c:numCache>
                <c:formatCode>#,##0;\(#,##0\);\-</c:formatCode>
                <c:ptCount val="25"/>
                <c:pt idx="0">
                  <c:v>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pt idx="17">
                  <c:v>425</c:v>
                </c:pt>
                <c:pt idx="18">
                  <c:v>450</c:v>
                </c:pt>
                <c:pt idx="19">
                  <c:v>475</c:v>
                </c:pt>
                <c:pt idx="20">
                  <c:v>500</c:v>
                </c:pt>
                <c:pt idx="21">
                  <c:v>525</c:v>
                </c:pt>
                <c:pt idx="22">
                  <c:v>550</c:v>
                </c:pt>
                <c:pt idx="23">
                  <c:v>575</c:v>
                </c:pt>
                <c:pt idx="24">
                  <c:v>600</c:v>
                </c:pt>
              </c:numCache>
            </c:numRef>
          </c:xVal>
          <c:yVal>
            <c:numRef>
              <c:f>'Hòa vốn'!$D$73:$D$97</c:f>
              <c:numCache>
                <c:formatCode>#,##0;\(#,##0\);\-</c:formatCode>
                <c:ptCount val="25"/>
                <c:pt idx="0">
                  <c:v>196295000</c:v>
                </c:pt>
                <c:pt idx="1">
                  <c:v>197213500</c:v>
                </c:pt>
                <c:pt idx="2">
                  <c:v>198132000</c:v>
                </c:pt>
                <c:pt idx="3">
                  <c:v>199050500</c:v>
                </c:pt>
                <c:pt idx="4">
                  <c:v>199969000</c:v>
                </c:pt>
                <c:pt idx="5">
                  <c:v>200887500</c:v>
                </c:pt>
                <c:pt idx="6">
                  <c:v>210980000</c:v>
                </c:pt>
                <c:pt idx="7">
                  <c:v>239420500</c:v>
                </c:pt>
                <c:pt idx="8">
                  <c:v>258687000</c:v>
                </c:pt>
                <c:pt idx="9">
                  <c:v>287127500</c:v>
                </c:pt>
                <c:pt idx="10">
                  <c:v>306394000</c:v>
                </c:pt>
                <c:pt idx="11">
                  <c:v>334834500</c:v>
                </c:pt>
                <c:pt idx="12">
                  <c:v>354101000</c:v>
                </c:pt>
                <c:pt idx="13">
                  <c:v>382541500</c:v>
                </c:pt>
                <c:pt idx="14">
                  <c:v>401808000</c:v>
                </c:pt>
                <c:pt idx="15">
                  <c:v>430248500</c:v>
                </c:pt>
                <c:pt idx="16">
                  <c:v>449515000</c:v>
                </c:pt>
                <c:pt idx="17">
                  <c:v>477955500</c:v>
                </c:pt>
                <c:pt idx="18">
                  <c:v>497222000</c:v>
                </c:pt>
                <c:pt idx="19">
                  <c:v>525662500</c:v>
                </c:pt>
                <c:pt idx="20">
                  <c:v>544929000</c:v>
                </c:pt>
                <c:pt idx="21">
                  <c:v>573369500</c:v>
                </c:pt>
                <c:pt idx="22">
                  <c:v>592636000</c:v>
                </c:pt>
                <c:pt idx="23">
                  <c:v>621076500</c:v>
                </c:pt>
                <c:pt idx="24">
                  <c:v>640343000</c:v>
                </c:pt>
              </c:numCache>
            </c:numRef>
          </c:yVal>
          <c:smooth val="0"/>
        </c:ser>
        <c:axId val="96059365"/>
        <c:axId val="71637197"/>
      </c:scatterChart>
      <c:valAx>
        <c:axId val="96059365"/>
        <c:scaling>
          <c:orientation val="minMax"/>
        </c:scaling>
        <c:delete val="0"/>
        <c:axPos val="b"/>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Số khách đến</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1637197"/>
        <c:crosses val="autoZero"/>
        <c:crossBetween val="midCat"/>
      </c:valAx>
      <c:valAx>
        <c:axId val="71637197"/>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VND</a:t>
                </a:r>
              </a:p>
            </c:rich>
          </c:tx>
          <c:overlay val="0"/>
          <c:spPr>
            <a:noFill/>
            <a:ln w="0">
              <a:noFill/>
            </a:ln>
          </c:spPr>
        </c:title>
        <c:numFmt formatCode="#,##0,,&quot;tr&quot;"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6059365"/>
        <c:crosses val="autoZero"/>
        <c:crossBetween val="midCat"/>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0</xdr:colOff>
      <xdr:row>2</xdr:row>
      <xdr:rowOff>160920</xdr:rowOff>
    </xdr:from>
    <xdr:to>
      <xdr:col>11</xdr:col>
      <xdr:colOff>164520</xdr:colOff>
      <xdr:row>20</xdr:row>
      <xdr:rowOff>151560</xdr:rowOff>
    </xdr:to>
    <xdr:graphicFrame>
      <xdr:nvGraphicFramePr>
        <xdr:cNvPr id="0" name="Chart 1"/>
        <xdr:cNvGraphicFramePr/>
      </xdr:nvGraphicFramePr>
      <xdr:xfrm>
        <a:off x="8599320" y="571680"/>
        <a:ext cx="6839640" cy="34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20"/>
  </cols>
  <sheetData>
    <row r="1" customFormat="false" ht="17.35" hidden="false" customHeight="false" outlineLevel="0" collapsed="false">
      <c r="A1" s="1" t="s">
        <v>0</v>
      </c>
    </row>
    <row r="3" customFormat="false" ht="30" hidden="false" customHeight="true" outlineLevel="0" collapsed="false">
      <c r="A3" s="2" t="s">
        <v>1</v>
      </c>
      <c r="B3" s="3" t="s">
        <v>2</v>
      </c>
    </row>
    <row r="4" customFormat="false" ht="97.5" hidden="false" customHeight="true" outlineLevel="0" collapsed="false">
      <c r="A4" s="2" t="s">
        <v>3</v>
      </c>
      <c r="B4" s="3" t="s">
        <v>4</v>
      </c>
    </row>
    <row r="5" customFormat="false" ht="30" hidden="false" customHeight="true" outlineLevel="0" collapsed="false">
      <c r="A5" s="2" t="s">
        <v>5</v>
      </c>
      <c r="B5" s="3" t="s">
        <v>6</v>
      </c>
    </row>
    <row r="6" customFormat="false" ht="55.5" hidden="false" customHeight="true" outlineLevel="0" collapsed="false">
      <c r="A6" s="2" t="s">
        <v>7</v>
      </c>
      <c r="B6" s="3" t="s">
        <v>8</v>
      </c>
    </row>
    <row r="7" customFormat="false" ht="168" hidden="false" customHeight="true" outlineLevel="0" collapsed="false">
      <c r="A7" s="2" t="s">
        <v>9</v>
      </c>
      <c r="B7" s="3" t="s">
        <v>10</v>
      </c>
    </row>
    <row r="8" customFormat="false" ht="42" hidden="false" customHeight="true" outlineLevel="0" collapsed="false">
      <c r="A8" s="2" t="s">
        <v>11</v>
      </c>
      <c r="B8" s="3" t="s">
        <v>12</v>
      </c>
    </row>
    <row r="9" customFormat="false" ht="42" hidden="false" customHeight="true" outlineLevel="0" collapsed="false">
      <c r="A9" s="2" t="s">
        <v>13</v>
      </c>
      <c r="B9" s="3" t="s">
        <v>14</v>
      </c>
    </row>
    <row r="10" customFormat="false" ht="111.75" hidden="false" customHeight="true" outlineLevel="0" collapsed="false">
      <c r="A10" s="2" t="s">
        <v>15</v>
      </c>
      <c r="B10" s="3" t="s">
        <v>16</v>
      </c>
    </row>
    <row r="11" customFormat="false" ht="126" hidden="false" customHeight="true" outlineLevel="0" collapsed="false">
      <c r="A11" s="2" t="s">
        <v>17</v>
      </c>
      <c r="B11" s="3" t="s">
        <v>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2" min="2" style="0" width="18"/>
    <col collapsed="false" customWidth="true" hidden="false" outlineLevel="0" max="3" min="3" style="0" width="16"/>
    <col collapsed="false" customWidth="true" hidden="false" outlineLevel="0" max="4" min="4" style="0" width="90"/>
  </cols>
  <sheetData>
    <row r="1" customFormat="false" ht="17.35" hidden="false" customHeight="false" outlineLevel="0" collapsed="false">
      <c r="A1" s="1" t="s">
        <v>19</v>
      </c>
    </row>
    <row r="2" customFormat="false" ht="15" hidden="false" customHeight="false" outlineLevel="0" collapsed="false">
      <c r="A2" s="4" t="s">
        <v>20</v>
      </c>
    </row>
    <row r="3" customFormat="false" ht="15" hidden="false" customHeight="false" outlineLevel="0" collapsed="false">
      <c r="A3" s="5" t="s">
        <v>21</v>
      </c>
      <c r="B3" s="6"/>
      <c r="C3" s="6"/>
      <c r="D3" s="6"/>
    </row>
    <row r="4" customFormat="false" ht="15" hidden="false" customHeight="false" outlineLevel="0" collapsed="false">
      <c r="A4" s="7" t="s">
        <v>22</v>
      </c>
      <c r="B4" s="8" t="n">
        <v>300</v>
      </c>
      <c r="C4" s="9" t="s">
        <v>23</v>
      </c>
      <c r="D4" s="10" t="s">
        <v>24</v>
      </c>
    </row>
    <row r="5" customFormat="false" ht="15" hidden="false" customHeight="false" outlineLevel="0" collapsed="false">
      <c r="A5" s="7" t="s">
        <v>25</v>
      </c>
      <c r="B5" s="11" t="n">
        <v>0.85</v>
      </c>
      <c r="C5" s="9" t="s">
        <v>26</v>
      </c>
      <c r="D5" s="10" t="s">
        <v>27</v>
      </c>
    </row>
    <row r="6" customFormat="false" ht="15" hidden="false" customHeight="false" outlineLevel="0" collapsed="false">
      <c r="A6" s="7" t="s">
        <v>28</v>
      </c>
      <c r="B6" s="12" t="n">
        <f aca="false">ROUND(B4*B5,0)</f>
        <v>255</v>
      </c>
      <c r="C6" s="9" t="s">
        <v>23</v>
      </c>
      <c r="D6" s="10" t="s">
        <v>29</v>
      </c>
    </row>
    <row r="7" customFormat="false" ht="15" hidden="false" customHeight="false" outlineLevel="0" collapsed="false">
      <c r="A7" s="7" t="s">
        <v>30</v>
      </c>
      <c r="B7" s="13" t="n">
        <v>10</v>
      </c>
      <c r="C7" s="9" t="s">
        <v>31</v>
      </c>
      <c r="D7" s="10" t="s">
        <v>32</v>
      </c>
    </row>
    <row r="8" customFormat="false" ht="15" hidden="false" customHeight="false" outlineLevel="0" collapsed="false">
      <c r="A8" s="7" t="s">
        <v>33</v>
      </c>
      <c r="B8" s="13" t="n">
        <v>1</v>
      </c>
      <c r="C8" s="9" t="s">
        <v>34</v>
      </c>
      <c r="D8" s="10" t="s">
        <v>35</v>
      </c>
    </row>
    <row r="9" customFormat="false" ht="15" hidden="false" customHeight="false" outlineLevel="0" collapsed="false">
      <c r="A9" s="7" t="s">
        <v>36</v>
      </c>
      <c r="B9" s="13" t="n">
        <v>15</v>
      </c>
      <c r="C9" s="9" t="s">
        <v>34</v>
      </c>
      <c r="D9" s="10" t="s">
        <v>37</v>
      </c>
    </row>
    <row r="10" customFormat="false" ht="15" hidden="false" customHeight="false" outlineLevel="0" collapsed="false">
      <c r="A10" s="7" t="s">
        <v>38</v>
      </c>
      <c r="B10" s="12" t="n">
        <f aca="false">MAX(B9,ROUNDUP(B6/B7,0)+B8)</f>
        <v>27</v>
      </c>
      <c r="C10" s="9" t="s">
        <v>34</v>
      </c>
      <c r="D10" s="10" t="s">
        <v>39</v>
      </c>
    </row>
    <row r="12" customFormat="false" ht="15" hidden="false" customHeight="false" outlineLevel="0" collapsed="false">
      <c r="A12" s="5" t="s">
        <v>40</v>
      </c>
      <c r="B12" s="6"/>
      <c r="C12" s="6"/>
      <c r="D12" s="6"/>
    </row>
    <row r="13" customFormat="false" ht="32.8" hidden="false" customHeight="false" outlineLevel="0" collapsed="false">
      <c r="A13" s="7" t="s">
        <v>41</v>
      </c>
      <c r="B13" s="11" t="n">
        <v>0.1</v>
      </c>
      <c r="C13" s="9" t="s">
        <v>26</v>
      </c>
      <c r="D13" s="10" t="s">
        <v>42</v>
      </c>
    </row>
    <row r="14" customFormat="false" ht="22.35" hidden="false" customHeight="false" outlineLevel="0" collapsed="false">
      <c r="A14" s="7" t="s">
        <v>43</v>
      </c>
      <c r="B14" s="11" t="n">
        <v>0.07</v>
      </c>
      <c r="C14" s="9" t="s">
        <v>26</v>
      </c>
      <c r="D14" s="10" t="s">
        <v>44</v>
      </c>
    </row>
    <row r="15" customFormat="false" ht="15" hidden="false" customHeight="false" outlineLevel="0" collapsed="false">
      <c r="A15" s="7" t="s">
        <v>45</v>
      </c>
      <c r="B15" s="14" t="n">
        <f aca="false">B13+B14</f>
        <v>0.17</v>
      </c>
      <c r="C15" s="9" t="s">
        <v>26</v>
      </c>
      <c r="D15" s="10" t="s">
        <v>46</v>
      </c>
    </row>
    <row r="16" customFormat="false" ht="15" hidden="false" customHeight="false" outlineLevel="0" collapsed="false">
      <c r="A16" s="7" t="s">
        <v>47</v>
      </c>
      <c r="B16" s="15" t="n">
        <v>0.1</v>
      </c>
      <c r="C16" s="9" t="s">
        <v>26</v>
      </c>
      <c r="D16" s="10" t="s">
        <v>48</v>
      </c>
    </row>
    <row r="18" customFormat="false" ht="15" hidden="false" customHeight="false" outlineLevel="0" collapsed="false">
      <c r="A18" s="5" t="s">
        <v>49</v>
      </c>
      <c r="B18" s="6"/>
      <c r="C18" s="6"/>
      <c r="D18" s="6"/>
    </row>
    <row r="19" customFormat="false" ht="15" hidden="false" customHeight="false" outlineLevel="0" collapsed="false">
      <c r="A19" s="7" t="s">
        <v>50</v>
      </c>
      <c r="B19" s="16" t="n">
        <v>1.4</v>
      </c>
      <c r="C19" s="9" t="s">
        <v>51</v>
      </c>
      <c r="D19" s="10" t="s">
        <v>52</v>
      </c>
    </row>
    <row r="20" customFormat="false" ht="32.8" hidden="false" customHeight="false" outlineLevel="0" collapsed="false">
      <c r="A20" s="7" t="s">
        <v>53</v>
      </c>
      <c r="B20" s="8" t="n">
        <v>500000</v>
      </c>
      <c r="C20" s="9" t="s">
        <v>54</v>
      </c>
      <c r="D20" s="10" t="s">
        <v>55</v>
      </c>
    </row>
    <row r="21" customFormat="false" ht="22.35" hidden="false" customHeight="false" outlineLevel="0" collapsed="false">
      <c r="A21" s="7" t="s">
        <v>56</v>
      </c>
      <c r="B21" s="15" t="n">
        <v>0.4</v>
      </c>
      <c r="C21" s="9" t="s">
        <v>26</v>
      </c>
      <c r="D21" s="10" t="s">
        <v>57</v>
      </c>
    </row>
    <row r="22" customFormat="false" ht="15" hidden="false" customHeight="false" outlineLevel="0" collapsed="false">
      <c r="A22" s="7" t="s">
        <v>58</v>
      </c>
      <c r="B22" s="13" t="n">
        <v>300000</v>
      </c>
      <c r="C22" s="9" t="s">
        <v>54</v>
      </c>
      <c r="D22" s="10" t="s">
        <v>59</v>
      </c>
    </row>
    <row r="23" customFormat="false" ht="22.35" hidden="false" customHeight="false" outlineLevel="0" collapsed="false">
      <c r="A23" s="7" t="s">
        <v>60</v>
      </c>
      <c r="B23" s="12" t="n">
        <f aca="false">(1-B5)/B5*B21*B22/B19</f>
        <v>15126.0504201681</v>
      </c>
      <c r="C23" s="9" t="s">
        <v>61</v>
      </c>
      <c r="D23" s="10" t="s">
        <v>62</v>
      </c>
    </row>
    <row r="24" customFormat="false" ht="15" hidden="false" customHeight="false" outlineLevel="0" collapsed="false">
      <c r="A24" s="7" t="s">
        <v>63</v>
      </c>
      <c r="B24" s="13" t="n">
        <v>0</v>
      </c>
      <c r="C24" s="9" t="s">
        <v>54</v>
      </c>
      <c r="D24" s="10" t="s">
        <v>64</v>
      </c>
    </row>
    <row r="25" customFormat="false" ht="15" hidden="false" customHeight="false" outlineLevel="0" collapsed="false">
      <c r="A25" s="7" t="s">
        <v>65</v>
      </c>
      <c r="B25" s="12" t="n">
        <f aca="false">B20/B19+B23</f>
        <v>372268.907563025</v>
      </c>
      <c r="C25" s="9" t="s">
        <v>61</v>
      </c>
      <c r="D25" s="10" t="s">
        <v>66</v>
      </c>
    </row>
    <row r="27" customFormat="false" ht="15" hidden="false" customHeight="false" outlineLevel="0" collapsed="false">
      <c r="A27" s="5" t="s">
        <v>67</v>
      </c>
      <c r="B27" s="6"/>
      <c r="C27" s="6"/>
      <c r="D27" s="6"/>
    </row>
    <row r="28" customFormat="false" ht="15" hidden="false" customHeight="false" outlineLevel="0" collapsed="false">
      <c r="A28" s="7" t="s">
        <v>68</v>
      </c>
      <c r="B28" s="8"/>
      <c r="C28" s="9" t="s">
        <v>54</v>
      </c>
      <c r="D28" s="10" t="s">
        <v>69</v>
      </c>
    </row>
    <row r="29" customFormat="false" ht="15" hidden="false" customHeight="false" outlineLevel="0" collapsed="false">
      <c r="A29" s="7" t="s">
        <v>70</v>
      </c>
      <c r="B29" s="13" t="n">
        <v>0</v>
      </c>
      <c r="C29" s="9" t="s">
        <v>54</v>
      </c>
      <c r="D29" s="10" t="s">
        <v>71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7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6"/>
    <col collapsed="false" customWidth="true" hidden="false" outlineLevel="0" max="3" min="3" style="0" width="56"/>
    <col collapsed="false" customWidth="true" hidden="false" outlineLevel="0" max="4" min="4" style="0" width="12"/>
    <col collapsed="false" customWidth="true" hidden="false" outlineLevel="0" max="5" min="5" style="0" width="16"/>
    <col collapsed="false" customWidth="true" hidden="false" outlineLevel="0" max="6" min="6" style="0" width="12"/>
    <col collapsed="false" customWidth="true" hidden="false" outlineLevel="0" max="8" min="7" style="0" width="10"/>
    <col collapsed="false" customWidth="true" hidden="false" outlineLevel="0" max="9" min="9" style="0" width="22"/>
    <col collapsed="false" customWidth="true" hidden="false" outlineLevel="0" max="10" min="10" style="0" width="20"/>
    <col collapsed="false" customWidth="true" hidden="false" outlineLevel="0" max="11" min="11" style="0" width="70"/>
    <col collapsed="false" customWidth="true" hidden="false" outlineLevel="0" max="13" min="12" style="0" width="20"/>
  </cols>
  <sheetData>
    <row r="1" customFormat="false" ht="17.35" hidden="false" customHeight="false" outlineLevel="0" collapsed="false">
      <c r="A1" s="1" t="s">
        <v>72</v>
      </c>
    </row>
    <row r="2" customFormat="false" ht="42" hidden="false" customHeight="true" outlineLevel="0" collapsed="false">
      <c r="A2" s="17" t="s">
        <v>73</v>
      </c>
      <c r="B2" s="17"/>
      <c r="C2" s="17"/>
      <c r="D2" s="17"/>
      <c r="E2" s="17"/>
      <c r="F2" s="17"/>
      <c r="G2" s="17"/>
      <c r="H2" s="17"/>
      <c r="I2" s="17"/>
      <c r="J2" s="17"/>
      <c r="K2" s="17"/>
    </row>
    <row r="3" customFormat="false" ht="15" hidden="false" customHeight="false" outlineLevel="0" collapsed="false">
      <c r="A3" s="4" t="s">
        <v>74</v>
      </c>
    </row>
    <row r="4" customFormat="false" ht="43.5" hidden="false" customHeight="true" outlineLevel="0" collapsed="false">
      <c r="A4" s="18" t="s">
        <v>75</v>
      </c>
      <c r="B4" s="18" t="s">
        <v>76</v>
      </c>
      <c r="C4" s="18" t="s">
        <v>77</v>
      </c>
      <c r="D4" s="18" t="s">
        <v>78</v>
      </c>
      <c r="E4" s="18" t="s">
        <v>79</v>
      </c>
      <c r="F4" s="18" t="s">
        <v>80</v>
      </c>
      <c r="G4" s="18" t="s">
        <v>81</v>
      </c>
      <c r="H4" s="18" t="s">
        <v>82</v>
      </c>
      <c r="I4" s="18" t="s">
        <v>83</v>
      </c>
      <c r="J4" s="18" t="s">
        <v>84</v>
      </c>
      <c r="K4" s="18" t="s">
        <v>85</v>
      </c>
      <c r="L4" s="18" t="s">
        <v>86</v>
      </c>
      <c r="M4" s="18" t="s">
        <v>87</v>
      </c>
    </row>
    <row r="5" customFormat="false" ht="43.25" hidden="false" customHeight="false" outlineLevel="0" collapsed="false">
      <c r="A5" s="19" t="n">
        <v>1</v>
      </c>
      <c r="B5" s="20" t="s">
        <v>88</v>
      </c>
      <c r="C5" s="20" t="s">
        <v>89</v>
      </c>
      <c r="D5" s="20" t="s">
        <v>90</v>
      </c>
      <c r="E5" s="13" t="n">
        <v>7000000</v>
      </c>
      <c r="F5" s="21" t="n">
        <v>1</v>
      </c>
      <c r="G5" s="22" t="n">
        <v>1</v>
      </c>
      <c r="H5" s="22" t="n">
        <v>1</v>
      </c>
      <c r="I5" s="12" t="n">
        <f aca="false">H5*E5*F5*IF(D5="Cố định",1,IF(D5="Theo bàn",'Giả định'!$B$10,IF(D5="Theo khách",'Giả định'!$B$6,0)))</f>
        <v>189000000</v>
      </c>
      <c r="J5" s="12" t="n">
        <f aca="false">E5*F5*H5</f>
        <v>7000000</v>
      </c>
      <c r="K5" s="23" t="s">
        <v>91</v>
      </c>
      <c r="L5" s="13" t="n">
        <v>7000000</v>
      </c>
      <c r="M5" s="12" t="n">
        <f aca="false">L5*F5*H5</f>
        <v>7000000</v>
      </c>
    </row>
    <row r="6" customFormat="false" ht="22.35" hidden="false" customHeight="false" outlineLevel="0" collapsed="false">
      <c r="A6" s="19" t="n">
        <v>2</v>
      </c>
      <c r="B6" s="20" t="s">
        <v>88</v>
      </c>
      <c r="C6" s="20" t="s">
        <v>92</v>
      </c>
      <c r="D6" s="20" t="s">
        <v>90</v>
      </c>
      <c r="E6" s="13" t="n">
        <v>0</v>
      </c>
      <c r="F6" s="21" t="n">
        <v>1</v>
      </c>
      <c r="G6" s="22" t="n">
        <v>1</v>
      </c>
      <c r="H6" s="22" t="n">
        <v>1</v>
      </c>
      <c r="I6" s="12" t="n">
        <f aca="false">H6*E6*F6*IF(D6="Cố định",1,IF(D6="Theo bàn",'Giả định'!$B$10,IF(D6="Theo khách",'Giả định'!$B$6,0)))</f>
        <v>0</v>
      </c>
      <c r="J6" s="12" t="n">
        <f aca="false">E6*F6*H6</f>
        <v>0</v>
      </c>
      <c r="K6" s="23" t="s">
        <v>93</v>
      </c>
      <c r="L6" s="13" t="n">
        <v>0</v>
      </c>
      <c r="M6" s="12" t="n">
        <f aca="false">L6*F6*H6</f>
        <v>0</v>
      </c>
    </row>
    <row r="7" customFormat="false" ht="15" hidden="false" customHeight="false" outlineLevel="0" collapsed="false">
      <c r="A7" s="19" t="n">
        <v>3</v>
      </c>
      <c r="B7" s="20" t="s">
        <v>88</v>
      </c>
      <c r="C7" s="20" t="s">
        <v>94</v>
      </c>
      <c r="D7" s="20" t="s">
        <v>90</v>
      </c>
      <c r="E7" s="13" t="n">
        <v>150000</v>
      </c>
      <c r="F7" s="21" t="n">
        <v>1</v>
      </c>
      <c r="G7" s="22" t="n">
        <v>0</v>
      </c>
      <c r="H7" s="22" t="n">
        <v>1</v>
      </c>
      <c r="I7" s="12" t="n">
        <f aca="false">H7*E7*F7*IF(D7="Cố định",1,IF(D7="Theo bàn",'Giả định'!$B$10,IF(D7="Theo khách",'Giả định'!$B$6,0)))</f>
        <v>4050000</v>
      </c>
      <c r="J7" s="12" t="n">
        <f aca="false">E7*F7*H7</f>
        <v>150000</v>
      </c>
      <c r="K7" s="23" t="s">
        <v>95</v>
      </c>
      <c r="L7" s="13" t="n">
        <v>100000</v>
      </c>
      <c r="M7" s="12" t="n">
        <f aca="false">L7*F7*H7</f>
        <v>100000</v>
      </c>
    </row>
    <row r="8" customFormat="false" ht="15" hidden="false" customHeight="false" outlineLevel="0" collapsed="false">
      <c r="A8" s="19" t="n">
        <v>4</v>
      </c>
      <c r="B8" s="20" t="s">
        <v>88</v>
      </c>
      <c r="C8" s="20" t="s">
        <v>96</v>
      </c>
      <c r="D8" s="20" t="s">
        <v>97</v>
      </c>
      <c r="E8" s="13" t="n">
        <v>5000000</v>
      </c>
      <c r="F8" s="21" t="n">
        <v>1</v>
      </c>
      <c r="G8" s="22" t="n">
        <v>1</v>
      </c>
      <c r="H8" s="22" t="n">
        <v>1</v>
      </c>
      <c r="I8" s="12" t="n">
        <f aca="false">H8*E8*F8*IF(D8="Cố định",1,IF(D8="Theo bàn",'Giả định'!$B$10,IF(D8="Theo khách",'Giả định'!$B$6,0)))</f>
        <v>5000000</v>
      </c>
      <c r="J8" s="12" t="n">
        <f aca="false">E8*F8*H8</f>
        <v>5000000</v>
      </c>
      <c r="K8" s="23" t="s">
        <v>98</v>
      </c>
      <c r="L8" s="13" t="n">
        <v>0</v>
      </c>
      <c r="M8" s="12" t="n">
        <f aca="false">L8*F8*H8</f>
        <v>0</v>
      </c>
    </row>
    <row r="9" customFormat="false" ht="22.35" hidden="false" customHeight="false" outlineLevel="0" collapsed="false">
      <c r="A9" s="19" t="n">
        <v>5</v>
      </c>
      <c r="B9" s="20" t="s">
        <v>88</v>
      </c>
      <c r="C9" s="20" t="s">
        <v>99</v>
      </c>
      <c r="D9" s="20" t="s">
        <v>97</v>
      </c>
      <c r="E9" s="13" t="n">
        <v>20000000</v>
      </c>
      <c r="F9" s="21" t="n">
        <v>1</v>
      </c>
      <c r="G9" s="22" t="n">
        <v>0</v>
      </c>
      <c r="H9" s="22" t="n">
        <v>1</v>
      </c>
      <c r="I9" s="12" t="n">
        <f aca="false">H9*E9*F9*IF(D9="Cố định",1,IF(D9="Theo bàn",'Giả định'!$B$10,IF(D9="Theo khách",'Giả định'!$B$6,0)))</f>
        <v>20000000</v>
      </c>
      <c r="J9" s="12" t="n">
        <f aca="false">E9*F9*H9</f>
        <v>20000000</v>
      </c>
      <c r="K9" s="23" t="s">
        <v>100</v>
      </c>
      <c r="L9" s="13" t="n">
        <v>10000000</v>
      </c>
      <c r="M9" s="12" t="n">
        <f aca="false">L9*F9*H9</f>
        <v>10000000</v>
      </c>
    </row>
    <row r="10" customFormat="false" ht="15" hidden="false" customHeight="false" outlineLevel="0" collapsed="false">
      <c r="A10" s="19" t="n">
        <v>6</v>
      </c>
      <c r="B10" s="20" t="s">
        <v>88</v>
      </c>
      <c r="C10" s="20" t="s">
        <v>101</v>
      </c>
      <c r="D10" s="20" t="s">
        <v>97</v>
      </c>
      <c r="E10" s="13" t="n">
        <v>10000000</v>
      </c>
      <c r="F10" s="21" t="n">
        <v>1</v>
      </c>
      <c r="G10" s="22" t="n">
        <v>0</v>
      </c>
      <c r="H10" s="22" t="n">
        <v>1</v>
      </c>
      <c r="I10" s="12" t="n">
        <f aca="false">H10*E10*F10*IF(D10="Cố định",1,IF(D10="Theo bàn",'Giả định'!$B$10,IF(D10="Theo khách",'Giả định'!$B$6,0)))</f>
        <v>10000000</v>
      </c>
      <c r="J10" s="12" t="n">
        <f aca="false">E10*F10*H10</f>
        <v>10000000</v>
      </c>
      <c r="K10" s="23"/>
      <c r="L10" s="13" t="n">
        <v>6000000</v>
      </c>
      <c r="M10" s="12" t="n">
        <f aca="false">L10*F10*H10</f>
        <v>6000000</v>
      </c>
    </row>
    <row r="11" customFormat="false" ht="15" hidden="false" customHeight="false" outlineLevel="0" collapsed="false">
      <c r="A11" s="19" t="n">
        <v>7</v>
      </c>
      <c r="B11" s="20" t="s">
        <v>88</v>
      </c>
      <c r="C11" s="20" t="s">
        <v>102</v>
      </c>
      <c r="D11" s="20" t="s">
        <v>97</v>
      </c>
      <c r="E11" s="13" t="n">
        <v>5000000</v>
      </c>
      <c r="F11" s="21" t="n">
        <v>1</v>
      </c>
      <c r="G11" s="22" t="n">
        <v>0</v>
      </c>
      <c r="H11" s="22" t="n">
        <v>1</v>
      </c>
      <c r="I11" s="12" t="n">
        <f aca="false">H11*E11*F11*IF(D11="Cố định",1,IF(D11="Theo bàn",'Giả định'!$B$10,IF(D11="Theo khách",'Giả định'!$B$6,0)))</f>
        <v>5000000</v>
      </c>
      <c r="J11" s="12" t="n">
        <f aca="false">E11*F11*H11</f>
        <v>5000000</v>
      </c>
      <c r="K11" s="23" t="s">
        <v>103</v>
      </c>
      <c r="L11" s="13" t="n">
        <v>0</v>
      </c>
      <c r="M11" s="12" t="n">
        <f aca="false">L11*F11*H11</f>
        <v>0</v>
      </c>
    </row>
    <row r="12" customFormat="false" ht="15" hidden="false" customHeight="false" outlineLevel="0" collapsed="false">
      <c r="A12" s="19" t="n">
        <v>8</v>
      </c>
      <c r="B12" s="20" t="s">
        <v>88</v>
      </c>
      <c r="C12" s="20" t="s">
        <v>104</v>
      </c>
      <c r="D12" s="20" t="s">
        <v>97</v>
      </c>
      <c r="E12" s="13" t="n">
        <v>4000000</v>
      </c>
      <c r="F12" s="21" t="n">
        <v>1</v>
      </c>
      <c r="G12" s="22" t="n">
        <v>0</v>
      </c>
      <c r="H12" s="22" t="n">
        <v>1</v>
      </c>
      <c r="I12" s="12" t="n">
        <f aca="false">H12*E12*F12*IF(D12="Cố định",1,IF(D12="Theo bàn",'Giả định'!$B$10,IF(D12="Theo khách",'Giả định'!$B$6,0)))</f>
        <v>4000000</v>
      </c>
      <c r="J12" s="12" t="n">
        <f aca="false">E12*F12*H12</f>
        <v>4000000</v>
      </c>
      <c r="K12" s="23"/>
      <c r="L12" s="13" t="n">
        <v>2000000</v>
      </c>
      <c r="M12" s="12" t="n">
        <f aca="false">L12*F12*H12</f>
        <v>2000000</v>
      </c>
    </row>
    <row r="13" customFormat="false" ht="15" hidden="false" customHeight="false" outlineLevel="0" collapsed="false">
      <c r="A13" s="19" t="n">
        <v>9</v>
      </c>
      <c r="B13" s="20" t="s">
        <v>88</v>
      </c>
      <c r="C13" s="20" t="s">
        <v>105</v>
      </c>
      <c r="D13" s="20" t="s">
        <v>97</v>
      </c>
      <c r="E13" s="13" t="n">
        <v>3000000</v>
      </c>
      <c r="F13" s="21" t="n">
        <v>1</v>
      </c>
      <c r="G13" s="22" t="n">
        <v>0</v>
      </c>
      <c r="H13" s="22" t="n">
        <v>1</v>
      </c>
      <c r="I13" s="12" t="n">
        <f aca="false">H13*E13*F13*IF(D13="Cố định",1,IF(D13="Theo bàn",'Giả định'!$B$10,IF(D13="Theo khách",'Giả định'!$B$6,0)))</f>
        <v>3000000</v>
      </c>
      <c r="J13" s="12" t="n">
        <f aca="false">E13*F13*H13</f>
        <v>3000000</v>
      </c>
      <c r="K13" s="23"/>
      <c r="L13" s="13" t="n">
        <v>0</v>
      </c>
      <c r="M13" s="12" t="n">
        <f aca="false">L13*F13*H13</f>
        <v>0</v>
      </c>
    </row>
    <row r="14" customFormat="false" ht="15" hidden="false" customHeight="false" outlineLevel="0" collapsed="false">
      <c r="A14" s="19" t="n">
        <v>10</v>
      </c>
      <c r="B14" s="20" t="s">
        <v>88</v>
      </c>
      <c r="C14" s="20" t="s">
        <v>106</v>
      </c>
      <c r="D14" s="20" t="s">
        <v>97</v>
      </c>
      <c r="E14" s="13" t="n">
        <v>500000</v>
      </c>
      <c r="F14" s="21" t="n">
        <v>1</v>
      </c>
      <c r="G14" s="22" t="n">
        <v>0</v>
      </c>
      <c r="H14" s="22" t="n">
        <v>1</v>
      </c>
      <c r="I14" s="12" t="n">
        <f aca="false">H14*E14*F14*IF(D14="Cố định",1,IF(D14="Theo bàn",'Giả định'!$B$10,IF(D14="Theo khách",'Giả định'!$B$6,0)))</f>
        <v>500000</v>
      </c>
      <c r="J14" s="12" t="n">
        <f aca="false">E14*F14*H14</f>
        <v>500000</v>
      </c>
      <c r="K14" s="23"/>
      <c r="L14" s="13" t="n">
        <v>300000</v>
      </c>
      <c r="M14" s="12" t="n">
        <f aca="false">L14*F14*H14</f>
        <v>300000</v>
      </c>
    </row>
    <row r="15" customFormat="false" ht="15" hidden="false" customHeight="false" outlineLevel="0" collapsed="false">
      <c r="A15" s="19" t="n">
        <v>11</v>
      </c>
      <c r="B15" s="20" t="s">
        <v>88</v>
      </c>
      <c r="C15" s="20" t="s">
        <v>107</v>
      </c>
      <c r="D15" s="20" t="s">
        <v>97</v>
      </c>
      <c r="E15" s="13" t="n">
        <v>3000000</v>
      </c>
      <c r="F15" s="21" t="n">
        <v>1</v>
      </c>
      <c r="G15" s="22" t="n">
        <v>0</v>
      </c>
      <c r="H15" s="22" t="n">
        <v>1</v>
      </c>
      <c r="I15" s="12" t="n">
        <f aca="false">H15*E15*F15*IF(D15="Cố định",1,IF(D15="Theo bàn",'Giả định'!$B$10,IF(D15="Theo khách",'Giả định'!$B$6,0)))</f>
        <v>3000000</v>
      </c>
      <c r="J15" s="12" t="n">
        <f aca="false">E15*F15*H15</f>
        <v>3000000</v>
      </c>
      <c r="K15" s="23" t="s">
        <v>108</v>
      </c>
      <c r="L15" s="13" t="n">
        <v>1000000</v>
      </c>
      <c r="M15" s="12" t="n">
        <f aca="false">L15*F15*H15</f>
        <v>1000000</v>
      </c>
    </row>
    <row r="16" customFormat="false" ht="15" hidden="false" customHeight="false" outlineLevel="0" collapsed="false">
      <c r="A16" s="19" t="n">
        <v>12</v>
      </c>
      <c r="B16" s="20" t="s">
        <v>88</v>
      </c>
      <c r="C16" s="20" t="s">
        <v>109</v>
      </c>
      <c r="D16" s="20" t="s">
        <v>97</v>
      </c>
      <c r="E16" s="13" t="n">
        <v>2000000</v>
      </c>
      <c r="F16" s="21" t="n">
        <v>1</v>
      </c>
      <c r="G16" s="22" t="n">
        <v>0</v>
      </c>
      <c r="H16" s="22" t="n">
        <v>1</v>
      </c>
      <c r="I16" s="12" t="n">
        <f aca="false">H16*E16*F16*IF(D16="Cố định",1,IF(D16="Theo bàn",'Giả định'!$B$10,IF(D16="Theo khách",'Giả định'!$B$6,0)))</f>
        <v>2000000</v>
      </c>
      <c r="J16" s="12" t="n">
        <f aca="false">E16*F16*H16</f>
        <v>2000000</v>
      </c>
      <c r="K16" s="23"/>
      <c r="L16" s="13" t="n">
        <v>1500000</v>
      </c>
      <c r="M16" s="12" t="n">
        <f aca="false">L16*F16*H16</f>
        <v>1500000</v>
      </c>
    </row>
    <row r="17" customFormat="false" ht="15" hidden="false" customHeight="false" outlineLevel="0" collapsed="false">
      <c r="A17" s="19" t="n">
        <v>13</v>
      </c>
      <c r="B17" s="20" t="s">
        <v>88</v>
      </c>
      <c r="C17" s="20" t="s">
        <v>110</v>
      </c>
      <c r="D17" s="20" t="s">
        <v>111</v>
      </c>
      <c r="E17" s="13" t="n">
        <v>25000</v>
      </c>
      <c r="F17" s="21" t="n">
        <v>1</v>
      </c>
      <c r="G17" s="22" t="n">
        <v>0</v>
      </c>
      <c r="H17" s="22" t="n">
        <v>1</v>
      </c>
      <c r="I17" s="12" t="n">
        <f aca="false">H17*E17*F17*IF(D17="Cố định",1,IF(D17="Theo bàn",'Giả định'!$B$10,IF(D17="Theo khách",'Giả định'!$B$6,0)))</f>
        <v>6375000</v>
      </c>
      <c r="J17" s="12" t="n">
        <f aca="false">E17*F17*H17</f>
        <v>25000</v>
      </c>
      <c r="K17" s="23" t="s">
        <v>112</v>
      </c>
      <c r="L17" s="13" t="n">
        <v>15000</v>
      </c>
      <c r="M17" s="12" t="n">
        <f aca="false">L17*F17*H17</f>
        <v>15000</v>
      </c>
    </row>
    <row r="18" customFormat="false" ht="22.35" hidden="false" customHeight="false" outlineLevel="0" collapsed="false">
      <c r="A18" s="19" t="n">
        <v>14</v>
      </c>
      <c r="B18" s="20" t="s">
        <v>88</v>
      </c>
      <c r="C18" s="20" t="s">
        <v>113</v>
      </c>
      <c r="D18" s="20" t="s">
        <v>111</v>
      </c>
      <c r="E18" s="13" t="n">
        <v>12000</v>
      </c>
      <c r="F18" s="21" t="n">
        <v>0.7</v>
      </c>
      <c r="G18" s="22" t="n">
        <v>0</v>
      </c>
      <c r="H18" s="22" t="n">
        <v>1</v>
      </c>
      <c r="I18" s="12" t="n">
        <f aca="false">H18*E18*F18*IF(D18="Cố định",1,IF(D18="Theo bàn",'Giả định'!$B$10,IF(D18="Theo khách",'Giả định'!$B$6,0)))</f>
        <v>2142000</v>
      </c>
      <c r="J18" s="12" t="n">
        <f aca="false">E18*F18*H18</f>
        <v>8400</v>
      </c>
      <c r="K18" s="23" t="s">
        <v>114</v>
      </c>
      <c r="L18" s="13" t="n">
        <v>8000</v>
      </c>
      <c r="M18" s="12" t="n">
        <f aca="false">L18*F18*H18</f>
        <v>5600</v>
      </c>
    </row>
    <row r="19" customFormat="false" ht="15" hidden="false" customHeight="false" outlineLevel="0" collapsed="false">
      <c r="A19" s="19" t="n">
        <v>15</v>
      </c>
      <c r="B19" s="20" t="s">
        <v>115</v>
      </c>
      <c r="C19" s="20" t="s">
        <v>116</v>
      </c>
      <c r="D19" s="20" t="s">
        <v>97</v>
      </c>
      <c r="E19" s="13" t="n">
        <v>15000000</v>
      </c>
      <c r="F19" s="21" t="n">
        <v>1</v>
      </c>
      <c r="G19" s="22" t="n">
        <v>0</v>
      </c>
      <c r="H19" s="22" t="n">
        <v>1</v>
      </c>
      <c r="I19" s="12" t="n">
        <f aca="false">H19*E19*F19*IF(D19="Cố định",1,IF(D19="Theo bàn",'Giả định'!$B$10,IF(D19="Theo khách",'Giả định'!$B$6,0)))</f>
        <v>15000000</v>
      </c>
      <c r="J19" s="12" t="n">
        <f aca="false">E19*F19*H19</f>
        <v>15000000</v>
      </c>
      <c r="K19" s="23" t="s">
        <v>117</v>
      </c>
      <c r="L19" s="13" t="n">
        <v>10000000</v>
      </c>
      <c r="M19" s="12" t="n">
        <f aca="false">L19*F19*H19</f>
        <v>10000000</v>
      </c>
    </row>
    <row r="20" customFormat="false" ht="15" hidden="false" customHeight="false" outlineLevel="0" collapsed="false">
      <c r="A20" s="19" t="n">
        <v>16</v>
      </c>
      <c r="B20" s="20" t="s">
        <v>115</v>
      </c>
      <c r="C20" s="20" t="s">
        <v>118</v>
      </c>
      <c r="D20" s="20" t="s">
        <v>97</v>
      </c>
      <c r="E20" s="13" t="n">
        <v>3000000</v>
      </c>
      <c r="F20" s="21" t="n">
        <v>5</v>
      </c>
      <c r="G20" s="22" t="n">
        <v>1</v>
      </c>
      <c r="H20" s="22" t="n">
        <v>1</v>
      </c>
      <c r="I20" s="12" t="n">
        <f aca="false">H20*E20*F20*IF(D20="Cố định",1,IF(D20="Theo bàn",'Giả định'!$B$10,IF(D20="Theo khách",'Giả định'!$B$6,0)))</f>
        <v>15000000</v>
      </c>
      <c r="J20" s="12" t="n">
        <f aca="false">E20*F20*H20</f>
        <v>15000000</v>
      </c>
      <c r="K20" s="23" t="s">
        <v>119</v>
      </c>
      <c r="L20" s="13" t="n">
        <v>1800000</v>
      </c>
      <c r="M20" s="12" t="n">
        <f aca="false">L20*F20*H20</f>
        <v>9000000</v>
      </c>
    </row>
    <row r="21" customFormat="false" ht="15" hidden="false" customHeight="false" outlineLevel="0" collapsed="false">
      <c r="A21" s="19" t="n">
        <v>17</v>
      </c>
      <c r="B21" s="20" t="s">
        <v>115</v>
      </c>
      <c r="C21" s="20" t="s">
        <v>120</v>
      </c>
      <c r="D21" s="20" t="s">
        <v>97</v>
      </c>
      <c r="E21" s="13" t="n">
        <v>5000000</v>
      </c>
      <c r="F21" s="21" t="n">
        <v>1</v>
      </c>
      <c r="G21" s="22" t="n">
        <v>0</v>
      </c>
      <c r="H21" s="22" t="n">
        <v>1</v>
      </c>
      <c r="I21" s="12" t="n">
        <f aca="false">H21*E21*F21*IF(D21="Cố định",1,IF(D21="Theo bàn",'Giả định'!$B$10,IF(D21="Theo khách",'Giả định'!$B$6,0)))</f>
        <v>5000000</v>
      </c>
      <c r="J21" s="12" t="n">
        <f aca="false">E21*F21*H21</f>
        <v>5000000</v>
      </c>
      <c r="K21" s="23"/>
      <c r="L21" s="13" t="n">
        <v>2000000</v>
      </c>
      <c r="M21" s="12" t="n">
        <f aca="false">L21*F21*H21</f>
        <v>2000000</v>
      </c>
    </row>
    <row r="22" customFormat="false" ht="15" hidden="false" customHeight="false" outlineLevel="0" collapsed="false">
      <c r="A22" s="19" t="n">
        <v>18</v>
      </c>
      <c r="B22" s="20" t="s">
        <v>115</v>
      </c>
      <c r="C22" s="20" t="s">
        <v>121</v>
      </c>
      <c r="D22" s="20" t="s">
        <v>97</v>
      </c>
      <c r="E22" s="13" t="n">
        <v>4000000</v>
      </c>
      <c r="F22" s="21" t="n">
        <v>1</v>
      </c>
      <c r="G22" s="22" t="n">
        <v>0</v>
      </c>
      <c r="H22" s="22" t="n">
        <v>1</v>
      </c>
      <c r="I22" s="12" t="n">
        <f aca="false">H22*E22*F22*IF(D22="Cố định",1,IF(D22="Theo bàn",'Giả định'!$B$10,IF(D22="Theo khách",'Giả định'!$B$6,0)))</f>
        <v>4000000</v>
      </c>
      <c r="J22" s="12" t="n">
        <f aca="false">E22*F22*H22</f>
        <v>4000000</v>
      </c>
      <c r="K22" s="23"/>
      <c r="L22" s="13" t="n">
        <v>2000000</v>
      </c>
      <c r="M22" s="12" t="n">
        <f aca="false">L22*F22*H22</f>
        <v>2000000</v>
      </c>
    </row>
    <row r="23" customFormat="false" ht="15" hidden="false" customHeight="false" outlineLevel="0" collapsed="false">
      <c r="A23" s="19" t="n">
        <v>19</v>
      </c>
      <c r="B23" s="20" t="s">
        <v>115</v>
      </c>
      <c r="C23" s="20" t="s">
        <v>122</v>
      </c>
      <c r="D23" s="20" t="s">
        <v>97</v>
      </c>
      <c r="E23" s="13" t="n">
        <v>3000000</v>
      </c>
      <c r="F23" s="21" t="n">
        <v>1</v>
      </c>
      <c r="G23" s="22" t="n">
        <v>0</v>
      </c>
      <c r="H23" s="22" t="n">
        <v>1</v>
      </c>
      <c r="I23" s="12" t="n">
        <f aca="false">H23*E23*F23*IF(D23="Cố định",1,IF(D23="Theo bàn",'Giả định'!$B$10,IF(D23="Theo khách",'Giả định'!$B$6,0)))</f>
        <v>3000000</v>
      </c>
      <c r="J23" s="12" t="n">
        <f aca="false">E23*F23*H23</f>
        <v>3000000</v>
      </c>
      <c r="K23" s="23" t="s">
        <v>123</v>
      </c>
      <c r="L23" s="13" t="n">
        <v>2000000</v>
      </c>
      <c r="M23" s="12" t="n">
        <f aca="false">L23*F23*H23</f>
        <v>2000000</v>
      </c>
    </row>
    <row r="24" customFormat="false" ht="15" hidden="false" customHeight="false" outlineLevel="0" collapsed="false">
      <c r="A24" s="19" t="n">
        <v>20</v>
      </c>
      <c r="B24" s="20" t="s">
        <v>115</v>
      </c>
      <c r="C24" s="20" t="s">
        <v>124</v>
      </c>
      <c r="D24" s="20" t="s">
        <v>97</v>
      </c>
      <c r="E24" s="13" t="n">
        <v>4000000</v>
      </c>
      <c r="F24" s="21" t="n">
        <v>1</v>
      </c>
      <c r="G24" s="22" t="n">
        <v>0</v>
      </c>
      <c r="H24" s="22" t="n">
        <v>1</v>
      </c>
      <c r="I24" s="12" t="n">
        <f aca="false">H24*E24*F24*IF(D24="Cố định",1,IF(D24="Theo bàn",'Giả định'!$B$10,IF(D24="Theo khách",'Giả định'!$B$6,0)))</f>
        <v>4000000</v>
      </c>
      <c r="J24" s="12" t="n">
        <f aca="false">E24*F24*H24</f>
        <v>4000000</v>
      </c>
      <c r="K24" s="23"/>
      <c r="L24" s="13" t="n">
        <v>2000000</v>
      </c>
      <c r="M24" s="12" t="n">
        <f aca="false">L24*F24*H24</f>
        <v>2000000</v>
      </c>
    </row>
    <row r="25" customFormat="false" ht="15" hidden="false" customHeight="false" outlineLevel="0" collapsed="false">
      <c r="A25" s="19" t="n">
        <v>21</v>
      </c>
      <c r="B25" s="20" t="s">
        <v>125</v>
      </c>
      <c r="C25" s="20" t="s">
        <v>126</v>
      </c>
      <c r="D25" s="20" t="s">
        <v>97</v>
      </c>
      <c r="E25" s="13" t="n">
        <v>12000000</v>
      </c>
      <c r="F25" s="21" t="n">
        <v>1</v>
      </c>
      <c r="G25" s="22" t="n">
        <v>0</v>
      </c>
      <c r="H25" s="22" t="n">
        <v>1</v>
      </c>
      <c r="I25" s="12" t="n">
        <f aca="false">H25*E25*F25*IF(D25="Cố định",1,IF(D25="Theo bàn",'Giả định'!$B$10,IF(D25="Theo khách",'Giả định'!$B$6,0)))</f>
        <v>12000000</v>
      </c>
      <c r="J25" s="12" t="n">
        <f aca="false">E25*F25*H25</f>
        <v>12000000</v>
      </c>
      <c r="K25" s="23"/>
      <c r="L25" s="13" t="n">
        <v>6000000</v>
      </c>
      <c r="M25" s="12" t="n">
        <f aca="false">L25*F25*H25</f>
        <v>6000000</v>
      </c>
    </row>
    <row r="26" customFormat="false" ht="15" hidden="false" customHeight="false" outlineLevel="0" collapsed="false">
      <c r="A26" s="19" t="n">
        <v>22</v>
      </c>
      <c r="B26" s="20" t="s">
        <v>125</v>
      </c>
      <c r="C26" s="20" t="s">
        <v>127</v>
      </c>
      <c r="D26" s="20" t="s">
        <v>97</v>
      </c>
      <c r="E26" s="13" t="n">
        <v>4000000</v>
      </c>
      <c r="F26" s="21" t="n">
        <v>1</v>
      </c>
      <c r="G26" s="22" t="n">
        <v>0</v>
      </c>
      <c r="H26" s="22" t="n">
        <v>1</v>
      </c>
      <c r="I26" s="12" t="n">
        <f aca="false">H26*E26*F26*IF(D26="Cố định",1,IF(D26="Theo bàn",'Giả định'!$B$10,IF(D26="Theo khách",'Giả định'!$B$6,0)))</f>
        <v>4000000</v>
      </c>
      <c r="J26" s="12" t="n">
        <f aca="false">E26*F26*H26</f>
        <v>4000000</v>
      </c>
      <c r="K26" s="23"/>
      <c r="L26" s="13" t="n">
        <v>2000000</v>
      </c>
      <c r="M26" s="12" t="n">
        <f aca="false">L26*F26*H26</f>
        <v>2000000</v>
      </c>
    </row>
    <row r="27" customFormat="false" ht="15" hidden="false" customHeight="false" outlineLevel="0" collapsed="false">
      <c r="A27" s="19" t="n">
        <v>23</v>
      </c>
      <c r="B27" s="20" t="s">
        <v>125</v>
      </c>
      <c r="C27" s="20" t="s">
        <v>128</v>
      </c>
      <c r="D27" s="20" t="s">
        <v>97</v>
      </c>
      <c r="E27" s="13" t="n">
        <v>3000000</v>
      </c>
      <c r="F27" s="21" t="n">
        <v>1</v>
      </c>
      <c r="G27" s="22" t="n">
        <v>0</v>
      </c>
      <c r="H27" s="22" t="n">
        <v>1</v>
      </c>
      <c r="I27" s="12" t="n">
        <f aca="false">H27*E27*F27*IF(D27="Cố định",1,IF(D27="Theo bàn",'Giả định'!$B$10,IF(D27="Theo khách",'Giả định'!$B$6,0)))</f>
        <v>3000000</v>
      </c>
      <c r="J27" s="12" t="n">
        <f aca="false">E27*F27*H27</f>
        <v>3000000</v>
      </c>
      <c r="K27" s="23"/>
      <c r="L27" s="13" t="n">
        <v>1500000</v>
      </c>
      <c r="M27" s="12" t="n">
        <f aca="false">L27*F27*H27</f>
        <v>1500000</v>
      </c>
    </row>
    <row r="28" customFormat="false" ht="15" hidden="false" customHeight="false" outlineLevel="0" collapsed="false">
      <c r="A28" s="19" t="n">
        <v>24</v>
      </c>
      <c r="B28" s="20" t="s">
        <v>125</v>
      </c>
      <c r="C28" s="20" t="s">
        <v>129</v>
      </c>
      <c r="D28" s="20" t="s">
        <v>97</v>
      </c>
      <c r="E28" s="13" t="n">
        <v>6000000</v>
      </c>
      <c r="F28" s="21" t="n">
        <v>1</v>
      </c>
      <c r="G28" s="22" t="n">
        <v>0</v>
      </c>
      <c r="H28" s="22" t="n">
        <v>1</v>
      </c>
      <c r="I28" s="12" t="n">
        <f aca="false">H28*E28*F28*IF(D28="Cố định",1,IF(D28="Theo bàn",'Giả định'!$B$10,IF(D28="Theo khách",'Giả định'!$B$6,0)))</f>
        <v>6000000</v>
      </c>
      <c r="J28" s="12" t="n">
        <f aca="false">E28*F28*H28</f>
        <v>6000000</v>
      </c>
      <c r="K28" s="23"/>
      <c r="L28" s="13" t="n">
        <v>4000000</v>
      </c>
      <c r="M28" s="12" t="n">
        <f aca="false">L28*F28*H28</f>
        <v>4000000</v>
      </c>
    </row>
    <row r="29" customFormat="false" ht="15" hidden="false" customHeight="false" outlineLevel="0" collapsed="false">
      <c r="A29" s="19" t="n">
        <v>25</v>
      </c>
      <c r="B29" s="20" t="s">
        <v>125</v>
      </c>
      <c r="C29" s="20" t="s">
        <v>130</v>
      </c>
      <c r="D29" s="20" t="s">
        <v>97</v>
      </c>
      <c r="E29" s="13" t="n">
        <v>2500000</v>
      </c>
      <c r="F29" s="21" t="n">
        <v>1</v>
      </c>
      <c r="G29" s="22" t="n">
        <v>0</v>
      </c>
      <c r="H29" s="22" t="n">
        <v>1</v>
      </c>
      <c r="I29" s="12" t="n">
        <f aca="false">H29*E29*F29*IF(D29="Cố định",1,IF(D29="Theo bàn",'Giả định'!$B$10,IF(D29="Theo khách",'Giả định'!$B$6,0)))</f>
        <v>2500000</v>
      </c>
      <c r="J29" s="12" t="n">
        <f aca="false">E29*F29*H29</f>
        <v>2500000</v>
      </c>
      <c r="K29" s="23"/>
      <c r="L29" s="13" t="n">
        <v>1500000</v>
      </c>
      <c r="M29" s="12" t="n">
        <f aca="false">L29*F29*H29</f>
        <v>1500000</v>
      </c>
    </row>
    <row r="30" customFormat="false" ht="15" hidden="false" customHeight="false" outlineLevel="0" collapsed="false">
      <c r="A30" s="19" t="n">
        <v>26</v>
      </c>
      <c r="B30" s="20" t="s">
        <v>125</v>
      </c>
      <c r="C30" s="20" t="s">
        <v>131</v>
      </c>
      <c r="D30" s="20" t="s">
        <v>97</v>
      </c>
      <c r="E30" s="13" t="n">
        <v>1500000</v>
      </c>
      <c r="F30" s="21" t="n">
        <v>1</v>
      </c>
      <c r="G30" s="22" t="n">
        <v>0</v>
      </c>
      <c r="H30" s="22" t="n">
        <v>1</v>
      </c>
      <c r="I30" s="12" t="n">
        <f aca="false">H30*E30*F30*IF(D30="Cố định",1,IF(D30="Theo bàn",'Giả định'!$B$10,IF(D30="Theo khách",'Giả định'!$B$6,0)))</f>
        <v>1500000</v>
      </c>
      <c r="J30" s="12" t="n">
        <f aca="false">E30*F30*H30</f>
        <v>1500000</v>
      </c>
      <c r="K30" s="23"/>
      <c r="L30" s="13" t="n">
        <v>1000000</v>
      </c>
      <c r="M30" s="12" t="n">
        <f aca="false">L30*F30*H30</f>
        <v>1000000</v>
      </c>
    </row>
    <row r="31" customFormat="false" ht="15" hidden="false" customHeight="false" outlineLevel="0" collapsed="false">
      <c r="A31" s="19" t="n">
        <v>27</v>
      </c>
      <c r="B31" s="20" t="s">
        <v>125</v>
      </c>
      <c r="C31" s="20" t="s">
        <v>132</v>
      </c>
      <c r="D31" s="20" t="s">
        <v>97</v>
      </c>
      <c r="E31" s="13" t="n">
        <v>1500000</v>
      </c>
      <c r="F31" s="21" t="n">
        <v>1</v>
      </c>
      <c r="G31" s="22" t="n">
        <v>0</v>
      </c>
      <c r="H31" s="22" t="n">
        <v>1</v>
      </c>
      <c r="I31" s="12" t="n">
        <f aca="false">H31*E31*F31*IF(D31="Cố định",1,IF(D31="Theo bàn",'Giả định'!$B$10,IF(D31="Theo khách",'Giả định'!$B$6,0)))</f>
        <v>1500000</v>
      </c>
      <c r="J31" s="12" t="n">
        <f aca="false">E31*F31*H31</f>
        <v>1500000</v>
      </c>
      <c r="K31" s="23"/>
      <c r="L31" s="13" t="n">
        <v>800000</v>
      </c>
      <c r="M31" s="12" t="n">
        <f aca="false">L31*F31*H31</f>
        <v>800000</v>
      </c>
    </row>
    <row r="32" customFormat="false" ht="15" hidden="false" customHeight="false" outlineLevel="0" collapsed="false">
      <c r="A32" s="19" t="n">
        <v>28</v>
      </c>
      <c r="B32" s="20" t="s">
        <v>133</v>
      </c>
      <c r="C32" s="20" t="s">
        <v>134</v>
      </c>
      <c r="D32" s="20" t="s">
        <v>97</v>
      </c>
      <c r="E32" s="13" t="n">
        <v>12000000</v>
      </c>
      <c r="F32" s="21" t="n">
        <v>1</v>
      </c>
      <c r="G32" s="22" t="n">
        <v>0</v>
      </c>
      <c r="H32" s="22" t="n">
        <v>1</v>
      </c>
      <c r="I32" s="12" t="n">
        <f aca="false">H32*E32*F32*IF(D32="Cố định",1,IF(D32="Theo bàn",'Giả định'!$B$10,IF(D32="Theo khách",'Giả định'!$B$6,0)))</f>
        <v>12000000</v>
      </c>
      <c r="J32" s="12" t="n">
        <f aca="false">E32*F32*H32</f>
        <v>12000000</v>
      </c>
      <c r="K32" s="23"/>
      <c r="L32" s="13" t="n">
        <v>6000000</v>
      </c>
      <c r="M32" s="12" t="n">
        <f aca="false">L32*F32*H32</f>
        <v>6000000</v>
      </c>
    </row>
    <row r="33" customFormat="false" ht="15" hidden="false" customHeight="false" outlineLevel="0" collapsed="false">
      <c r="A33" s="19" t="n">
        <v>29</v>
      </c>
      <c r="B33" s="20" t="s">
        <v>133</v>
      </c>
      <c r="C33" s="20" t="s">
        <v>135</v>
      </c>
      <c r="D33" s="20" t="s">
        <v>97</v>
      </c>
      <c r="E33" s="13" t="n">
        <v>8000000</v>
      </c>
      <c r="F33" s="21" t="n">
        <v>1</v>
      </c>
      <c r="G33" s="22" t="n">
        <v>0</v>
      </c>
      <c r="H33" s="22" t="n">
        <v>1</v>
      </c>
      <c r="I33" s="12" t="n">
        <f aca="false">H33*E33*F33*IF(D33="Cố định",1,IF(D33="Theo bàn",'Giả định'!$B$10,IF(D33="Theo khách",'Giả định'!$B$6,0)))</f>
        <v>8000000</v>
      </c>
      <c r="J33" s="12" t="n">
        <f aca="false">E33*F33*H33</f>
        <v>8000000</v>
      </c>
      <c r="K33" s="23"/>
      <c r="L33" s="13" t="n">
        <v>5000000</v>
      </c>
      <c r="M33" s="12" t="n">
        <f aca="false">L33*F33*H33</f>
        <v>5000000</v>
      </c>
    </row>
    <row r="34" customFormat="false" ht="15" hidden="false" customHeight="false" outlineLevel="0" collapsed="false">
      <c r="A34" s="19" t="n">
        <v>30</v>
      </c>
      <c r="B34" s="20" t="s">
        <v>133</v>
      </c>
      <c r="C34" s="20" t="s">
        <v>136</v>
      </c>
      <c r="D34" s="20" t="s">
        <v>97</v>
      </c>
      <c r="E34" s="13" t="n">
        <v>8000000</v>
      </c>
      <c r="F34" s="21" t="n">
        <v>1</v>
      </c>
      <c r="G34" s="22" t="n">
        <v>0</v>
      </c>
      <c r="H34" s="22" t="n">
        <v>1</v>
      </c>
      <c r="I34" s="12" t="n">
        <f aca="false">H34*E34*F34*IF(D34="Cố định",1,IF(D34="Theo bàn",'Giả định'!$B$10,IF(D34="Theo khách",'Giả định'!$B$6,0)))</f>
        <v>8000000</v>
      </c>
      <c r="J34" s="12" t="n">
        <f aca="false">E34*F34*H34</f>
        <v>8000000</v>
      </c>
      <c r="K34" s="23"/>
      <c r="L34" s="13" t="n">
        <v>4000000</v>
      </c>
      <c r="M34" s="12" t="n">
        <f aca="false">L34*F34*H34</f>
        <v>4000000</v>
      </c>
    </row>
    <row r="35" customFormat="false" ht="15" hidden="false" customHeight="false" outlineLevel="0" collapsed="false">
      <c r="A35" s="19" t="n">
        <v>31</v>
      </c>
      <c r="B35" s="20" t="s">
        <v>133</v>
      </c>
      <c r="C35" s="20" t="s">
        <v>137</v>
      </c>
      <c r="D35" s="20" t="s">
        <v>97</v>
      </c>
      <c r="E35" s="13" t="n">
        <v>2000000</v>
      </c>
      <c r="F35" s="21" t="n">
        <v>1</v>
      </c>
      <c r="G35" s="22" t="n">
        <v>0</v>
      </c>
      <c r="H35" s="22" t="n">
        <v>1</v>
      </c>
      <c r="I35" s="12" t="n">
        <f aca="false">H35*E35*F35*IF(D35="Cố định",1,IF(D35="Theo bàn",'Giả định'!$B$10,IF(D35="Theo khách",'Giả định'!$B$6,0)))</f>
        <v>2000000</v>
      </c>
      <c r="J35" s="12" t="n">
        <f aca="false">E35*F35*H35</f>
        <v>2000000</v>
      </c>
      <c r="K35" s="23"/>
      <c r="L35" s="13" t="n">
        <v>1000000</v>
      </c>
      <c r="M35" s="12" t="n">
        <f aca="false">L35*F35*H35</f>
        <v>1000000</v>
      </c>
    </row>
    <row r="36" customFormat="false" ht="22.35" hidden="false" customHeight="false" outlineLevel="0" collapsed="false">
      <c r="A36" s="19" t="n">
        <v>32</v>
      </c>
      <c r="B36" s="20" t="s">
        <v>138</v>
      </c>
      <c r="C36" s="20" t="s">
        <v>139</v>
      </c>
      <c r="D36" s="20" t="s">
        <v>97</v>
      </c>
      <c r="E36" s="13" t="n">
        <v>10000000</v>
      </c>
      <c r="F36" s="21" t="n">
        <v>1</v>
      </c>
      <c r="G36" s="22" t="n">
        <v>0</v>
      </c>
      <c r="H36" s="22" t="n">
        <v>1</v>
      </c>
      <c r="I36" s="12" t="n">
        <f aca="false">H36*E36*F36*IF(D36="Cố định",1,IF(D36="Theo bàn",'Giả định'!$B$10,IF(D36="Theo khách",'Giả định'!$B$6,0)))</f>
        <v>10000000</v>
      </c>
      <c r="J36" s="12" t="n">
        <f aca="false">E36*F36*H36</f>
        <v>10000000</v>
      </c>
      <c r="K36" s="23" t="s">
        <v>140</v>
      </c>
      <c r="L36" s="13" t="n">
        <v>6000000</v>
      </c>
      <c r="M36" s="12" t="n">
        <f aca="false">L36*F36*H36</f>
        <v>6000000</v>
      </c>
    </row>
    <row r="37" customFormat="false" ht="15" hidden="false" customHeight="false" outlineLevel="0" collapsed="false">
      <c r="A37" s="19" t="n">
        <v>33</v>
      </c>
      <c r="B37" s="20" t="s">
        <v>138</v>
      </c>
      <c r="C37" s="20" t="s">
        <v>141</v>
      </c>
      <c r="D37" s="20" t="s">
        <v>97</v>
      </c>
      <c r="E37" s="13" t="n">
        <v>1000000</v>
      </c>
      <c r="F37" s="21" t="n">
        <v>1</v>
      </c>
      <c r="G37" s="22" t="n">
        <v>0</v>
      </c>
      <c r="H37" s="22" t="n">
        <v>1</v>
      </c>
      <c r="I37" s="12" t="n">
        <f aca="false">H37*E37*F37*IF(D37="Cố định",1,IF(D37="Theo bàn",'Giả định'!$B$10,IF(D37="Theo khách",'Giả định'!$B$6,0)))</f>
        <v>1000000</v>
      </c>
      <c r="J37" s="12" t="n">
        <f aca="false">E37*F37*H37</f>
        <v>1000000</v>
      </c>
      <c r="K37" s="23"/>
      <c r="L37" s="13" t="n">
        <v>1000000</v>
      </c>
      <c r="M37" s="12" t="n">
        <f aca="false">L37*F37*H37</f>
        <v>1000000</v>
      </c>
    </row>
    <row r="38" customFormat="false" ht="15" hidden="false" customHeight="false" outlineLevel="0" collapsed="false">
      <c r="A38" s="19" t="n">
        <v>34</v>
      </c>
      <c r="B38" s="20" t="s">
        <v>142</v>
      </c>
      <c r="C38" s="20" t="s">
        <v>143</v>
      </c>
      <c r="D38" s="20" t="s">
        <v>97</v>
      </c>
      <c r="E38" s="13" t="n">
        <v>5000000</v>
      </c>
      <c r="F38" s="21" t="n">
        <v>1</v>
      </c>
      <c r="G38" s="22" t="n">
        <v>0</v>
      </c>
      <c r="H38" s="22" t="n">
        <v>1</v>
      </c>
      <c r="I38" s="12" t="n">
        <f aca="false">H38*E38*F38*IF(D38="Cố định",1,IF(D38="Theo bàn",'Giả định'!$B$10,IF(D38="Theo khách",'Giả định'!$B$6,0)))</f>
        <v>5000000</v>
      </c>
      <c r="J38" s="12" t="n">
        <f aca="false">E38*F38*H38</f>
        <v>5000000</v>
      </c>
      <c r="K38" s="23"/>
      <c r="L38" s="13" t="n">
        <v>3000000</v>
      </c>
      <c r="M38" s="12" t="n">
        <f aca="false">L38*F38*H38</f>
        <v>3000000</v>
      </c>
    </row>
    <row r="39" customFormat="false" ht="15" hidden="false" customHeight="false" outlineLevel="0" collapsed="false">
      <c r="A39" s="19" t="n">
        <v>35</v>
      </c>
      <c r="B39" s="20" t="s">
        <v>142</v>
      </c>
      <c r="C39" s="20" t="s">
        <v>144</v>
      </c>
      <c r="D39" s="20" t="s">
        <v>97</v>
      </c>
      <c r="E39" s="13" t="n">
        <v>2000000</v>
      </c>
      <c r="F39" s="21" t="n">
        <v>1</v>
      </c>
      <c r="G39" s="22" t="n">
        <v>0</v>
      </c>
      <c r="H39" s="22" t="n">
        <v>1</v>
      </c>
      <c r="I39" s="12" t="n">
        <f aca="false">H39*E39*F39*IF(D39="Cố định",1,IF(D39="Theo bàn",'Giả định'!$B$10,IF(D39="Theo khách",'Giả định'!$B$6,0)))</f>
        <v>2000000</v>
      </c>
      <c r="J39" s="12" t="n">
        <f aca="false">E39*F39*H39</f>
        <v>2000000</v>
      </c>
      <c r="K39" s="23"/>
      <c r="L39" s="13" t="n">
        <v>1000000</v>
      </c>
      <c r="M39" s="12" t="n">
        <f aca="false">L39*F39*H39</f>
        <v>1000000</v>
      </c>
    </row>
    <row r="40" customFormat="false" ht="15" hidden="false" customHeight="false" outlineLevel="0" collapsed="false">
      <c r="A40" s="19" t="n">
        <v>36</v>
      </c>
      <c r="B40" s="20" t="s">
        <v>142</v>
      </c>
      <c r="C40" s="20" t="s">
        <v>145</v>
      </c>
      <c r="D40" s="20" t="s">
        <v>97</v>
      </c>
      <c r="E40" s="13" t="n">
        <v>1000000</v>
      </c>
      <c r="F40" s="21" t="n">
        <v>1</v>
      </c>
      <c r="G40" s="22" t="n">
        <v>0</v>
      </c>
      <c r="H40" s="22" t="n">
        <v>1</v>
      </c>
      <c r="I40" s="12" t="n">
        <f aca="false">H40*E40*F40*IF(D40="Cố định",1,IF(D40="Theo bàn",'Giả định'!$B$10,IF(D40="Theo khách",'Giả định'!$B$6,0)))</f>
        <v>1000000</v>
      </c>
      <c r="J40" s="12" t="n">
        <f aca="false">E40*F40*H40</f>
        <v>1000000</v>
      </c>
      <c r="K40" s="23" t="s">
        <v>146</v>
      </c>
      <c r="L40" s="13" t="n">
        <v>500000</v>
      </c>
      <c r="M40" s="12" t="n">
        <f aca="false">L40*F40*H40</f>
        <v>500000</v>
      </c>
    </row>
    <row r="41" customFormat="false" ht="15" hidden="false" customHeight="false" outlineLevel="0" collapsed="false">
      <c r="A41" s="19" t="n">
        <v>37</v>
      </c>
      <c r="B41" s="20" t="s">
        <v>142</v>
      </c>
      <c r="C41" s="20" t="s">
        <v>147</v>
      </c>
      <c r="D41" s="20" t="s">
        <v>97</v>
      </c>
      <c r="E41" s="13" t="n">
        <v>500000</v>
      </c>
      <c r="F41" s="21" t="n">
        <v>1</v>
      </c>
      <c r="G41" s="22" t="n">
        <v>0</v>
      </c>
      <c r="H41" s="22" t="n">
        <v>1</v>
      </c>
      <c r="I41" s="12" t="n">
        <f aca="false">H41*E41*F41*IF(D41="Cố định",1,IF(D41="Theo bàn",'Giả định'!$B$10,IF(D41="Theo khách",'Giả định'!$B$6,0)))</f>
        <v>500000</v>
      </c>
      <c r="J41" s="12" t="n">
        <f aca="false">E41*F41*H41</f>
        <v>500000</v>
      </c>
      <c r="K41" s="23"/>
      <c r="L41" s="13" t="n">
        <v>200000</v>
      </c>
      <c r="M41" s="12" t="n">
        <f aca="false">L41*F41*H41</f>
        <v>200000</v>
      </c>
    </row>
    <row r="42" customFormat="false" ht="15" hidden="false" customHeight="false" outlineLevel="0" collapsed="false">
      <c r="A42" s="19" t="n">
        <v>38</v>
      </c>
      <c r="B42" s="20" t="s">
        <v>142</v>
      </c>
      <c r="C42" s="20" t="s">
        <v>148</v>
      </c>
      <c r="D42" s="20" t="s">
        <v>97</v>
      </c>
      <c r="E42" s="13" t="n">
        <v>2000000</v>
      </c>
      <c r="F42" s="21" t="n">
        <v>1</v>
      </c>
      <c r="G42" s="22" t="n">
        <v>0</v>
      </c>
      <c r="H42" s="22" t="n">
        <v>1</v>
      </c>
      <c r="I42" s="12" t="n">
        <f aca="false">H42*E42*F42*IF(D42="Cố định",1,IF(D42="Theo bàn",'Giả định'!$B$10,IF(D42="Theo khách",'Giả định'!$B$6,0)))</f>
        <v>2000000</v>
      </c>
      <c r="J42" s="12" t="n">
        <f aca="false">E42*F42*H42</f>
        <v>2000000</v>
      </c>
      <c r="K42" s="23"/>
      <c r="L42" s="13" t="n">
        <v>1000000</v>
      </c>
      <c r="M42" s="12" t="n">
        <f aca="false">L42*F42*H42</f>
        <v>1000000</v>
      </c>
    </row>
    <row r="43" customFormat="false" ht="15" hidden="false" customHeight="false" outlineLevel="0" collapsed="false">
      <c r="A43" s="19" t="n">
        <v>39</v>
      </c>
      <c r="B43" s="20" t="s">
        <v>149</v>
      </c>
      <c r="C43" s="20" t="s">
        <v>150</v>
      </c>
      <c r="D43" s="20" t="s">
        <v>90</v>
      </c>
      <c r="E43" s="13" t="n">
        <v>150000</v>
      </c>
      <c r="F43" s="21" t="n">
        <v>1</v>
      </c>
      <c r="G43" s="22" t="n">
        <v>1</v>
      </c>
      <c r="H43" s="22" t="n">
        <v>0</v>
      </c>
      <c r="I43" s="12" t="n">
        <f aca="false">H43*E43*F43*IF(D43="Cố định",1,IF(D43="Theo bàn",'Giả định'!$B$10,IF(D43="Theo khách",'Giả định'!$B$6,0)))</f>
        <v>0</v>
      </c>
      <c r="J43" s="12" t="n">
        <f aca="false">E43*F43*H43</f>
        <v>0</v>
      </c>
      <c r="K43" s="23" t="s">
        <v>151</v>
      </c>
      <c r="L43" s="13" t="n">
        <v>150000</v>
      </c>
      <c r="M43" s="12" t="n">
        <f aca="false">L43*F43*H43</f>
        <v>0</v>
      </c>
    </row>
    <row r="44" customFormat="false" ht="15" hidden="false" customHeight="false" outlineLevel="0" collapsed="false">
      <c r="A44" s="19" t="n">
        <v>40</v>
      </c>
      <c r="B44" s="20" t="s">
        <v>149</v>
      </c>
      <c r="C44" s="20" t="s">
        <v>152</v>
      </c>
      <c r="D44" s="20" t="s">
        <v>97</v>
      </c>
      <c r="E44" s="13" t="n">
        <v>3000000</v>
      </c>
      <c r="F44" s="21" t="n">
        <v>1</v>
      </c>
      <c r="G44" s="22" t="n">
        <v>0</v>
      </c>
      <c r="H44" s="22" t="n">
        <v>0</v>
      </c>
      <c r="I44" s="12" t="n">
        <f aca="false">H44*E44*F44*IF(D44="Cố định",1,IF(D44="Theo bàn",'Giả định'!$B$10,IF(D44="Theo khách",'Giả định'!$B$6,0)))</f>
        <v>0</v>
      </c>
      <c r="J44" s="12" t="n">
        <f aca="false">E44*F44*H44</f>
        <v>0</v>
      </c>
      <c r="K44" s="23" t="s">
        <v>153</v>
      </c>
      <c r="L44" s="13" t="n">
        <v>3000000</v>
      </c>
      <c r="M44" s="12" t="n">
        <f aca="false">L44*F44*H44</f>
        <v>0</v>
      </c>
    </row>
    <row r="45" customFormat="false" ht="15" hidden="false" customHeight="false" outlineLevel="0" collapsed="false">
      <c r="A45" s="19" t="n">
        <v>41</v>
      </c>
      <c r="B45" s="20" t="s">
        <v>149</v>
      </c>
      <c r="C45" s="20" t="s">
        <v>154</v>
      </c>
      <c r="D45" s="20" t="s">
        <v>97</v>
      </c>
      <c r="E45" s="13" t="n">
        <v>8000000</v>
      </c>
      <c r="F45" s="21" t="n">
        <v>1</v>
      </c>
      <c r="G45" s="22" t="n">
        <v>0</v>
      </c>
      <c r="H45" s="22" t="n">
        <v>0</v>
      </c>
      <c r="I45" s="12" t="n">
        <f aca="false">H45*E45*F45*IF(D45="Cố định",1,IF(D45="Theo bàn",'Giả định'!$B$10,IF(D45="Theo khách",'Giả định'!$B$6,0)))</f>
        <v>0</v>
      </c>
      <c r="J45" s="12" t="n">
        <f aca="false">E45*F45*H45</f>
        <v>0</v>
      </c>
      <c r="K45" s="23" t="s">
        <v>155</v>
      </c>
      <c r="L45" s="13" t="n">
        <v>8000000</v>
      </c>
      <c r="M45" s="12" t="n">
        <f aca="false">L45*F45*H45</f>
        <v>0</v>
      </c>
    </row>
    <row r="46" customFormat="false" ht="15" hidden="false" customHeight="false" outlineLevel="0" collapsed="false">
      <c r="A46" s="19" t="n">
        <v>42</v>
      </c>
      <c r="B46" s="20" t="s">
        <v>149</v>
      </c>
      <c r="C46" s="20" t="s">
        <v>156</v>
      </c>
      <c r="D46" s="20" t="s">
        <v>90</v>
      </c>
      <c r="E46" s="13" t="n">
        <v>4500000</v>
      </c>
      <c r="F46" s="21" t="n">
        <v>1</v>
      </c>
      <c r="G46" s="22" t="n">
        <v>1</v>
      </c>
      <c r="H46" s="22" t="n">
        <v>0</v>
      </c>
      <c r="I46" s="12" t="n">
        <f aca="false">H46*E46*F46*IF(D46="Cố định",1,IF(D46="Theo bàn",'Giả định'!$B$10,IF(D46="Theo khách",'Giả định'!$B$6,0)))</f>
        <v>0</v>
      </c>
      <c r="J46" s="12" t="n">
        <f aca="false">E46*F46*H46</f>
        <v>0</v>
      </c>
      <c r="K46" s="23" t="s">
        <v>157</v>
      </c>
      <c r="L46" s="13" t="n">
        <v>4500000</v>
      </c>
      <c r="M46" s="12" t="n">
        <f aca="false">L46*F46*H46</f>
        <v>0</v>
      </c>
    </row>
    <row r="47" customFormat="false" ht="15" hidden="false" customHeight="false" outlineLevel="0" collapsed="false">
      <c r="A47" s="19" t="n">
        <v>43</v>
      </c>
      <c r="B47" s="20" t="s">
        <v>149</v>
      </c>
      <c r="C47" s="20" t="s">
        <v>158</v>
      </c>
      <c r="D47" s="20" t="s">
        <v>97</v>
      </c>
      <c r="E47" s="13" t="n">
        <v>30000000</v>
      </c>
      <c r="F47" s="21" t="n">
        <v>1</v>
      </c>
      <c r="G47" s="22" t="n">
        <v>0</v>
      </c>
      <c r="H47" s="22" t="n">
        <v>0</v>
      </c>
      <c r="I47" s="12" t="n">
        <f aca="false">H47*E47*F47*IF(D47="Cố định",1,IF(D47="Theo bàn",'Giả định'!$B$10,IF(D47="Theo khách",'Giả định'!$B$6,0)))</f>
        <v>0</v>
      </c>
      <c r="J47" s="12" t="n">
        <f aca="false">E47*F47*H47</f>
        <v>0</v>
      </c>
      <c r="K47" s="23" t="s">
        <v>159</v>
      </c>
      <c r="L47" s="13" t="n">
        <v>30000000</v>
      </c>
      <c r="M47" s="12" t="n">
        <f aca="false">L47*F47*H47</f>
        <v>0</v>
      </c>
    </row>
    <row r="48" customFormat="false" ht="15" hidden="false" customHeight="false" outlineLevel="0" collapsed="false">
      <c r="A48" s="19"/>
      <c r="B48" s="20"/>
      <c r="C48" s="20"/>
      <c r="D48" s="20"/>
      <c r="E48" s="13"/>
      <c r="F48" s="20"/>
      <c r="G48" s="20"/>
      <c r="H48" s="20"/>
      <c r="I48" s="12" t="n">
        <f aca="false">H48*E48*F48*IF(D48="Cố định",1,IF(D48="Theo bàn",'Giả định'!$B$10,IF(D48="Theo khách",'Giả định'!$B$6,0)))</f>
        <v>0</v>
      </c>
      <c r="J48" s="12" t="n">
        <f aca="false">E48*F48*H48</f>
        <v>0</v>
      </c>
      <c r="K48" s="19" t="s">
        <v>160</v>
      </c>
      <c r="L48" s="13"/>
      <c r="M48" s="12" t="n">
        <f aca="false">L48*F48*H48</f>
        <v>0</v>
      </c>
    </row>
    <row r="49" customFormat="false" ht="15" hidden="false" customHeight="false" outlineLevel="0" collapsed="false">
      <c r="A49" s="19"/>
      <c r="B49" s="20"/>
      <c r="C49" s="20"/>
      <c r="D49" s="20"/>
      <c r="E49" s="13"/>
      <c r="F49" s="20"/>
      <c r="G49" s="20"/>
      <c r="H49" s="20"/>
      <c r="I49" s="12" t="n">
        <f aca="false">H49*E49*F49*IF(D49="Cố định",1,IF(D49="Theo bàn",'Giả định'!$B$10,IF(D49="Theo khách",'Giả định'!$B$6,0)))</f>
        <v>0</v>
      </c>
      <c r="J49" s="12" t="n">
        <f aca="false">E49*F49*H49</f>
        <v>0</v>
      </c>
      <c r="K49" s="24"/>
      <c r="L49" s="13"/>
      <c r="M49" s="12" t="n">
        <f aca="false">L49*F49*H49</f>
        <v>0</v>
      </c>
    </row>
    <row r="50" customFormat="false" ht="15" hidden="false" customHeight="false" outlineLevel="0" collapsed="false">
      <c r="A50" s="19"/>
      <c r="B50" s="20"/>
      <c r="C50" s="20"/>
      <c r="D50" s="20"/>
      <c r="E50" s="13"/>
      <c r="F50" s="20"/>
      <c r="G50" s="20"/>
      <c r="H50" s="20"/>
      <c r="I50" s="12" t="n">
        <f aca="false">H50*E50*F50*IF(D50="Cố định",1,IF(D50="Theo bàn",'Giả định'!$B$10,IF(D50="Theo khách",'Giả định'!$B$6,0)))</f>
        <v>0</v>
      </c>
      <c r="J50" s="12" t="n">
        <f aca="false">E50*F50*H50</f>
        <v>0</v>
      </c>
      <c r="K50" s="24"/>
      <c r="L50" s="13"/>
      <c r="M50" s="12" t="n">
        <f aca="false">L50*F50*H50</f>
        <v>0</v>
      </c>
    </row>
    <row r="51" customFormat="false" ht="15" hidden="false" customHeight="false" outlineLevel="0" collapsed="false">
      <c r="A51" s="19"/>
      <c r="B51" s="20"/>
      <c r="C51" s="20"/>
      <c r="D51" s="20"/>
      <c r="E51" s="13"/>
      <c r="F51" s="20"/>
      <c r="G51" s="20"/>
      <c r="H51" s="20"/>
      <c r="I51" s="12" t="n">
        <f aca="false">H51*E51*F51*IF(D51="Cố định",1,IF(D51="Theo bàn",'Giả định'!$B$10,IF(D51="Theo khách",'Giả định'!$B$6,0)))</f>
        <v>0</v>
      </c>
      <c r="J51" s="12" t="n">
        <f aca="false">E51*F51*H51</f>
        <v>0</v>
      </c>
      <c r="K51" s="24"/>
      <c r="L51" s="13"/>
      <c r="M51" s="12" t="n">
        <f aca="false">L51*F51*H51</f>
        <v>0</v>
      </c>
    </row>
    <row r="52" customFormat="false" ht="15" hidden="false" customHeight="false" outlineLevel="0" collapsed="false">
      <c r="A52" s="19"/>
      <c r="B52" s="20"/>
      <c r="C52" s="20"/>
      <c r="D52" s="20"/>
      <c r="E52" s="13"/>
      <c r="F52" s="20"/>
      <c r="G52" s="20"/>
      <c r="H52" s="20"/>
      <c r="I52" s="12" t="n">
        <f aca="false">H52*E52*F52*IF(D52="Cố định",1,IF(D52="Theo bàn",'Giả định'!$B$10,IF(D52="Theo khách",'Giả định'!$B$6,0)))</f>
        <v>0</v>
      </c>
      <c r="J52" s="12" t="n">
        <f aca="false">E52*F52*H52</f>
        <v>0</v>
      </c>
      <c r="K52" s="24"/>
      <c r="L52" s="13"/>
      <c r="M52" s="12" t="n">
        <f aca="false">L52*F52*H52</f>
        <v>0</v>
      </c>
    </row>
    <row r="53" customFormat="false" ht="15" hidden="false" customHeight="false" outlineLevel="0" collapsed="false">
      <c r="A53" s="19"/>
      <c r="B53" s="20"/>
      <c r="C53" s="20"/>
      <c r="D53" s="20"/>
      <c r="E53" s="13"/>
      <c r="F53" s="20"/>
      <c r="G53" s="20"/>
      <c r="H53" s="20"/>
      <c r="I53" s="12" t="n">
        <f aca="false">H53*E53*F53*IF(D53="Cố định",1,IF(D53="Theo bàn",'Giả định'!$B$10,IF(D53="Theo khách",'Giả định'!$B$6,0)))</f>
        <v>0</v>
      </c>
      <c r="J53" s="12" t="n">
        <f aca="false">E53*F53*H53</f>
        <v>0</v>
      </c>
      <c r="K53" s="24"/>
      <c r="L53" s="13"/>
      <c r="M53" s="12" t="n">
        <f aca="false">L53*F53*H53</f>
        <v>0</v>
      </c>
    </row>
    <row r="55" customFormat="false" ht="15" hidden="false" customHeight="false" outlineLevel="0" collapsed="false">
      <c r="A55" s="5" t="s">
        <v>161</v>
      </c>
      <c r="B55" s="6"/>
      <c r="C55" s="6"/>
      <c r="D55" s="6"/>
      <c r="E55" s="6"/>
      <c r="F55" s="6"/>
      <c r="G55" s="6"/>
      <c r="H55" s="6"/>
      <c r="I55" s="6"/>
      <c r="J55" s="6"/>
      <c r="K55" s="6"/>
    </row>
    <row r="56" customFormat="false" ht="15" hidden="false" customHeight="false" outlineLevel="0" collapsed="false">
      <c r="C56" s="7" t="s">
        <v>162</v>
      </c>
      <c r="I56" s="25" t="n">
        <f aca="false">SUM(I5:I53)</f>
        <v>382067000</v>
      </c>
    </row>
    <row r="57" customFormat="false" ht="15" hidden="false" customHeight="false" outlineLevel="0" collapsed="false">
      <c r="C57" s="7" t="s">
        <v>163</v>
      </c>
      <c r="I57" s="25" t="n">
        <f aca="false">'Giả định'!$B$15*SUMPRODUCT($G$5:$G$53,$I$5:$I$53)</f>
        <v>35530000</v>
      </c>
    </row>
    <row r="58" customFormat="false" ht="15" hidden="false" customHeight="false" outlineLevel="0" collapsed="false">
      <c r="C58" s="7" t="s">
        <v>164</v>
      </c>
      <c r="I58" s="25" t="n">
        <f aca="false">'Giả định'!$B$16*(I56+I57)</f>
        <v>41759700</v>
      </c>
    </row>
    <row r="59" customFormat="false" ht="15" hidden="false" customHeight="false" outlineLevel="0" collapsed="false">
      <c r="C59" s="26" t="s">
        <v>165</v>
      </c>
      <c r="D59" s="27"/>
      <c r="E59" s="27"/>
      <c r="F59" s="27"/>
      <c r="G59" s="27"/>
      <c r="H59" s="27"/>
      <c r="I59" s="28" t="n">
        <f aca="false">I56+I57+I58</f>
        <v>459356700</v>
      </c>
    </row>
    <row r="60" customFormat="false" ht="15" hidden="false" customHeight="false" outlineLevel="0" collapsed="false">
      <c r="C60" s="7" t="s">
        <v>166</v>
      </c>
      <c r="I60" s="25" t="n">
        <f aca="false">'Giả định'!$B$6/'Giả định'!$B$19*'Giả định'!$B$20+'Giả định'!$B$6*'Giả định'!$B$23+'Giả định'!$B$24</f>
        <v>94928571.4285714</v>
      </c>
    </row>
    <row r="61" customFormat="false" ht="15" hidden="false" customHeight="false" outlineLevel="0" collapsed="false">
      <c r="C61" s="26" t="s">
        <v>167</v>
      </c>
      <c r="D61" s="27"/>
      <c r="E61" s="27"/>
      <c r="F61" s="27"/>
      <c r="G61" s="27"/>
      <c r="H61" s="27"/>
      <c r="I61" s="28" t="n">
        <f aca="false">I60-I59</f>
        <v>-364428128.571429</v>
      </c>
    </row>
    <row r="63" customFormat="false" ht="15" hidden="false" customHeight="false" outlineLevel="0" collapsed="false">
      <c r="A63" s="5" t="s">
        <v>168</v>
      </c>
      <c r="B63" s="6"/>
      <c r="C63" s="6"/>
      <c r="D63" s="6"/>
      <c r="E63" s="6"/>
      <c r="F63" s="6"/>
      <c r="G63" s="6"/>
      <c r="H63" s="6"/>
      <c r="I63" s="6"/>
      <c r="J63" s="6"/>
      <c r="K63" s="6"/>
    </row>
    <row r="64" customFormat="false" ht="15" hidden="false" customHeight="false" outlineLevel="0" collapsed="false">
      <c r="C64" s="29" t="s">
        <v>76</v>
      </c>
      <c r="I64" s="30" t="s">
        <v>169</v>
      </c>
      <c r="J64" s="30" t="s">
        <v>170</v>
      </c>
    </row>
    <row r="65" customFormat="false" ht="15" hidden="false" customHeight="false" outlineLevel="0" collapsed="false">
      <c r="C65" s="7" t="s">
        <v>88</v>
      </c>
      <c r="I65" s="25" t="n">
        <f aca="false">SUMIFS($I$5:$I$53,$B$5:$B$53,C65)</f>
        <v>254067000</v>
      </c>
      <c r="J65" s="31" t="n">
        <f aca="false">IF($I$56=0,0,I65/$I$56)</f>
        <v>0.664980225981307</v>
      </c>
    </row>
    <row r="66" customFormat="false" ht="15" hidden="false" customHeight="false" outlineLevel="0" collapsed="false">
      <c r="C66" s="7" t="s">
        <v>115</v>
      </c>
      <c r="I66" s="25" t="n">
        <f aca="false">SUMIFS($I$5:$I$53,$B$5:$B$53,C66)</f>
        <v>46000000</v>
      </c>
      <c r="J66" s="31" t="n">
        <f aca="false">IF($I$56=0,0,I66/$I$56)</f>
        <v>0.120397731287968</v>
      </c>
    </row>
    <row r="67" customFormat="false" ht="15" hidden="false" customHeight="false" outlineLevel="0" collapsed="false">
      <c r="C67" s="7" t="s">
        <v>125</v>
      </c>
      <c r="I67" s="25" t="n">
        <f aca="false">SUMIFS($I$5:$I$53,$B$5:$B$53,C67)</f>
        <v>30500000</v>
      </c>
      <c r="J67" s="31" t="n">
        <f aca="false">IF($I$56=0,0,I67/$I$56)</f>
        <v>0.0798289305278917</v>
      </c>
    </row>
    <row r="68" customFormat="false" ht="15" hidden="false" customHeight="false" outlineLevel="0" collapsed="false">
      <c r="C68" s="7" t="s">
        <v>133</v>
      </c>
      <c r="I68" s="25" t="n">
        <f aca="false">SUMIFS($I$5:$I$53,$B$5:$B$53,C68)</f>
        <v>30000000</v>
      </c>
      <c r="J68" s="31" t="n">
        <f aca="false">IF($I$56=0,0,I68/$I$56)</f>
        <v>0.0785202595356312</v>
      </c>
    </row>
    <row r="69" customFormat="false" ht="15" hidden="false" customHeight="false" outlineLevel="0" collapsed="false">
      <c r="C69" s="7" t="s">
        <v>138</v>
      </c>
      <c r="I69" s="25" t="n">
        <f aca="false">SUMIFS($I$5:$I$53,$B$5:$B$53,C69)</f>
        <v>11000000</v>
      </c>
      <c r="J69" s="31" t="n">
        <f aca="false">IF($I$56=0,0,I69/$I$56)</f>
        <v>0.0287907618297314</v>
      </c>
    </row>
    <row r="70" customFormat="false" ht="15" hidden="false" customHeight="false" outlineLevel="0" collapsed="false">
      <c r="C70" s="7" t="s">
        <v>142</v>
      </c>
      <c r="I70" s="25" t="n">
        <f aca="false">SUMIFS($I$5:$I$53,$B$5:$B$53,C70)</f>
        <v>10500000</v>
      </c>
      <c r="J70" s="31" t="n">
        <f aca="false">IF($I$56=0,0,I70/$I$56)</f>
        <v>0.0274820908374709</v>
      </c>
    </row>
    <row r="71" customFormat="false" ht="15" hidden="false" customHeight="false" outlineLevel="0" collapsed="false">
      <c r="C71" s="7" t="s">
        <v>149</v>
      </c>
      <c r="I71" s="25" t="n">
        <f aca="false">SUMIFS($I$5:$I$53,$B$5:$B$53,C71)</f>
        <v>0</v>
      </c>
      <c r="J71" s="31" t="n">
        <f aca="false">IF($I$56=0,0,I71/$I$56)</f>
        <v>0</v>
      </c>
    </row>
    <row r="72" customFormat="false" ht="15" hidden="false" customHeight="false" outlineLevel="0" collapsed="false">
      <c r="C72" s="9" t="s">
        <v>171</v>
      </c>
      <c r="I72" s="9" t="str">
        <f aca="false">IF(ABS(SUM(I65:I71)-I56)&lt;1,"OK","LỆCH: có hạng mục sai tên nhóm")</f>
        <v>OK</v>
      </c>
    </row>
    <row r="74" customFormat="false" ht="15" hidden="false" customHeight="false" outlineLevel="0" collapsed="false">
      <c r="A74" s="5" t="s">
        <v>172</v>
      </c>
      <c r="B74" s="6"/>
      <c r="C74" s="6"/>
      <c r="D74" s="6"/>
      <c r="E74" s="6"/>
      <c r="F74" s="6"/>
      <c r="G74" s="6"/>
      <c r="H74" s="6"/>
      <c r="I74" s="6"/>
      <c r="J74" s="6"/>
      <c r="K74" s="6"/>
    </row>
    <row r="75" customFormat="false" ht="30" hidden="false" customHeight="true" outlineLevel="0" collapsed="false">
      <c r="B75" s="30" t="s">
        <v>173</v>
      </c>
      <c r="C75" s="30" t="s">
        <v>174</v>
      </c>
      <c r="D75" s="30" t="s">
        <v>175</v>
      </c>
      <c r="E75" s="30" t="s">
        <v>176</v>
      </c>
      <c r="F75" s="30" t="s">
        <v>177</v>
      </c>
      <c r="G75" s="30" t="s">
        <v>178</v>
      </c>
      <c r="H75" s="30" t="s">
        <v>179</v>
      </c>
    </row>
    <row r="76" customFormat="false" ht="15" hidden="false" customHeight="false" outlineLevel="0" collapsed="false">
      <c r="B76" s="7" t="s">
        <v>88</v>
      </c>
      <c r="C76" s="25" t="n">
        <f aca="false">SUMIFS($J$5:$J$53,$B$5:$B$53,$B$76,$D$5:$D$53,"Cố định")</f>
        <v>52500000</v>
      </c>
      <c r="D76" s="25" t="n">
        <f aca="false">SUMIFS($J$5:$J$53,$B$5:$B$53,$B$76,$D$5:$D$53,"Theo bàn")</f>
        <v>7150000</v>
      </c>
      <c r="E76" s="25" t="n">
        <f aca="false">SUMIFS($J$5:$J$53,$B$5:$B$53,$B$76,$D$5:$D$53,"Theo khách")</f>
        <v>33400</v>
      </c>
      <c r="F76" s="25" t="n">
        <f aca="false">SUMIFS($J$5:$J$53,$B$5:$B$53,$B$76,$D$5:$D$53,"Cố định",$G$5:$G$53,1)</f>
        <v>5000000</v>
      </c>
      <c r="G76" s="25" t="n">
        <f aca="false">SUMIFS($J$5:$J$53,$B$5:$B$53,$B$76,$D$5:$D$53,"Theo bàn",$G$5:$G$53,1)</f>
        <v>7000000</v>
      </c>
      <c r="H76" s="25" t="n">
        <f aca="false">SUMIFS($J$5:$J$53,$B$5:$B$53,$B$76,$D$5:$D$53,"Theo khách",$G$5:$G$53,1)</f>
        <v>0</v>
      </c>
    </row>
    <row r="77" customFormat="false" ht="15" hidden="false" customHeight="false" outlineLevel="0" collapsed="false">
      <c r="B77" s="7" t="s">
        <v>180</v>
      </c>
      <c r="C77" s="25" t="n">
        <f aca="false">SUMIFS($J$5:$J$53,$D$5:$D$53,"Cố định")</f>
        <v>180500000</v>
      </c>
      <c r="D77" s="25" t="n">
        <f aca="false">SUMIFS($J$5:$J$53,$D$5:$D$53,"Theo bàn")</f>
        <v>7150000</v>
      </c>
      <c r="E77" s="25" t="n">
        <f aca="false">SUMIFS($J$5:$J$53,$D$5:$D$53,"Theo khách")</f>
        <v>33400</v>
      </c>
      <c r="F77" s="25" t="n">
        <f aca="false">SUMIFS($J$5:$J$53,$D$5:$D$53,"Cố định",$G$5:$G$53,1)</f>
        <v>20000000</v>
      </c>
      <c r="G77" s="25" t="n">
        <f aca="false">SUMIFS($J$5:$J$53,$D$5:$D$53,"Theo bàn",$G$5:$G$53,1)</f>
        <v>7000000</v>
      </c>
      <c r="H77" s="25" t="n">
        <f aca="false">SUMIFS($J$5:$J$53,$D$5:$D$53,"Theo khách",$G$5:$G$53,1)</f>
        <v>0</v>
      </c>
    </row>
    <row r="78" customFormat="false" ht="15" hidden="false" customHeight="false" outlineLevel="0" collapsed="false">
      <c r="B78" s="7" t="s">
        <v>181</v>
      </c>
      <c r="C78" s="25" t="n">
        <f aca="false">SUMIFS($M$5:$M$53,$D$5:$D$53,"Cố định")</f>
        <v>93300000</v>
      </c>
      <c r="D78" s="25" t="n">
        <f aca="false">SUMIFS($M$5:$M$53,$D$5:$D$53,"Theo bàn")</f>
        <v>7100000</v>
      </c>
      <c r="E78" s="25" t="n">
        <f aca="false">SUMIFS($M$5:$M$53,$D$5:$D$53,"Theo khách")</f>
        <v>20600</v>
      </c>
      <c r="F78" s="25" t="n">
        <f aca="false">SUMIFS($M$5:$M$53,$D$5:$D$53,"Cố định",$G$5:$G$53,1)</f>
        <v>9000000</v>
      </c>
      <c r="G78" s="25" t="n">
        <f aca="false">SUMIFS($M$5:$M$53,$D$5:$D$53,"Theo bàn",$G$5:$G$53,1)</f>
        <v>7000000</v>
      </c>
      <c r="H78" s="25" t="n">
        <f aca="false">SUMIFS($M$5:$M$53,$D$5:$D$53,"Theo khách",$G$5:$G$53,1)</f>
        <v>0</v>
      </c>
    </row>
  </sheetData>
  <mergeCells count="1">
    <mergeCell ref="A2:K2"/>
  </mergeCells>
  <dataValidations count="2">
    <dataValidation allowBlank="true" errorStyle="stop" operator="between" showDropDown="false" showErrorMessage="false" showInputMessage="false" sqref="D5:D53" type="list">
      <formula1>"Cố định,Theo bàn,Theo khách"</formula1>
      <formula2>0</formula2>
    </dataValidation>
    <dataValidation allowBlank="true" errorStyle="stop" operator="between" showDropDown="false" showErrorMessage="false" showInputMessage="false" sqref="G5:H53" type="list">
      <formula1>"0,1"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9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2"/>
    <col collapsed="false" customWidth="true" hidden="false" outlineLevel="0" max="7" min="2" style="0" width="20"/>
  </cols>
  <sheetData>
    <row r="1" customFormat="false" ht="17.35" hidden="false" customHeight="false" outlineLevel="0" collapsed="false">
      <c r="A1" s="1" t="s">
        <v>182</v>
      </c>
    </row>
    <row r="2" customFormat="false" ht="15" hidden="false" customHeight="false" outlineLevel="0" collapsed="false">
      <c r="A2" s="4" t="s">
        <v>183</v>
      </c>
    </row>
    <row r="4" customFormat="false" ht="15" hidden="false" customHeight="false" outlineLevel="0" collapsed="false">
      <c r="A4" s="5" t="s">
        <v>184</v>
      </c>
      <c r="B4" s="6"/>
      <c r="C4" s="6"/>
    </row>
    <row r="5" customFormat="false" ht="15" hidden="false" customHeight="false" outlineLevel="0" collapsed="false">
      <c r="A5" s="7" t="s">
        <v>22</v>
      </c>
      <c r="B5" s="32" t="n">
        <f aca="false">'Giả định'!$B$4</f>
        <v>300</v>
      </c>
    </row>
    <row r="6" customFormat="false" ht="15" hidden="false" customHeight="false" outlineLevel="0" collapsed="false">
      <c r="A6" s="7" t="s">
        <v>28</v>
      </c>
      <c r="B6" s="32" t="n">
        <f aca="false">'Giả định'!$B$6</f>
        <v>255</v>
      </c>
    </row>
    <row r="7" customFormat="false" ht="15" hidden="false" customHeight="false" outlineLevel="0" collapsed="false">
      <c r="A7" s="7" t="s">
        <v>38</v>
      </c>
      <c r="B7" s="32" t="n">
        <f aca="false">'Giả định'!$B$10</f>
        <v>27</v>
      </c>
    </row>
    <row r="8" customFormat="false" ht="15" hidden="false" customHeight="false" outlineLevel="0" collapsed="false">
      <c r="A8" s="7" t="s">
        <v>185</v>
      </c>
      <c r="B8" s="32" t="n">
        <f aca="false">'Chi phí'!I59</f>
        <v>459356700</v>
      </c>
    </row>
    <row r="9" customFormat="false" ht="15" hidden="false" customHeight="false" outlineLevel="0" collapsed="false">
      <c r="A9" s="7" t="s">
        <v>186</v>
      </c>
      <c r="B9" s="32" t="n">
        <f aca="false">'Chi phí'!I60</f>
        <v>94928571.4285714</v>
      </c>
    </row>
    <row r="10" customFormat="false" ht="15" hidden="false" customHeight="false" outlineLevel="0" collapsed="false">
      <c r="A10" s="33" t="s">
        <v>187</v>
      </c>
      <c r="B10" s="28" t="n">
        <f aca="false">B9-B8</f>
        <v>-364428128.571429</v>
      </c>
    </row>
    <row r="11" customFormat="false" ht="15" hidden="false" customHeight="false" outlineLevel="0" collapsed="false">
      <c r="A11" s="7" t="s">
        <v>188</v>
      </c>
      <c r="B11" s="12" t="n">
        <f aca="false">IF(B6=0,0,B8/B6)</f>
        <v>1801398.82352941</v>
      </c>
    </row>
    <row r="12" customFormat="false" ht="15" hidden="false" customHeight="false" outlineLevel="0" collapsed="false">
      <c r="A12" s="7" t="s">
        <v>189</v>
      </c>
      <c r="B12" s="32" t="n">
        <f aca="false">'Giả định'!$B$20/'Giả định'!$B$19+'Giả định'!$B$23</f>
        <v>372268.907563025</v>
      </c>
    </row>
    <row r="13" customFormat="false" ht="15" hidden="false" customHeight="false" outlineLevel="0" collapsed="false">
      <c r="A13" s="7" t="s">
        <v>190</v>
      </c>
      <c r="B13" s="32" t="n">
        <f aca="false">INDEX('Mô phỏng'!$G$5:$G$1005,B6+1)</f>
        <v>-220823128.571429</v>
      </c>
    </row>
    <row r="15" customFormat="false" ht="15" hidden="false" customHeight="false" outlineLevel="0" collapsed="false">
      <c r="A15" s="5" t="s">
        <v>191</v>
      </c>
      <c r="B15" s="6"/>
      <c r="C15" s="6"/>
    </row>
    <row r="16" customFormat="false" ht="15" hidden="false" customHeight="false" outlineLevel="0" collapsed="false">
      <c r="A16" s="29" t="s">
        <v>192</v>
      </c>
      <c r="B16" s="30" t="s">
        <v>193</v>
      </c>
      <c r="C16" s="30" t="s">
        <v>194</v>
      </c>
    </row>
    <row r="17" customFormat="false" ht="15" hidden="false" customHeight="false" outlineLevel="0" collapsed="false">
      <c r="A17" s="7" t="s">
        <v>195</v>
      </c>
      <c r="B17" s="12" t="str">
        <f aca="false">IF(COUNT('Mô phỏng'!$H$5:$H$1005)=0,"Không đạt (trên 1,000)",MIN('Mô phỏng'!$H$5:$H$1005))</f>
        <v>Không đạt (trên 1,000)</v>
      </c>
      <c r="C17" s="12" t="str">
        <f aca="false">IF(COUNT('Mô phỏng'!$J$5:$J$1005)=0,"Không đạt (trên 1,000)",MIN('Mô phỏng'!$J$5:$J$1005))</f>
        <v>Không đạt (trên 1,000)</v>
      </c>
    </row>
    <row r="18" customFormat="false" ht="15" hidden="false" customHeight="false" outlineLevel="0" collapsed="false">
      <c r="A18" s="33" t="s">
        <v>196</v>
      </c>
      <c r="B18" s="34" t="str">
        <f aca="false">IF(COUNTIF('Mô phỏng'!$F$5:$F$1005,"&lt;0")=0,0,IF(MAX('Mô phỏng'!$I$5:$I$1005)&gt;=1000,"Không đạt (trên 1,000)",MAX('Mô phỏng'!$I$5:$I$1005)+1))</f>
        <v>Không đạt (trên 1,000)</v>
      </c>
      <c r="C18" s="34" t="str">
        <f aca="false">IF(COUNTIF('Mô phỏng'!$G$5:$G$1005,"&lt;0")=0,0,IF(MAX('Mô phỏng'!$K$5:$K$1005)&gt;=1000,"Không đạt (trên 1,000)",MAX('Mô phỏng'!$K$5:$K$1005)+1))</f>
        <v>Không đạt (trên 1,000)</v>
      </c>
    </row>
    <row r="19" customFormat="false" ht="15" hidden="false" customHeight="false" outlineLevel="0" collapsed="false">
      <c r="A19" s="7" t="s">
        <v>197</v>
      </c>
      <c r="B19" s="12" t="str">
        <f aca="false">IF(ISNUMBER(B18),ROUNDUP(B18/'Giả định'!$B$5,0),"n/a")</f>
        <v>n/a</v>
      </c>
      <c r="C19" s="12" t="str">
        <f aca="false">IF(ISNUMBER(C18),ROUNDUP(C18/'Giả định'!$B$5,0),"n/a")</f>
        <v>n/a</v>
      </c>
    </row>
    <row r="20" customFormat="false" ht="15" hidden="false" customHeight="false" outlineLevel="0" collapsed="false">
      <c r="A20" s="7" t="s">
        <v>198</v>
      </c>
      <c r="B20" s="12" t="str">
        <f aca="false">IF(ISNUMBER(B18),INDEX('Mô phỏng'!$B$5:$B$1005,B18+1),"n/a")</f>
        <v>n/a</v>
      </c>
      <c r="C20" s="12" t="str">
        <f aca="false">IF(ISNUMBER(C18),INDEX('Mô phỏng'!$B$5:$B$1005,C18+1),"n/a")</f>
        <v>n/a</v>
      </c>
    </row>
    <row r="21" customFormat="false" ht="15" hidden="false" customHeight="false" outlineLevel="0" collapsed="false">
      <c r="A21" s="33" t="s">
        <v>199</v>
      </c>
      <c r="B21" s="34" t="n">
        <f aca="false">IF(B6=0,0,(INDEX('Mô phỏng'!$D$5:$D$1005,B6+1)-'Giả định'!$B$24-B6*'Giả định'!$B$23)/(B6/'Giả định'!$B$19))</f>
        <v>2500781.88235294</v>
      </c>
      <c r="C21" s="34" t="n">
        <f aca="false">IF(B6=0,0,(INDEX('Mô phỏng'!$C$5:$C$1005,B6+1)-'Giả định'!$B$24-B6*'Giả định'!$B$23)/(B6/'Giả định'!$B$19))</f>
        <v>1712362.2745098</v>
      </c>
    </row>
    <row r="22" customFormat="false" ht="15" hidden="false" customHeight="false" outlineLevel="0" collapsed="false">
      <c r="A22" s="7" t="s">
        <v>200</v>
      </c>
      <c r="B22" s="12" t="n">
        <f aca="false">B21/'Giả định'!$B$19</f>
        <v>1786272.77310924</v>
      </c>
      <c r="C22" s="12" t="n">
        <f aca="false">C21/'Giả định'!$B$19</f>
        <v>1223115.91036415</v>
      </c>
    </row>
    <row r="23" customFormat="false" ht="15" hidden="false" customHeight="false" outlineLevel="0" collapsed="false">
      <c r="A23" s="7" t="s">
        <v>201</v>
      </c>
      <c r="B23" s="12" t="n">
        <f aca="false">'Giả định'!$B$20/'Giả định'!$B$19+'Giả định'!$B$23-(('Chi phí'!$D$77+'Giả định'!$B$15*'Chi phí'!$G$77)/'Giả định'!$B$7+'Chi phí'!$E$77+'Giả định'!$B$15*'Chi phí'!$H$77)*(1+'Giả định'!$B$16)</f>
        <v>-581871.092436975</v>
      </c>
      <c r="C23" s="12" t="n">
        <f aca="false">'Giả định'!$B$20/'Giả định'!$B$19+'Giả định'!$B$23-(('Chi phí'!$D$76+'Giả định'!$B$15*'Chi phí'!$G$76)/'Giả định'!$B$7+'Chi phí'!$E$76+'Giả định'!$B$15*'Chi phí'!$H$76)*(1+'Giả định'!$B$16)</f>
        <v>-581871.092436975</v>
      </c>
    </row>
    <row r="24" customFormat="false" ht="15" hidden="false" customHeight="false" outlineLevel="0" collapsed="false">
      <c r="A24" s="7" t="s">
        <v>202</v>
      </c>
      <c r="B24" s="12" t="str">
        <f aca="false">IF(B23&lt;=0,"Không bao giờ hòa vốn",MAX(0,('Chi phí'!$C$77+'Giả định'!$B$15*'Chi phí'!$F$77+'Giả định'!$B$8*('Chi phí'!$D$77+'Giả định'!$B$15*'Chi phí'!$G$77))*(1+'Giả định'!$B$16)-'Giả định'!$B$24)/B23)</f>
        <v>Không bao giờ hòa vốn</v>
      </c>
      <c r="C24" s="12" t="str">
        <f aca="false">IF(C23&lt;=0,"Không bao giờ hòa vốn",MAX(0,('Chi phí'!$C$76+'Giả định'!$B$15*'Chi phí'!$F$76+'Giả định'!$B$8*('Chi phí'!$D$76+'Giả định'!$B$15*'Chi phí'!$G$76))*(1+'Giả định'!$B$16)-'Giả định'!$B$24)/C23)</f>
        <v>Không bao giờ hòa vốn</v>
      </c>
    </row>
    <row r="25" customFormat="false" ht="15" hidden="false" customHeight="false" outlineLevel="0" collapsed="false">
      <c r="A25" s="9" t="s">
        <v>203</v>
      </c>
      <c r="B25" s="9" t="str">
        <f aca="false">IF(ABS(B8-INDEX('Mô phỏng'!$D$5:$D$1005,B6+1))&lt;1,"OK","LỆCH")</f>
        <v>OK</v>
      </c>
    </row>
    <row r="26" customFormat="false" ht="15" hidden="false" customHeight="false" outlineLevel="0" collapsed="false">
      <c r="A26" s="9" t="s">
        <v>204</v>
      </c>
    </row>
    <row r="28" customFormat="false" ht="15" hidden="false" customHeight="false" outlineLevel="0" collapsed="false">
      <c r="A28" s="5" t="s">
        <v>205</v>
      </c>
      <c r="B28" s="6"/>
      <c r="C28" s="6"/>
      <c r="D28" s="6"/>
      <c r="E28" s="6"/>
      <c r="F28" s="6"/>
      <c r="G28" s="6"/>
    </row>
    <row r="29" customFormat="false" ht="30" hidden="false" customHeight="true" outlineLevel="0" collapsed="false">
      <c r="A29" s="30" t="s">
        <v>206</v>
      </c>
      <c r="B29" s="35" t="n">
        <v>500000</v>
      </c>
      <c r="C29" s="35" t="n">
        <v>700000</v>
      </c>
      <c r="D29" s="35" t="n">
        <v>900000</v>
      </c>
      <c r="E29" s="35" t="n">
        <v>1100000</v>
      </c>
      <c r="F29" s="35" t="n">
        <v>1300000</v>
      </c>
      <c r="G29" s="35" t="n">
        <v>1500000</v>
      </c>
    </row>
    <row r="30" customFormat="false" ht="15" hidden="false" customHeight="false" outlineLevel="0" collapsed="false">
      <c r="A30" s="35" t="n">
        <v>100</v>
      </c>
      <c r="B30" s="12" t="n">
        <f aca="false">($A30/'Giả định'!$B$19*B$29+$A30*'Giả định'!$B$23+'Giả định'!$B$24)-INDEX('Mô phỏng'!$D$5:$D$1005,$A30+1)</f>
        <v>-306347109.243697</v>
      </c>
      <c r="C30" s="12" t="n">
        <f aca="false">($A30/'Giả định'!$B$19*C$29+$A30*'Giả định'!$B$23+'Giả định'!$B$24)-INDEX('Mô phỏng'!$D$5:$D$1005,$A30+1)</f>
        <v>-292061394.957983</v>
      </c>
      <c r="D30" s="12" t="n">
        <f aca="false">($A30/'Giả định'!$B$19*D$29+$A30*'Giả định'!$B$23+'Giả định'!$B$24)-INDEX('Mô phỏng'!$D$5:$D$1005,$A30+1)</f>
        <v>-277775680.672269</v>
      </c>
      <c r="E30" s="12" t="n">
        <f aca="false">($A30/'Giả định'!$B$19*E$29+$A30*'Giả định'!$B$23+'Giả định'!$B$24)-INDEX('Mô phỏng'!$D$5:$D$1005,$A30+1)</f>
        <v>-263489966.386555</v>
      </c>
      <c r="F30" s="12" t="n">
        <f aca="false">($A30/'Giả định'!$B$19*F$29+$A30*'Giả định'!$B$23+'Giả định'!$B$24)-INDEX('Mô phỏng'!$D$5:$D$1005,$A30+1)</f>
        <v>-249204252.10084</v>
      </c>
      <c r="G30" s="12" t="n">
        <f aca="false">($A30/'Giả định'!$B$19*G$29+$A30*'Giả định'!$B$23+'Giả định'!$B$24)-INDEX('Mô phỏng'!$D$5:$D$1005,$A30+1)</f>
        <v>-234918537.815126</v>
      </c>
    </row>
    <row r="31" customFormat="false" ht="15" hidden="false" customHeight="false" outlineLevel="0" collapsed="false">
      <c r="A31" s="35" t="n">
        <v>150</v>
      </c>
      <c r="B31" s="12" t="n">
        <f aca="false">($A31/'Giả định'!$B$19*B$29+$A31*'Giả định'!$B$23+'Giả định'!$B$24)-INDEX('Mô phỏng'!$D$5:$D$1005,$A31+1)</f>
        <v>-298744663.865546</v>
      </c>
      <c r="C31" s="12" t="n">
        <f aca="false">($A31/'Giả định'!$B$19*C$29+$A31*'Giả định'!$B$23+'Giả định'!$B$24)-INDEX('Mô phỏng'!$D$5:$D$1005,$A31+1)</f>
        <v>-277316092.436975</v>
      </c>
      <c r="D31" s="12" t="n">
        <f aca="false">($A31/'Giả định'!$B$19*D$29+$A31*'Giả định'!$B$23+'Giả định'!$B$24)-INDEX('Mô phỏng'!$D$5:$D$1005,$A31+1)</f>
        <v>-255887521.008403</v>
      </c>
      <c r="E31" s="12" t="n">
        <f aca="false">($A31/'Giả định'!$B$19*E$29+$A31*'Giả định'!$B$23+'Giả định'!$B$24)-INDEX('Mô phỏng'!$D$5:$D$1005,$A31+1)</f>
        <v>-234458949.579832</v>
      </c>
      <c r="F31" s="12" t="n">
        <f aca="false">($A31/'Giả định'!$B$19*F$29+$A31*'Giả định'!$B$23+'Giả định'!$B$24)-INDEX('Mô phỏng'!$D$5:$D$1005,$A31+1)</f>
        <v>-213030378.151261</v>
      </c>
      <c r="G31" s="12" t="n">
        <f aca="false">($A31/'Giả định'!$B$19*G$29+$A31*'Giả định'!$B$23+'Giả định'!$B$24)-INDEX('Mô phỏng'!$D$5:$D$1005,$A31+1)</f>
        <v>-191601806.722689</v>
      </c>
    </row>
    <row r="32" customFormat="false" ht="15" hidden="false" customHeight="false" outlineLevel="0" collapsed="false">
      <c r="A32" s="35" t="n">
        <v>200</v>
      </c>
      <c r="B32" s="12" t="n">
        <f aca="false">($A32/'Giả định'!$B$19*B$29+$A32*'Giả định'!$B$23+'Giả định'!$B$24)-INDEX('Mô phỏng'!$D$5:$D$1005,$A32+1)</f>
        <v>-327838218.487395</v>
      </c>
      <c r="C32" s="12" t="n">
        <f aca="false">($A32/'Giả định'!$B$19*C$29+$A32*'Giả định'!$B$23+'Giả định'!$B$24)-INDEX('Mô phỏng'!$D$5:$D$1005,$A32+1)</f>
        <v>-299266789.915966</v>
      </c>
      <c r="D32" s="12" t="n">
        <f aca="false">($A32/'Giả định'!$B$19*D$29+$A32*'Giả định'!$B$23+'Giả định'!$B$24)-INDEX('Mô phỏng'!$D$5:$D$1005,$A32+1)</f>
        <v>-270695361.344538</v>
      </c>
      <c r="E32" s="12" t="n">
        <f aca="false">($A32/'Giả định'!$B$19*E$29+$A32*'Giả định'!$B$23+'Giả định'!$B$24)-INDEX('Mô phỏng'!$D$5:$D$1005,$A32+1)</f>
        <v>-242123932.773109</v>
      </c>
      <c r="F32" s="12" t="n">
        <f aca="false">($A32/'Giả định'!$B$19*F$29+$A32*'Giả định'!$B$23+'Giả định'!$B$24)-INDEX('Mô phỏng'!$D$5:$D$1005,$A32+1)</f>
        <v>-213552504.201681</v>
      </c>
      <c r="G32" s="12" t="n">
        <f aca="false">($A32/'Giả định'!$B$19*G$29+$A32*'Giả định'!$B$23+'Giả định'!$B$24)-INDEX('Mô phỏng'!$D$5:$D$1005,$A32+1)</f>
        <v>-184981075.630252</v>
      </c>
    </row>
    <row r="33" customFormat="false" ht="15" hidden="false" customHeight="false" outlineLevel="0" collapsed="false">
      <c r="A33" s="35" t="n">
        <v>250</v>
      </c>
      <c r="B33" s="12" t="n">
        <f aca="false">($A33/'Giả định'!$B$19*B$29+$A33*'Giả định'!$B$23+'Giả định'!$B$24)-INDEX('Mô phỏng'!$D$5:$D$1005,$A33+1)</f>
        <v>-356931773.109244</v>
      </c>
      <c r="C33" s="12" t="n">
        <f aca="false">($A33/'Giả định'!$B$19*C$29+$A33*'Giả định'!$B$23+'Giả định'!$B$24)-INDEX('Mô phỏng'!$D$5:$D$1005,$A33+1)</f>
        <v>-321217487.394958</v>
      </c>
      <c r="D33" s="12" t="n">
        <f aca="false">($A33/'Giả định'!$B$19*D$29+$A33*'Giả định'!$B$23+'Giả định'!$B$24)-INDEX('Mô phỏng'!$D$5:$D$1005,$A33+1)</f>
        <v>-285503201.680672</v>
      </c>
      <c r="E33" s="12" t="n">
        <f aca="false">($A33/'Giả định'!$B$19*E$29+$A33*'Giả định'!$B$23+'Giả định'!$B$24)-INDEX('Mô phỏng'!$D$5:$D$1005,$A33+1)</f>
        <v>-249788915.966387</v>
      </c>
      <c r="F33" s="12" t="n">
        <f aca="false">($A33/'Giả định'!$B$19*F$29+$A33*'Giả định'!$B$23+'Giả định'!$B$24)-INDEX('Mô phỏng'!$D$5:$D$1005,$A33+1)</f>
        <v>-214074630.252101</v>
      </c>
      <c r="G33" s="12" t="n">
        <f aca="false">($A33/'Giả định'!$B$19*G$29+$A33*'Giả định'!$B$23+'Giả định'!$B$24)-INDEX('Mô phỏng'!$D$5:$D$1005,$A33+1)</f>
        <v>-178360344.537815</v>
      </c>
    </row>
    <row r="34" customFormat="false" ht="15" hidden="false" customHeight="false" outlineLevel="0" collapsed="false">
      <c r="A34" s="35" t="n">
        <v>300</v>
      </c>
      <c r="B34" s="12" t="n">
        <f aca="false">($A34/'Giả định'!$B$19*B$29+$A34*'Giả định'!$B$23+'Giả định'!$B$24)-INDEX('Mô phỏng'!$D$5:$D$1005,$A34+1)</f>
        <v>-386025327.731092</v>
      </c>
      <c r="C34" s="12" t="n">
        <f aca="false">($A34/'Giả định'!$B$19*C$29+$A34*'Giả định'!$B$23+'Giả định'!$B$24)-INDEX('Mô phỏng'!$D$5:$D$1005,$A34+1)</f>
        <v>-343168184.87395</v>
      </c>
      <c r="D34" s="12" t="n">
        <f aca="false">($A34/'Giả định'!$B$19*D$29+$A34*'Giả định'!$B$23+'Giả định'!$B$24)-INDEX('Mô phỏng'!$D$5:$D$1005,$A34+1)</f>
        <v>-300311042.016807</v>
      </c>
      <c r="E34" s="12" t="n">
        <f aca="false">($A34/'Giả định'!$B$19*E$29+$A34*'Giả định'!$B$23+'Giả định'!$B$24)-INDEX('Mô phỏng'!$D$5:$D$1005,$A34+1)</f>
        <v>-257453899.159664</v>
      </c>
      <c r="F34" s="12" t="n">
        <f aca="false">($A34/'Giả định'!$B$19*F$29+$A34*'Giả định'!$B$23+'Giả định'!$B$24)-INDEX('Mô phỏng'!$D$5:$D$1005,$A34+1)</f>
        <v>-214596756.302521</v>
      </c>
      <c r="G34" s="12" t="n">
        <f aca="false">($A34/'Giả định'!$B$19*G$29+$A34*'Giả định'!$B$23+'Giả định'!$B$24)-INDEX('Mô phỏng'!$D$5:$D$1005,$A34+1)</f>
        <v>-171739613.445378</v>
      </c>
    </row>
    <row r="35" customFormat="false" ht="15" hidden="false" customHeight="false" outlineLevel="0" collapsed="false">
      <c r="A35" s="35" t="n">
        <v>350</v>
      </c>
      <c r="B35" s="12" t="n">
        <f aca="false">($A35/'Giả định'!$B$19*B$29+$A35*'Giả định'!$B$23+'Giả định'!$B$24)-INDEX('Mô phỏng'!$D$5:$D$1005,$A35+1)</f>
        <v>-415118882.352941</v>
      </c>
      <c r="C35" s="12" t="n">
        <f aca="false">($A35/'Giả định'!$B$19*C$29+$A35*'Giả định'!$B$23+'Giả định'!$B$24)-INDEX('Mô phỏng'!$D$5:$D$1005,$A35+1)</f>
        <v>-365118882.352941</v>
      </c>
      <c r="D35" s="12" t="n">
        <f aca="false">($A35/'Giả định'!$B$19*D$29+$A35*'Giả định'!$B$23+'Giả định'!$B$24)-INDEX('Mô phỏng'!$D$5:$D$1005,$A35+1)</f>
        <v>-315118882.352941</v>
      </c>
      <c r="E35" s="12" t="n">
        <f aca="false">($A35/'Giả định'!$B$19*E$29+$A35*'Giả định'!$B$23+'Giả định'!$B$24)-INDEX('Mô phỏng'!$D$5:$D$1005,$A35+1)</f>
        <v>-265118882.352941</v>
      </c>
      <c r="F35" s="12" t="n">
        <f aca="false">($A35/'Giả định'!$B$19*F$29+$A35*'Giả định'!$B$23+'Giả định'!$B$24)-INDEX('Mô phỏng'!$D$5:$D$1005,$A35+1)</f>
        <v>-215118882.352941</v>
      </c>
      <c r="G35" s="12" t="n">
        <f aca="false">($A35/'Giả định'!$B$19*G$29+$A35*'Giả định'!$B$23+'Giả định'!$B$24)-INDEX('Mô phỏng'!$D$5:$D$1005,$A35+1)</f>
        <v>-165118882.352941</v>
      </c>
    </row>
    <row r="36" customFormat="false" ht="15" hidden="false" customHeight="false" outlineLevel="0" collapsed="false">
      <c r="A36" s="35" t="n">
        <v>400</v>
      </c>
      <c r="B36" s="12" t="n">
        <f aca="false">($A36/'Giả định'!$B$19*B$29+$A36*'Giả định'!$B$23+'Giả định'!$B$24)-INDEX('Mô phỏng'!$D$5:$D$1005,$A36+1)</f>
        <v>-444212436.97479</v>
      </c>
      <c r="C36" s="12" t="n">
        <f aca="false">($A36/'Giả định'!$B$19*C$29+$A36*'Giả định'!$B$23+'Giả định'!$B$24)-INDEX('Mô phỏng'!$D$5:$D$1005,$A36+1)</f>
        <v>-387069579.831933</v>
      </c>
      <c r="D36" s="12" t="n">
        <f aca="false">($A36/'Giả định'!$B$19*D$29+$A36*'Giả định'!$B$23+'Giả định'!$B$24)-INDEX('Mô phỏng'!$D$5:$D$1005,$A36+1)</f>
        <v>-329926722.689076</v>
      </c>
      <c r="E36" s="12" t="n">
        <f aca="false">($A36/'Giả định'!$B$19*E$29+$A36*'Giả định'!$B$23+'Giả định'!$B$24)-INDEX('Mô phỏng'!$D$5:$D$1005,$A36+1)</f>
        <v>-272783865.546219</v>
      </c>
      <c r="F36" s="12" t="n">
        <f aca="false">($A36/'Giả định'!$B$19*F$29+$A36*'Giả định'!$B$23+'Giả định'!$B$24)-INDEX('Mô phỏng'!$D$5:$D$1005,$A36+1)</f>
        <v>-215641008.403361</v>
      </c>
      <c r="G36" s="12" t="n">
        <f aca="false">($A36/'Giả định'!$B$19*G$29+$A36*'Giả định'!$B$23+'Giả định'!$B$24)-INDEX('Mô phỏng'!$D$5:$D$1005,$A36+1)</f>
        <v>-158498151.260504</v>
      </c>
    </row>
    <row r="37" customFormat="false" ht="15" hidden="false" customHeight="false" outlineLevel="0" collapsed="false">
      <c r="A37" s="35" t="n">
        <v>450</v>
      </c>
      <c r="B37" s="12" t="n">
        <f aca="false">($A37/'Giả định'!$B$19*B$29+$A37*'Giả định'!$B$23+'Giả định'!$B$24)-INDEX('Mô phỏng'!$D$5:$D$1005,$A37+1)</f>
        <v>-473305991.596639</v>
      </c>
      <c r="C37" s="12" t="n">
        <f aca="false">($A37/'Giả định'!$B$19*C$29+$A37*'Giả định'!$B$23+'Giả định'!$B$24)-INDEX('Mô phỏng'!$D$5:$D$1005,$A37+1)</f>
        <v>-409020277.310924</v>
      </c>
      <c r="D37" s="12" t="n">
        <f aca="false">($A37/'Giả định'!$B$19*D$29+$A37*'Giả định'!$B$23+'Giả định'!$B$24)-INDEX('Mô phỏng'!$D$5:$D$1005,$A37+1)</f>
        <v>-344734563.02521</v>
      </c>
      <c r="E37" s="12" t="n">
        <f aca="false">($A37/'Giả định'!$B$19*E$29+$A37*'Giả định'!$B$23+'Giả định'!$B$24)-INDEX('Mô phỏng'!$D$5:$D$1005,$A37+1)</f>
        <v>-280448848.739496</v>
      </c>
      <c r="F37" s="12" t="n">
        <f aca="false">($A37/'Giả định'!$B$19*F$29+$A37*'Giả định'!$B$23+'Giả định'!$B$24)-INDEX('Mô phỏng'!$D$5:$D$1005,$A37+1)</f>
        <v>-216163134.453782</v>
      </c>
      <c r="G37" s="12" t="n">
        <f aca="false">($A37/'Giả định'!$B$19*G$29+$A37*'Giả định'!$B$23+'Giả định'!$B$24)-INDEX('Mô phỏng'!$D$5:$D$1005,$A37+1)</f>
        <v>-151877420.168067</v>
      </c>
    </row>
    <row r="38" customFormat="false" ht="15" hidden="false" customHeight="false" outlineLevel="0" collapsed="false">
      <c r="A38" s="35" t="n">
        <v>500</v>
      </c>
      <c r="B38" s="12" t="n">
        <f aca="false">($A38/'Giả định'!$B$19*B$29+$A38*'Giả định'!$B$23+'Giả định'!$B$24)-INDEX('Mô phỏng'!$D$5:$D$1005,$A38+1)</f>
        <v>-502399546.218487</v>
      </c>
      <c r="C38" s="12" t="n">
        <f aca="false">($A38/'Giả định'!$B$19*C$29+$A38*'Giả định'!$B$23+'Giả định'!$B$24)-INDEX('Mô phỏng'!$D$5:$D$1005,$A38+1)</f>
        <v>-430970974.789916</v>
      </c>
      <c r="D38" s="12" t="n">
        <f aca="false">($A38/'Giả định'!$B$19*D$29+$A38*'Giả định'!$B$23+'Giả định'!$B$24)-INDEX('Mô phỏng'!$D$5:$D$1005,$A38+1)</f>
        <v>-359542403.361345</v>
      </c>
      <c r="E38" s="12" t="n">
        <f aca="false">($A38/'Giả định'!$B$19*E$29+$A38*'Giả định'!$B$23+'Giả định'!$B$24)-INDEX('Mô phỏng'!$D$5:$D$1005,$A38+1)</f>
        <v>-288113831.932773</v>
      </c>
      <c r="F38" s="12" t="n">
        <f aca="false">($A38/'Giả định'!$B$19*F$29+$A38*'Giả định'!$B$23+'Giả định'!$B$24)-INDEX('Mô phỏng'!$D$5:$D$1005,$A38+1)</f>
        <v>-216685260.504202</v>
      </c>
      <c r="G38" s="12" t="n">
        <f aca="false">($A38/'Giả định'!$B$19*G$29+$A38*'Giả định'!$B$23+'Giả định'!$B$24)-INDEX('Mô phỏng'!$D$5:$D$1005,$A38+1)</f>
        <v>-145256689.07563</v>
      </c>
    </row>
    <row r="39" customFormat="false" ht="15" hidden="false" customHeight="false" outlineLevel="0" collapsed="false">
      <c r="A39" s="35" t="n">
        <v>550</v>
      </c>
      <c r="B39" s="12" t="n">
        <f aca="false">($A39/'Giả định'!$B$19*B$29+$A39*'Giả định'!$B$23+'Giả định'!$B$24)-INDEX('Mô phỏng'!$D$5:$D$1005,$A39+1)</f>
        <v>-531493100.840336</v>
      </c>
      <c r="C39" s="12" t="n">
        <f aca="false">($A39/'Giả định'!$B$19*C$29+$A39*'Giả định'!$B$23+'Giả định'!$B$24)-INDEX('Mô phỏng'!$D$5:$D$1005,$A39+1)</f>
        <v>-452921672.268908</v>
      </c>
      <c r="D39" s="12" t="n">
        <f aca="false">($A39/'Giả định'!$B$19*D$29+$A39*'Giả định'!$B$23+'Giả định'!$B$24)-INDEX('Mô phỏng'!$D$5:$D$1005,$A39+1)</f>
        <v>-374350243.697479</v>
      </c>
      <c r="E39" s="12" t="n">
        <f aca="false">($A39/'Giả định'!$B$19*E$29+$A39*'Giả định'!$B$23+'Giả định'!$B$24)-INDEX('Mô phỏng'!$D$5:$D$1005,$A39+1)</f>
        <v>-295778815.12605</v>
      </c>
      <c r="F39" s="12" t="n">
        <f aca="false">($A39/'Giả định'!$B$19*F$29+$A39*'Giả định'!$B$23+'Giả định'!$B$24)-INDEX('Mô phỏng'!$D$5:$D$1005,$A39+1)</f>
        <v>-217207386.554622</v>
      </c>
      <c r="G39" s="12" t="n">
        <f aca="false">($A39/'Giả định'!$B$19*G$29+$A39*'Giả định'!$B$23+'Giả định'!$B$24)-INDEX('Mô phỏng'!$D$5:$D$1005,$A39+1)</f>
        <v>-138635957.983193</v>
      </c>
    </row>
    <row r="40" customFormat="false" ht="15" hidden="false" customHeight="false" outlineLevel="0" collapsed="false">
      <c r="A40" s="35" t="n">
        <v>600</v>
      </c>
      <c r="B40" s="12" t="n">
        <f aca="false">($A40/'Giả định'!$B$19*B$29+$A40*'Giả định'!$B$23+'Giả định'!$B$24)-INDEX('Mô phỏng'!$D$5:$D$1005,$A40+1)</f>
        <v>-560586655.462185</v>
      </c>
      <c r="C40" s="12" t="n">
        <f aca="false">($A40/'Giả định'!$B$19*C$29+$A40*'Giả định'!$B$23+'Giả định'!$B$24)-INDEX('Mô phỏng'!$D$5:$D$1005,$A40+1)</f>
        <v>-474872369.747899</v>
      </c>
      <c r="D40" s="12" t="n">
        <f aca="false">($A40/'Giả định'!$B$19*D$29+$A40*'Giả định'!$B$23+'Giả định'!$B$24)-INDEX('Mô phỏng'!$D$5:$D$1005,$A40+1)</f>
        <v>-389158084.033614</v>
      </c>
      <c r="E40" s="12" t="n">
        <f aca="false">($A40/'Giả định'!$B$19*E$29+$A40*'Giả định'!$B$23+'Giả định'!$B$24)-INDEX('Mô phỏng'!$D$5:$D$1005,$A40+1)</f>
        <v>-303443798.319328</v>
      </c>
      <c r="F40" s="12" t="n">
        <f aca="false">($A40/'Giả định'!$B$19*F$29+$A40*'Giả định'!$B$23+'Giả định'!$B$24)-INDEX('Mô phỏng'!$D$5:$D$1005,$A40+1)</f>
        <v>-217729512.605042</v>
      </c>
      <c r="G40" s="12" t="n">
        <f aca="false">($A40/'Giả định'!$B$19*G$29+$A40*'Giả định'!$B$23+'Giả định'!$B$24)-INDEX('Mô phỏng'!$D$5:$D$1005,$A40+1)</f>
        <v>-132015226.890756</v>
      </c>
    </row>
    <row r="42" customFormat="false" ht="15" hidden="false" customHeight="false" outlineLevel="0" collapsed="false">
      <c r="A42" s="5" t="s">
        <v>207</v>
      </c>
      <c r="B42" s="6"/>
      <c r="C42" s="6"/>
      <c r="D42" s="6"/>
      <c r="E42" s="6"/>
      <c r="F42" s="6"/>
      <c r="G42" s="6"/>
    </row>
    <row r="43" customFormat="false" ht="30" hidden="false" customHeight="true" outlineLevel="0" collapsed="false">
      <c r="A43" s="30" t="s">
        <v>206</v>
      </c>
      <c r="B43" s="35" t="n">
        <v>500000</v>
      </c>
      <c r="C43" s="35" t="n">
        <v>700000</v>
      </c>
      <c r="D43" s="35" t="n">
        <v>900000</v>
      </c>
      <c r="E43" s="35" t="n">
        <v>1100000</v>
      </c>
      <c r="F43" s="35" t="n">
        <v>1300000</v>
      </c>
      <c r="G43" s="35" t="n">
        <v>1500000</v>
      </c>
    </row>
    <row r="44" customFormat="false" ht="15" hidden="false" customHeight="false" outlineLevel="0" collapsed="false">
      <c r="A44" s="35" t="n">
        <v>100</v>
      </c>
      <c r="B44" s="12" t="n">
        <f aca="false">($A44/'Giả định'!$B$19*B$43+$A44*'Giả định'!$B$23+'Giả định'!$B$24)-INDEX('Mô phỏng'!$C$5:$C$1005,$A44+1)</f>
        <v>-162742109.243698</v>
      </c>
      <c r="C44" s="12" t="n">
        <f aca="false">($A44/'Giả định'!$B$19*C$43+$A44*'Giả định'!$B$23+'Giả định'!$B$24)-INDEX('Mô phỏng'!$C$5:$C$1005,$A44+1)</f>
        <v>-148456394.957983</v>
      </c>
      <c r="D44" s="12" t="n">
        <f aca="false">($A44/'Giả định'!$B$19*D$43+$A44*'Giả định'!$B$23+'Giả định'!$B$24)-INDEX('Mô phỏng'!$C$5:$C$1005,$A44+1)</f>
        <v>-134170680.672269</v>
      </c>
      <c r="E44" s="12" t="n">
        <f aca="false">($A44/'Giả định'!$B$19*E$43+$A44*'Giả định'!$B$23+'Giả định'!$B$24)-INDEX('Mô phỏng'!$C$5:$C$1005,$A44+1)</f>
        <v>-119884966.386555</v>
      </c>
      <c r="F44" s="12" t="n">
        <f aca="false">($A44/'Giả định'!$B$19*F$43+$A44*'Giả định'!$B$23+'Giả định'!$B$24)-INDEX('Mô phỏng'!$C$5:$C$1005,$A44+1)</f>
        <v>-105599252.10084</v>
      </c>
      <c r="G44" s="12" t="n">
        <f aca="false">($A44/'Giả định'!$B$19*G$43+$A44*'Giả định'!$B$23+'Giả định'!$B$24)-INDEX('Mô phỏng'!$C$5:$C$1005,$A44+1)</f>
        <v>-91313537.8151261</v>
      </c>
    </row>
    <row r="45" customFormat="false" ht="15" hidden="false" customHeight="false" outlineLevel="0" collapsed="false">
      <c r="A45" s="35" t="n">
        <v>150</v>
      </c>
      <c r="B45" s="12" t="n">
        <f aca="false">($A45/'Giả định'!$B$19*B$43+$A45*'Giả định'!$B$23+'Giả định'!$B$24)-INDEX('Mô phỏng'!$C$5:$C$1005,$A45+1)</f>
        <v>-155139663.865546</v>
      </c>
      <c r="C45" s="12" t="n">
        <f aca="false">($A45/'Giả định'!$B$19*C$43+$A45*'Giả định'!$B$23+'Giả định'!$B$24)-INDEX('Mô phỏng'!$C$5:$C$1005,$A45+1)</f>
        <v>-133711092.436975</v>
      </c>
      <c r="D45" s="12" t="n">
        <f aca="false">($A45/'Giả định'!$B$19*D$43+$A45*'Giả định'!$B$23+'Giả định'!$B$24)-INDEX('Mô phỏng'!$C$5:$C$1005,$A45+1)</f>
        <v>-112282521.008403</v>
      </c>
      <c r="E45" s="12" t="n">
        <f aca="false">($A45/'Giả định'!$B$19*E$43+$A45*'Giả định'!$B$23+'Giả định'!$B$24)-INDEX('Mô phỏng'!$C$5:$C$1005,$A45+1)</f>
        <v>-90853949.579832</v>
      </c>
      <c r="F45" s="12" t="n">
        <f aca="false">($A45/'Giả định'!$B$19*F$43+$A45*'Giả định'!$B$23+'Giả định'!$B$24)-INDEX('Mô phỏng'!$C$5:$C$1005,$A45+1)</f>
        <v>-69425378.1512605</v>
      </c>
      <c r="G45" s="12" t="n">
        <f aca="false">($A45/'Giả định'!$B$19*G$43+$A45*'Giả định'!$B$23+'Giả định'!$B$24)-INDEX('Mô phỏng'!$C$5:$C$1005,$A45+1)</f>
        <v>-47996806.7226891</v>
      </c>
    </row>
    <row r="46" customFormat="false" ht="15" hidden="false" customHeight="false" outlineLevel="0" collapsed="false">
      <c r="A46" s="35" t="n">
        <v>200</v>
      </c>
      <c r="B46" s="12" t="n">
        <f aca="false">($A46/'Giả định'!$B$19*B$43+$A46*'Giả định'!$B$23+'Giả định'!$B$24)-INDEX('Mô phỏng'!$C$5:$C$1005,$A46+1)</f>
        <v>-184233218.487395</v>
      </c>
      <c r="C46" s="12" t="n">
        <f aca="false">($A46/'Giả định'!$B$19*C$43+$A46*'Giả định'!$B$23+'Giả định'!$B$24)-INDEX('Mô phỏng'!$C$5:$C$1005,$A46+1)</f>
        <v>-155661789.915966</v>
      </c>
      <c r="D46" s="12" t="n">
        <f aca="false">($A46/'Giả định'!$B$19*D$43+$A46*'Giả định'!$B$23+'Giả định'!$B$24)-INDEX('Mô phỏng'!$C$5:$C$1005,$A46+1)</f>
        <v>-127090361.344538</v>
      </c>
      <c r="E46" s="12" t="n">
        <f aca="false">($A46/'Giả định'!$B$19*E$43+$A46*'Giả định'!$B$23+'Giả định'!$B$24)-INDEX('Mô phỏng'!$C$5:$C$1005,$A46+1)</f>
        <v>-98518932.7731093</v>
      </c>
      <c r="F46" s="12" t="n">
        <f aca="false">($A46/'Giả định'!$B$19*F$43+$A46*'Giả định'!$B$23+'Giả định'!$B$24)-INDEX('Mô phỏng'!$C$5:$C$1005,$A46+1)</f>
        <v>-69947504.2016807</v>
      </c>
      <c r="G46" s="12" t="n">
        <f aca="false">($A46/'Giả định'!$B$19*G$43+$A46*'Giả định'!$B$23+'Giả định'!$B$24)-INDEX('Mô phỏng'!$C$5:$C$1005,$A46+1)</f>
        <v>-41376075.6302521</v>
      </c>
    </row>
    <row r="47" customFormat="false" ht="15" hidden="false" customHeight="false" outlineLevel="0" collapsed="false">
      <c r="A47" s="35" t="n">
        <v>250</v>
      </c>
      <c r="B47" s="12" t="n">
        <f aca="false">($A47/'Giả định'!$B$19*B$43+$A47*'Giả định'!$B$23+'Giả định'!$B$24)-INDEX('Mô phỏng'!$C$5:$C$1005,$A47+1)</f>
        <v>-213326773.109244</v>
      </c>
      <c r="C47" s="12" t="n">
        <f aca="false">($A47/'Giả định'!$B$19*C$43+$A47*'Giả định'!$B$23+'Giả định'!$B$24)-INDEX('Mô phỏng'!$C$5:$C$1005,$A47+1)</f>
        <v>-177612487.394958</v>
      </c>
      <c r="D47" s="12" t="n">
        <f aca="false">($A47/'Giả định'!$B$19*D$43+$A47*'Giả định'!$B$23+'Giả định'!$B$24)-INDEX('Mô phỏng'!$C$5:$C$1005,$A47+1)</f>
        <v>-141898201.680672</v>
      </c>
      <c r="E47" s="12" t="n">
        <f aca="false">($A47/'Giả định'!$B$19*E$43+$A47*'Giả định'!$B$23+'Giả định'!$B$24)-INDEX('Mô phỏng'!$C$5:$C$1005,$A47+1)</f>
        <v>-106183915.966387</v>
      </c>
      <c r="F47" s="12" t="n">
        <f aca="false">($A47/'Giả định'!$B$19*F$43+$A47*'Giả định'!$B$23+'Giả định'!$B$24)-INDEX('Mô phỏng'!$C$5:$C$1005,$A47+1)</f>
        <v>-70469630.2521008</v>
      </c>
      <c r="G47" s="12" t="n">
        <f aca="false">($A47/'Giả định'!$B$19*G$43+$A47*'Giả định'!$B$23+'Giả định'!$B$24)-INDEX('Mô phỏng'!$C$5:$C$1005,$A47+1)</f>
        <v>-34755344.5378151</v>
      </c>
    </row>
    <row r="48" customFormat="false" ht="15" hidden="false" customHeight="false" outlineLevel="0" collapsed="false">
      <c r="A48" s="35" t="n">
        <v>300</v>
      </c>
      <c r="B48" s="12" t="n">
        <f aca="false">($A48/'Giả định'!$B$19*B$43+$A48*'Giả định'!$B$23+'Giả định'!$B$24)-INDEX('Mô phỏng'!$C$5:$C$1005,$A48+1)</f>
        <v>-242420327.731092</v>
      </c>
      <c r="C48" s="12" t="n">
        <f aca="false">($A48/'Giả định'!$B$19*C$43+$A48*'Giả định'!$B$23+'Giả định'!$B$24)-INDEX('Mô phỏng'!$C$5:$C$1005,$A48+1)</f>
        <v>-199563184.87395</v>
      </c>
      <c r="D48" s="12" t="n">
        <f aca="false">($A48/'Giả định'!$B$19*D$43+$A48*'Giả định'!$B$23+'Giả định'!$B$24)-INDEX('Mô phỏng'!$C$5:$C$1005,$A48+1)</f>
        <v>-156706042.016807</v>
      </c>
      <c r="E48" s="12" t="n">
        <f aca="false">($A48/'Giả định'!$B$19*E$43+$A48*'Giả định'!$B$23+'Giả định'!$B$24)-INDEX('Mô phỏng'!$C$5:$C$1005,$A48+1)</f>
        <v>-113848899.159664</v>
      </c>
      <c r="F48" s="12" t="n">
        <f aca="false">($A48/'Giả định'!$B$19*F$43+$A48*'Giả định'!$B$23+'Giả định'!$B$24)-INDEX('Mô phỏng'!$C$5:$C$1005,$A48+1)</f>
        <v>-70991756.302521</v>
      </c>
      <c r="G48" s="12" t="n">
        <f aca="false">($A48/'Giả định'!$B$19*G$43+$A48*'Giả định'!$B$23+'Giả định'!$B$24)-INDEX('Mô phỏng'!$C$5:$C$1005,$A48+1)</f>
        <v>-28134613.4453781</v>
      </c>
    </row>
    <row r="49" customFormat="false" ht="15" hidden="false" customHeight="false" outlineLevel="0" collapsed="false">
      <c r="A49" s="35" t="n">
        <v>350</v>
      </c>
      <c r="B49" s="12" t="n">
        <f aca="false">($A49/'Giả định'!$B$19*B$43+$A49*'Giả định'!$B$23+'Giả định'!$B$24)-INDEX('Mô phỏng'!$C$5:$C$1005,$A49+1)</f>
        <v>-271513882.352941</v>
      </c>
      <c r="C49" s="12" t="n">
        <f aca="false">($A49/'Giả định'!$B$19*C$43+$A49*'Giả định'!$B$23+'Giả định'!$B$24)-INDEX('Mô phỏng'!$C$5:$C$1005,$A49+1)</f>
        <v>-221513882.352941</v>
      </c>
      <c r="D49" s="12" t="n">
        <f aca="false">($A49/'Giả định'!$B$19*D$43+$A49*'Giả định'!$B$23+'Giả định'!$B$24)-INDEX('Mô phỏng'!$C$5:$C$1005,$A49+1)</f>
        <v>-171513882.352941</v>
      </c>
      <c r="E49" s="12" t="n">
        <f aca="false">($A49/'Giả định'!$B$19*E$43+$A49*'Giả định'!$B$23+'Giả định'!$B$24)-INDEX('Mô phỏng'!$C$5:$C$1005,$A49+1)</f>
        <v>-121513882.352941</v>
      </c>
      <c r="F49" s="12" t="n">
        <f aca="false">($A49/'Giả định'!$B$19*F$43+$A49*'Giả định'!$B$23+'Giả định'!$B$24)-INDEX('Mô phỏng'!$C$5:$C$1005,$A49+1)</f>
        <v>-71513882.3529412</v>
      </c>
      <c r="G49" s="12" t="n">
        <f aca="false">($A49/'Giả định'!$B$19*G$43+$A49*'Giả định'!$B$23+'Giả định'!$B$24)-INDEX('Mô phỏng'!$C$5:$C$1005,$A49+1)</f>
        <v>-21513882.3529412</v>
      </c>
    </row>
    <row r="50" customFormat="false" ht="15" hidden="false" customHeight="false" outlineLevel="0" collapsed="false">
      <c r="A50" s="35" t="n">
        <v>400</v>
      </c>
      <c r="B50" s="12" t="n">
        <f aca="false">($A50/'Giả định'!$B$19*B$43+$A50*'Giả định'!$B$23+'Giả định'!$B$24)-INDEX('Mô phỏng'!$C$5:$C$1005,$A50+1)</f>
        <v>-300607436.97479</v>
      </c>
      <c r="C50" s="12" t="n">
        <f aca="false">($A50/'Giả định'!$B$19*C$43+$A50*'Giả định'!$B$23+'Giả định'!$B$24)-INDEX('Mô phỏng'!$C$5:$C$1005,$A50+1)</f>
        <v>-243464579.831933</v>
      </c>
      <c r="D50" s="12" t="n">
        <f aca="false">($A50/'Giả định'!$B$19*D$43+$A50*'Giả định'!$B$23+'Giả định'!$B$24)-INDEX('Mô phỏng'!$C$5:$C$1005,$A50+1)</f>
        <v>-186321722.689076</v>
      </c>
      <c r="E50" s="12" t="n">
        <f aca="false">($A50/'Giả định'!$B$19*E$43+$A50*'Giả định'!$B$23+'Giả định'!$B$24)-INDEX('Mô phỏng'!$C$5:$C$1005,$A50+1)</f>
        <v>-129178865.546219</v>
      </c>
      <c r="F50" s="12" t="n">
        <f aca="false">($A50/'Giả định'!$B$19*F$43+$A50*'Giả định'!$B$23+'Giả định'!$B$24)-INDEX('Mô phỏng'!$C$5:$C$1005,$A50+1)</f>
        <v>-72036008.4033614</v>
      </c>
      <c r="G50" s="12" t="n">
        <f aca="false">($A50/'Giả định'!$B$19*G$43+$A50*'Giả định'!$B$23+'Giả định'!$B$24)-INDEX('Mô phỏng'!$C$5:$C$1005,$A50+1)</f>
        <v>-14893151.2605042</v>
      </c>
    </row>
    <row r="51" customFormat="false" ht="15" hidden="false" customHeight="false" outlineLevel="0" collapsed="false">
      <c r="A51" s="35" t="n">
        <v>450</v>
      </c>
      <c r="B51" s="12" t="n">
        <f aca="false">($A51/'Giả định'!$B$19*B$43+$A51*'Giả định'!$B$23+'Giả định'!$B$24)-INDEX('Mô phỏng'!$C$5:$C$1005,$A51+1)</f>
        <v>-329700991.596639</v>
      </c>
      <c r="C51" s="12" t="n">
        <f aca="false">($A51/'Giả định'!$B$19*C$43+$A51*'Giả định'!$B$23+'Giả định'!$B$24)-INDEX('Mô phỏng'!$C$5:$C$1005,$A51+1)</f>
        <v>-265415277.310924</v>
      </c>
      <c r="D51" s="12" t="n">
        <f aca="false">($A51/'Giả định'!$B$19*D$43+$A51*'Giả định'!$B$23+'Giả định'!$B$24)-INDEX('Mô phỏng'!$C$5:$C$1005,$A51+1)</f>
        <v>-201129563.02521</v>
      </c>
      <c r="E51" s="12" t="n">
        <f aca="false">($A51/'Giả định'!$B$19*E$43+$A51*'Giả định'!$B$23+'Giả định'!$B$24)-INDEX('Mô phỏng'!$C$5:$C$1005,$A51+1)</f>
        <v>-136843848.739496</v>
      </c>
      <c r="F51" s="12" t="n">
        <f aca="false">($A51/'Giả định'!$B$19*F$43+$A51*'Giả định'!$B$23+'Giả định'!$B$24)-INDEX('Mô phỏng'!$C$5:$C$1005,$A51+1)</f>
        <v>-72558134.4537816</v>
      </c>
      <c r="G51" s="12" t="n">
        <f aca="false">($A51/'Giả định'!$B$19*G$43+$A51*'Giả định'!$B$23+'Giả định'!$B$24)-INDEX('Mô phỏng'!$C$5:$C$1005,$A51+1)</f>
        <v>-8272420.16806722</v>
      </c>
    </row>
    <row r="52" customFormat="false" ht="15" hidden="false" customHeight="false" outlineLevel="0" collapsed="false">
      <c r="A52" s="35" t="n">
        <v>500</v>
      </c>
      <c r="B52" s="12" t="n">
        <f aca="false">($A52/'Giả định'!$B$19*B$43+$A52*'Giả định'!$B$23+'Giả định'!$B$24)-INDEX('Mô phỏng'!$C$5:$C$1005,$A52+1)</f>
        <v>-358794546.218487</v>
      </c>
      <c r="C52" s="12" t="n">
        <f aca="false">($A52/'Giả định'!$B$19*C$43+$A52*'Giả định'!$B$23+'Giả định'!$B$24)-INDEX('Mô phỏng'!$C$5:$C$1005,$A52+1)</f>
        <v>-287365974.789916</v>
      </c>
      <c r="D52" s="12" t="n">
        <f aca="false">($A52/'Giả định'!$B$19*D$43+$A52*'Giả định'!$B$23+'Giả định'!$B$24)-INDEX('Mô phỏng'!$C$5:$C$1005,$A52+1)</f>
        <v>-215937403.361345</v>
      </c>
      <c r="E52" s="12" t="n">
        <f aca="false">($A52/'Giả định'!$B$19*E$43+$A52*'Giả định'!$B$23+'Giả định'!$B$24)-INDEX('Mô phỏng'!$C$5:$C$1005,$A52+1)</f>
        <v>-144508831.932773</v>
      </c>
      <c r="F52" s="12" t="n">
        <f aca="false">($A52/'Giả định'!$B$19*F$43+$A52*'Giả định'!$B$23+'Giả định'!$B$24)-INDEX('Mô phỏng'!$C$5:$C$1005,$A52+1)</f>
        <v>-73080260.5042017</v>
      </c>
      <c r="G52" s="12" t="n">
        <f aca="false">($A52/'Giả định'!$B$19*G$43+$A52*'Giả định'!$B$23+'Giả định'!$B$24)-INDEX('Mô phỏng'!$C$5:$C$1005,$A52+1)</f>
        <v>-1651689.07563019</v>
      </c>
    </row>
    <row r="53" customFormat="false" ht="15" hidden="false" customHeight="false" outlineLevel="0" collapsed="false">
      <c r="A53" s="35" t="n">
        <v>550</v>
      </c>
      <c r="B53" s="12" t="n">
        <f aca="false">($A53/'Giả định'!$B$19*B$43+$A53*'Giả định'!$B$23+'Giả định'!$B$24)-INDEX('Mô phỏng'!$C$5:$C$1005,$A53+1)</f>
        <v>-387888100.840336</v>
      </c>
      <c r="C53" s="12" t="n">
        <f aca="false">($A53/'Giả định'!$B$19*C$43+$A53*'Giả định'!$B$23+'Giả định'!$B$24)-INDEX('Mô phỏng'!$C$5:$C$1005,$A53+1)</f>
        <v>-309316672.268908</v>
      </c>
      <c r="D53" s="12" t="n">
        <f aca="false">($A53/'Giả định'!$B$19*D$43+$A53*'Giả định'!$B$23+'Giả định'!$B$24)-INDEX('Mô phỏng'!$C$5:$C$1005,$A53+1)</f>
        <v>-230745243.697479</v>
      </c>
      <c r="E53" s="12" t="n">
        <f aca="false">($A53/'Giả định'!$B$19*E$43+$A53*'Giả định'!$B$23+'Giả định'!$B$24)-INDEX('Mô phỏng'!$C$5:$C$1005,$A53+1)</f>
        <v>-152173815.12605</v>
      </c>
      <c r="F53" s="12" t="n">
        <f aca="false">($A53/'Giả định'!$B$19*F$43+$A53*'Giả định'!$B$23+'Giả định'!$B$24)-INDEX('Mô phỏng'!$C$5:$C$1005,$A53+1)</f>
        <v>-73602386.5546218</v>
      </c>
      <c r="G53" s="12" t="n">
        <f aca="false">($A53/'Giả định'!$B$19*G$43+$A53*'Giả định'!$B$23+'Giả định'!$B$24)-INDEX('Mô phỏng'!$C$5:$C$1005,$A53+1)</f>
        <v>4969042.01680684</v>
      </c>
    </row>
    <row r="54" customFormat="false" ht="15" hidden="false" customHeight="false" outlineLevel="0" collapsed="false">
      <c r="A54" s="35" t="n">
        <v>600</v>
      </c>
      <c r="B54" s="12" t="n">
        <f aca="false">($A54/'Giả định'!$B$19*B$43+$A54*'Giả định'!$B$23+'Giả định'!$B$24)-INDEX('Mô phỏng'!$C$5:$C$1005,$A54+1)</f>
        <v>-416981655.462185</v>
      </c>
      <c r="C54" s="12" t="n">
        <f aca="false">($A54/'Giả định'!$B$19*C$43+$A54*'Giả định'!$B$23+'Giả định'!$B$24)-INDEX('Mô phỏng'!$C$5:$C$1005,$A54+1)</f>
        <v>-331267369.747899</v>
      </c>
      <c r="D54" s="12" t="n">
        <f aca="false">($A54/'Giả định'!$B$19*D$43+$A54*'Giả định'!$B$23+'Giả định'!$B$24)-INDEX('Mô phỏng'!$C$5:$C$1005,$A54+1)</f>
        <v>-245553084.033613</v>
      </c>
      <c r="E54" s="12" t="n">
        <f aca="false">($A54/'Giả định'!$B$19*E$43+$A54*'Giả định'!$B$23+'Giả định'!$B$24)-INDEX('Mô phỏng'!$C$5:$C$1005,$A54+1)</f>
        <v>-159838798.319328</v>
      </c>
      <c r="F54" s="12" t="n">
        <f aca="false">($A54/'Giả định'!$B$19*F$43+$A54*'Giả định'!$B$23+'Giả định'!$B$24)-INDEX('Mô phỏng'!$C$5:$C$1005,$A54+1)</f>
        <v>-74124512.605042</v>
      </c>
      <c r="G54" s="12" t="n">
        <f aca="false">($A54/'Giả định'!$B$19*G$43+$A54*'Giả định'!$B$23+'Giả định'!$B$24)-INDEX('Mô phỏng'!$C$5:$C$1005,$A54+1)</f>
        <v>11589773.1092438</v>
      </c>
    </row>
    <row r="56" customFormat="false" ht="15" hidden="false" customHeight="false" outlineLevel="0" collapsed="false">
      <c r="A56" s="5" t="s">
        <v>208</v>
      </c>
      <c r="B56" s="6"/>
      <c r="C56" s="6"/>
      <c r="D56" s="6"/>
      <c r="E56" s="6"/>
      <c r="F56" s="6"/>
      <c r="G56" s="6"/>
    </row>
    <row r="57" customFormat="false" ht="15" hidden="false" customHeight="false" outlineLevel="0" collapsed="false">
      <c r="A57" s="7" t="s">
        <v>209</v>
      </c>
      <c r="B57" s="32" t="n">
        <f aca="false">'Chi phí'!$E$5</f>
        <v>7000000</v>
      </c>
    </row>
    <row r="58" customFormat="false" ht="15" hidden="false" customHeight="false" outlineLevel="0" collapsed="false">
      <c r="A58" s="33" t="s">
        <v>210</v>
      </c>
      <c r="B58" s="34" t="n">
        <f aca="false">IFERROR('Chi phí'!$E$5+(B10+'Giả định'!$B$29)/('Giả định'!$B$10*'Chi phí'!$F$5*'Chi phí'!$H$5*(1+'Giả định'!$B$15*'Chi phí'!$G$5)*(1+'Giả định'!$B$16)),"n/a")</f>
        <v>-3487442.18744219</v>
      </c>
    </row>
    <row r="59" customFormat="false" ht="15" hidden="false" customHeight="false" outlineLevel="0" collapsed="false">
      <c r="A59" s="33" t="s">
        <v>211</v>
      </c>
      <c r="B59" s="34" t="str">
        <f aca="false">IF('Giả định'!$B$28="","Chưa nhập ngân sách trần",IFERROR('Chi phí'!$E$5+('Giả định'!$B$28-B8)/('Giả định'!$B$10*'Chi phí'!$F$5*'Chi phí'!$H$5*(1+'Giả định'!$B$15*'Chi phí'!$G$5)*(1+'Giả định'!$B$16)),"n/a"))</f>
        <v>Chưa nhập ngân sách trần</v>
      </c>
    </row>
    <row r="60" customFormat="false" ht="15" hidden="false" customHeight="false" outlineLevel="0" collapsed="false">
      <c r="A60" s="9" t="s">
        <v>212</v>
      </c>
    </row>
    <row r="61" customFormat="false" ht="30" hidden="false" customHeight="true" outlineLevel="0" collapsed="false">
      <c r="A61" s="30" t="s">
        <v>206</v>
      </c>
      <c r="B61" s="35" t="n">
        <v>500000</v>
      </c>
      <c r="C61" s="35" t="n">
        <v>700000</v>
      </c>
      <c r="D61" s="35" t="n">
        <v>900000</v>
      </c>
      <c r="E61" s="35" t="n">
        <v>1100000</v>
      </c>
      <c r="F61" s="35" t="n">
        <v>1300000</v>
      </c>
      <c r="G61" s="35" t="n">
        <v>1500000</v>
      </c>
    </row>
    <row r="62" customFormat="false" ht="15" hidden="false" customHeight="false" outlineLevel="0" collapsed="false">
      <c r="A62" s="35" t="n">
        <v>150</v>
      </c>
      <c r="B62" s="12" t="n">
        <f aca="false">IFERROR('Chi phí'!$E$5+(($A62/'Giả định'!$B$19*B$61+$A62*'Giả định'!$B$23+'Giả định'!$B$24-INDEX('Mô phỏng'!$D$5:$D$1005,$A62+1))+'Giả định'!$B$29)/(INDEX('Mô phỏng'!$B$5:$B$1005,$A62+1)*'Chi phí'!$F$5*'Chi phí'!$H$5*(1+'Giả định'!$B$15*'Chi phí'!$G$5)*(1+'Giả định'!$B$16)),"n/a")</f>
        <v>-7507802.24677284</v>
      </c>
      <c r="C62" s="12" t="n">
        <f aca="false">IFERROR('Chi phí'!$E$5+(($A62/'Giả định'!$B$19*C$61+$A62*'Giả định'!$B$23+'Giả định'!$B$24-INDEX('Mô phỏng'!$D$5:$D$1005,$A62+1))+'Giả định'!$B$29)/(INDEX('Mô phỏng'!$B$5:$B$1005,$A62+1)*'Chi phí'!$F$5*'Chi phí'!$H$5*(1+'Giả định'!$B$15*'Chi phí'!$G$5)*(1+'Giả định'!$B$16)),"n/a")</f>
        <v>-6467176.20614679</v>
      </c>
      <c r="D62" s="12" t="n">
        <f aca="false">IFERROR('Chi phí'!$E$5+(($A62/'Giả định'!$B$19*D$61+$A62*'Giả định'!$B$23+'Giả định'!$B$24-INDEX('Mô phỏng'!$D$5:$D$1005,$A62+1))+'Giả định'!$B$29)/(INDEX('Mô phỏng'!$B$5:$B$1005,$A62+1)*'Chi phí'!$F$5*'Chi phí'!$H$5*(1+'Giả định'!$B$15*'Chi phí'!$G$5)*(1+'Giả định'!$B$16)),"n/a")</f>
        <v>-5426550.16552075</v>
      </c>
      <c r="E62" s="12" t="n">
        <f aca="false">IFERROR('Chi phí'!$E$5+(($A62/'Giả định'!$B$19*E$61+$A62*'Giả định'!$B$23+'Giả định'!$B$24-INDEX('Mô phỏng'!$D$5:$D$1005,$A62+1))+'Giả định'!$B$29)/(INDEX('Mô phỏng'!$B$5:$B$1005,$A62+1)*'Chi phí'!$F$5*'Chi phí'!$H$5*(1+'Giả định'!$B$15*'Chi phí'!$G$5)*(1+'Giả định'!$B$16)),"n/a")</f>
        <v>-4385924.12489471</v>
      </c>
      <c r="F62" s="12" t="n">
        <f aca="false">IFERROR('Chi phí'!$E$5+(($A62/'Giả định'!$B$19*F$61+$A62*'Giả định'!$B$23+'Giả định'!$B$24-INDEX('Mô phỏng'!$D$5:$D$1005,$A62+1))+'Giả định'!$B$29)/(INDEX('Mô phỏng'!$B$5:$B$1005,$A62+1)*'Chi phí'!$F$5*'Chi phí'!$H$5*(1+'Giả định'!$B$15*'Chi phí'!$G$5)*(1+'Giả định'!$B$16)),"n/a")</f>
        <v>-3345298.08426867</v>
      </c>
      <c r="G62" s="12" t="n">
        <f aca="false">IFERROR('Chi phí'!$E$5+(($A62/'Giả định'!$B$19*G$61+$A62*'Giả định'!$B$23+'Giả định'!$B$24-INDEX('Mô phỏng'!$D$5:$D$1005,$A62+1))+'Giả định'!$B$29)/(INDEX('Mô phỏng'!$B$5:$B$1005,$A62+1)*'Chi phí'!$F$5*'Chi phí'!$H$5*(1+'Giả định'!$B$15*'Chi phí'!$G$5)*(1+'Giả định'!$B$16)),"n/a")</f>
        <v>-2304672.04364263</v>
      </c>
    </row>
    <row r="63" customFormat="false" ht="15" hidden="false" customHeight="false" outlineLevel="0" collapsed="false">
      <c r="A63" s="35" t="n">
        <v>200</v>
      </c>
      <c r="B63" s="12" t="n">
        <f aca="false">IFERROR('Chi phí'!$E$5+(($A63/'Giả định'!$B$19*B$61+$A63*'Giả định'!$B$23+'Giả định'!$B$24-INDEX('Mô phỏng'!$D$5:$D$1005,$A63+1))+'Giả định'!$B$29)/(INDEX('Mô phỏng'!$B$5:$B$1005,$A63+1)*'Chi phí'!$F$5*'Chi phí'!$H$5*(1+'Giả định'!$B$15*'Chi phí'!$G$5)*(1+'Giả định'!$B$16)),"n/a")</f>
        <v>-5130026.21405983</v>
      </c>
      <c r="C63" s="12" t="n">
        <f aca="false">IFERROR('Chi phí'!$E$5+(($A63/'Giả định'!$B$19*C$61+$A63*'Giả định'!$B$23+'Giả định'!$B$24-INDEX('Mô phỏng'!$D$5:$D$1005,$A63+1))+'Giả định'!$B$29)/(INDEX('Mô phỏng'!$B$5:$B$1005,$A63+1)*'Chi phí'!$F$5*'Chi phí'!$H$5*(1+'Giả định'!$B$15*'Chi phí'!$G$5)*(1+'Giả định'!$B$16)),"n/a")</f>
        <v>-4072882.29977306</v>
      </c>
      <c r="D63" s="12" t="n">
        <f aca="false">IFERROR('Chi phí'!$E$5+(($A63/'Giả định'!$B$19*D$61+$A63*'Giả định'!$B$23+'Giả định'!$B$24-INDEX('Mô phỏng'!$D$5:$D$1005,$A63+1))+'Giả định'!$B$29)/(INDEX('Mô phỏng'!$B$5:$B$1005,$A63+1)*'Chi phí'!$F$5*'Chi phí'!$H$5*(1+'Giả định'!$B$15*'Chi phí'!$G$5)*(1+'Giả định'!$B$16)),"n/a")</f>
        <v>-3015738.38548629</v>
      </c>
      <c r="E63" s="12" t="n">
        <f aca="false">IFERROR('Chi phí'!$E$5+(($A63/'Giả định'!$B$19*E$61+$A63*'Giả định'!$B$23+'Giả định'!$B$24-INDEX('Mô phỏng'!$D$5:$D$1005,$A63+1))+'Giả định'!$B$29)/(INDEX('Mô phỏng'!$B$5:$B$1005,$A63+1)*'Chi phí'!$F$5*'Chi phí'!$H$5*(1+'Giả định'!$B$15*'Chi phí'!$G$5)*(1+'Giả định'!$B$16)),"n/a")</f>
        <v>-1958594.47119952</v>
      </c>
      <c r="F63" s="12" t="n">
        <f aca="false">IFERROR('Chi phí'!$E$5+(($A63/'Giả định'!$B$19*F$61+$A63*'Giả định'!$B$23+'Giả định'!$B$24-INDEX('Mô phỏng'!$D$5:$D$1005,$A63+1))+'Giả định'!$B$29)/(INDEX('Mô phỏng'!$B$5:$B$1005,$A63+1)*'Chi phí'!$F$5*'Chi phí'!$H$5*(1+'Giả định'!$B$15*'Chi phí'!$G$5)*(1+'Giả định'!$B$16)),"n/a")</f>
        <v>-901450.556912744</v>
      </c>
      <c r="G63" s="12" t="n">
        <f aca="false">IFERROR('Chi phí'!$E$5+(($A63/'Giả định'!$B$19*G$61+$A63*'Giả định'!$B$23+'Giả định'!$B$24-INDEX('Mô phỏng'!$D$5:$D$1005,$A63+1))+'Giả định'!$B$29)/(INDEX('Mô phỏng'!$B$5:$B$1005,$A63+1)*'Chi phí'!$F$5*'Chi phí'!$H$5*(1+'Giả định'!$B$15*'Chi phí'!$G$5)*(1+'Giả định'!$B$16)),"n/a")</f>
        <v>155693.357374028</v>
      </c>
    </row>
    <row r="64" customFormat="false" ht="15" hidden="false" customHeight="false" outlineLevel="0" collapsed="false">
      <c r="A64" s="35" t="n">
        <v>250</v>
      </c>
      <c r="B64" s="12" t="n">
        <f aca="false">IFERROR('Chi phí'!$E$5+(($A64/'Giả định'!$B$19*B$61+$A64*'Giả định'!$B$23+'Giả định'!$B$24-INDEX('Mô phỏng'!$D$5:$D$1005,$A64+1))+'Giả định'!$B$29)/(INDEX('Mô phỏng'!$B$5:$B$1005,$A64+1)*'Chi phí'!$F$5*'Chi phí'!$H$5*(1+'Giả định'!$B$15*'Chi phí'!$G$5)*(1+'Giả định'!$B$16)),"n/a")</f>
        <v>-3666779.42469798</v>
      </c>
      <c r="C64" s="12" t="n">
        <f aca="false">IFERROR('Chi phí'!$E$5+(($A64/'Giả định'!$B$19*C$61+$A64*'Giả định'!$B$23+'Giả định'!$B$24-INDEX('Mô phỏng'!$D$5:$D$1005,$A64+1))+'Giả định'!$B$29)/(INDEX('Mô phỏng'!$B$5:$B$1005,$A64+1)*'Chi phí'!$F$5*'Chi phí'!$H$5*(1+'Giả định'!$B$15*'Chi phí'!$G$5)*(1+'Giả định'!$B$16)),"n/a")</f>
        <v>-2599470.66508153</v>
      </c>
      <c r="D64" s="12" t="n">
        <f aca="false">IFERROR('Chi phí'!$E$5+(($A64/'Giả định'!$B$19*D$61+$A64*'Giả định'!$B$23+'Giả định'!$B$24-INDEX('Mô phỏng'!$D$5:$D$1005,$A64+1))+'Giả định'!$B$29)/(INDEX('Mô phỏng'!$B$5:$B$1005,$A64+1)*'Chi phí'!$F$5*'Chi phí'!$H$5*(1+'Giả định'!$B$15*'Chi phí'!$G$5)*(1+'Giả định'!$B$16)),"n/a")</f>
        <v>-1532161.90546507</v>
      </c>
      <c r="E64" s="12" t="n">
        <f aca="false">IFERROR('Chi phí'!$E$5+(($A64/'Giả định'!$B$19*E$61+$A64*'Giả định'!$B$23+'Giả định'!$B$24-INDEX('Mô phỏng'!$D$5:$D$1005,$A64+1))+'Giả định'!$B$29)/(INDEX('Mô phỏng'!$B$5:$B$1005,$A64+1)*'Chi phí'!$F$5*'Chi phí'!$H$5*(1+'Giả định'!$B$15*'Chi phí'!$G$5)*(1+'Giả định'!$B$16)),"n/a")</f>
        <v>-464853.145848622</v>
      </c>
      <c r="F64" s="12" t="n">
        <f aca="false">IFERROR('Chi phí'!$E$5+(($A64/'Giả định'!$B$19*F$61+$A64*'Giả định'!$B$23+'Giả định'!$B$24-INDEX('Mô phỏng'!$D$5:$D$1005,$A64+1))+'Giả định'!$B$29)/(INDEX('Mô phỏng'!$B$5:$B$1005,$A64+1)*'Chi phí'!$F$5*'Chi phí'!$H$5*(1+'Giả định'!$B$15*'Chi phí'!$G$5)*(1+'Giả định'!$B$16)),"n/a")</f>
        <v>602455.613767831</v>
      </c>
      <c r="G64" s="12" t="n">
        <f aca="false">IFERROR('Chi phí'!$E$5+(($A64/'Giả định'!$B$19*G$61+$A64*'Giả định'!$B$23+'Giả định'!$B$24-INDEX('Mô phỏng'!$D$5:$D$1005,$A64+1))+'Giả định'!$B$29)/(INDEX('Mô phỏng'!$B$5:$B$1005,$A64+1)*'Chi phí'!$F$5*'Chi phí'!$H$5*(1+'Giả định'!$B$15*'Chi phí'!$G$5)*(1+'Giả định'!$B$16)),"n/a")</f>
        <v>1669764.37338428</v>
      </c>
    </row>
    <row r="65" customFormat="false" ht="15" hidden="false" customHeight="false" outlineLevel="0" collapsed="false">
      <c r="A65" s="35" t="n">
        <v>300</v>
      </c>
      <c r="B65" s="12" t="n">
        <f aca="false">IFERROR('Chi phí'!$E$5+(($A65/'Giả định'!$B$19*B$61+$A65*'Giả định'!$B$23+'Giả định'!$B$24-INDEX('Mô phỏng'!$D$5:$D$1005,$A65+1))+'Giả định'!$B$29)/(INDEX('Mô phỏng'!$B$5:$B$1005,$A65+1)*'Chi phí'!$F$5*'Chi phí'!$H$5*(1+'Giả định'!$B$15*'Chi phí'!$G$5)*(1+'Giả định'!$B$16)),"n/a")</f>
        <v>-2675547.72867866</v>
      </c>
      <c r="C65" s="12" t="n">
        <f aca="false">IFERROR('Chi phí'!$E$5+(($A65/'Giả định'!$B$19*C$61+$A65*'Giả định'!$B$23+'Giả định'!$B$24-INDEX('Mô phỏng'!$D$5:$D$1005,$A65+1))+'Giả định'!$B$29)/(INDEX('Mô phỏng'!$B$5:$B$1005,$A65+1)*'Chi phí'!$F$5*'Chi phí'!$H$5*(1+'Giả định'!$B$15*'Chi phí'!$G$5)*(1+'Giả định'!$B$16)),"n/a")</f>
        <v>-1601353.10609694</v>
      </c>
      <c r="D65" s="12" t="n">
        <f aca="false">IFERROR('Chi phí'!$E$5+(($A65/'Giả định'!$B$19*D$61+$A65*'Giả định'!$B$23+'Giả định'!$B$24-INDEX('Mô phỏng'!$D$5:$D$1005,$A65+1))+'Giả định'!$B$29)/(INDEX('Mô phỏng'!$B$5:$B$1005,$A65+1)*'Chi phí'!$F$5*'Chi phí'!$H$5*(1+'Giả định'!$B$15*'Chi phí'!$G$5)*(1+'Giả định'!$B$16)),"n/a")</f>
        <v>-527158.483515222</v>
      </c>
      <c r="E65" s="12" t="n">
        <f aca="false">IFERROR('Chi phí'!$E$5+(($A65/'Giả định'!$B$19*E$61+$A65*'Giả định'!$B$23+'Giả định'!$B$24-INDEX('Mô phỏng'!$D$5:$D$1005,$A65+1))+'Giả định'!$B$29)/(INDEX('Mô phỏng'!$B$5:$B$1005,$A65+1)*'Chi phí'!$F$5*'Chi phí'!$H$5*(1+'Giả định'!$B$15*'Chi phí'!$G$5)*(1+'Giả định'!$B$16)),"n/a")</f>
        <v>547036.139066498</v>
      </c>
      <c r="F65" s="12" t="n">
        <f aca="false">IFERROR('Chi phí'!$E$5+(($A65/'Giả định'!$B$19*F$61+$A65*'Giả định'!$B$23+'Giả định'!$B$24-INDEX('Mô phỏng'!$D$5:$D$1005,$A65+1))+'Giả định'!$B$29)/(INDEX('Mô phỏng'!$B$5:$B$1005,$A65+1)*'Chi phí'!$F$5*'Chi phí'!$H$5*(1+'Giả định'!$B$15*'Chi phí'!$G$5)*(1+'Giả định'!$B$16)),"n/a")</f>
        <v>1621230.76164822</v>
      </c>
      <c r="G65" s="12" t="n">
        <f aca="false">IFERROR('Chi phí'!$E$5+(($A65/'Giả định'!$B$19*G$61+$A65*'Giả định'!$B$23+'Giả định'!$B$24-INDEX('Mô phỏng'!$D$5:$D$1005,$A65+1))+'Giả định'!$B$29)/(INDEX('Mô phỏng'!$B$5:$B$1005,$A65+1)*'Chi phí'!$F$5*'Chi phí'!$H$5*(1+'Giả định'!$B$15*'Chi phí'!$G$5)*(1+'Giả định'!$B$16)),"n/a")</f>
        <v>2695425.38422994</v>
      </c>
    </row>
    <row r="66" customFormat="false" ht="15" hidden="false" customHeight="false" outlineLevel="0" collapsed="false">
      <c r="A66" s="35" t="n">
        <v>350</v>
      </c>
      <c r="B66" s="12" t="n">
        <f aca="false">IFERROR('Chi phí'!$E$5+(($A66/'Giả định'!$B$19*B$61+$A66*'Giả định'!$B$23+'Giả định'!$B$24-INDEX('Mô phỏng'!$D$5:$D$1005,$A66+1))+'Giả định'!$B$29)/(INDEX('Mô phỏng'!$B$5:$B$1005,$A66+1)*'Chi phí'!$F$5*'Chi phí'!$H$5*(1+'Giả định'!$B$15*'Chi phí'!$G$5)*(1+'Giả định'!$B$16)),"n/a")</f>
        <v>-1959658.17044248</v>
      </c>
      <c r="C66" s="12" t="n">
        <f aca="false">IFERROR('Chi phí'!$E$5+(($A66/'Giả định'!$B$19*C$61+$A66*'Giả định'!$B$23+'Giả định'!$B$24-INDEX('Mô phỏng'!$D$5:$D$1005,$A66+1))+'Giả định'!$B$29)/(INDEX('Mô phỏng'!$B$5:$B$1005,$A66+1)*'Chi phí'!$F$5*'Chi phí'!$H$5*(1+'Giả định'!$B$15*'Chi phí'!$G$5)*(1+'Giả định'!$B$16)),"n/a")</f>
        <v>-880490.424608071</v>
      </c>
      <c r="D66" s="12" t="n">
        <f aca="false">IFERROR('Chi phí'!$E$5+(($A66/'Giả định'!$B$19*D$61+$A66*'Giả định'!$B$23+'Giả định'!$B$24-INDEX('Mô phỏng'!$D$5:$D$1005,$A66+1))+'Giả định'!$B$29)/(INDEX('Mô phỏng'!$B$5:$B$1005,$A66+1)*'Chi phí'!$F$5*'Chi phí'!$H$5*(1+'Giả định'!$B$15*'Chi phí'!$G$5)*(1+'Giả định'!$B$16)),"n/a")</f>
        <v>198677.321226342</v>
      </c>
      <c r="E66" s="12" t="n">
        <f aca="false">IFERROR('Chi phí'!$E$5+(($A66/'Giả định'!$B$19*E$61+$A66*'Giả định'!$B$23+'Giả định'!$B$24-INDEX('Mô phỏng'!$D$5:$D$1005,$A66+1))+'Giả định'!$B$29)/(INDEX('Mô phỏng'!$B$5:$B$1005,$A66+1)*'Chi phí'!$F$5*'Chi phí'!$H$5*(1+'Giả định'!$B$15*'Chi phí'!$G$5)*(1+'Giả định'!$B$16)),"n/a")</f>
        <v>1277845.06706076</v>
      </c>
      <c r="F66" s="12" t="n">
        <f aca="false">IFERROR('Chi phí'!$E$5+(($A66/'Giả định'!$B$19*F$61+$A66*'Giả định'!$B$23+'Giả định'!$B$24-INDEX('Mô phỏng'!$D$5:$D$1005,$A66+1))+'Giả định'!$B$29)/(INDEX('Mô phỏng'!$B$5:$B$1005,$A66+1)*'Chi phí'!$F$5*'Chi phí'!$H$5*(1+'Giả định'!$B$15*'Chi phí'!$G$5)*(1+'Giả định'!$B$16)),"n/a")</f>
        <v>2357012.81289517</v>
      </c>
      <c r="G66" s="12" t="n">
        <f aca="false">IFERROR('Chi phí'!$E$5+(($A66/'Giả định'!$B$19*G$61+$A66*'Giả định'!$B$23+'Giả định'!$B$24-INDEX('Mô phỏng'!$D$5:$D$1005,$A66+1))+'Giả định'!$B$29)/(INDEX('Mô phỏng'!$B$5:$B$1005,$A66+1)*'Chi phí'!$F$5*'Chi phí'!$H$5*(1+'Giả định'!$B$15*'Chi phí'!$G$5)*(1+'Giả định'!$B$16)),"n/a")</f>
        <v>3436180.55872958</v>
      </c>
    </row>
    <row r="67" customFormat="false" ht="15" hidden="false" customHeight="false" outlineLevel="0" collapsed="false">
      <c r="A67" s="35" t="n">
        <v>400</v>
      </c>
      <c r="B67" s="12" t="n">
        <f aca="false">IFERROR('Chi phí'!$E$5+(($A67/'Giả định'!$B$19*B$61+$A67*'Giả định'!$B$23+'Giả định'!$B$24-INDEX('Mô phỏng'!$D$5:$D$1005,$A67+1))+'Giả định'!$B$29)/(INDEX('Mô phỏng'!$B$5:$B$1005,$A67+1)*'Chi phí'!$F$5*'Chi phí'!$H$5*(1+'Giả định'!$B$15*'Chi phí'!$G$5)*(1+'Giả định'!$B$16)),"n/a")</f>
        <v>-1418375.8215322</v>
      </c>
      <c r="C67" s="12" t="n">
        <f aca="false">IFERROR('Chi phí'!$E$5+(($A67/'Giả định'!$B$19*C$61+$A67*'Giả định'!$B$23+'Giả định'!$B$24-INDEX('Mô phỏng'!$D$5:$D$1005,$A67+1))+'Giả định'!$B$29)/(INDEX('Mô phỏng'!$B$5:$B$1005,$A67+1)*'Chi phí'!$F$5*'Chi phí'!$H$5*(1+'Giả định'!$B$15*'Chi phí'!$G$5)*(1+'Giả định'!$B$16)),"n/a")</f>
        <v>-335447.909336001</v>
      </c>
      <c r="D67" s="12" t="n">
        <f aca="false">IFERROR('Chi phí'!$E$5+(($A67/'Giả định'!$B$19*D$61+$A67*'Giả định'!$B$23+'Giả định'!$B$24-INDEX('Mô phỏng'!$D$5:$D$1005,$A67+1))+'Giả định'!$B$29)/(INDEX('Mô phỏng'!$B$5:$B$1005,$A67+1)*'Chi phí'!$F$5*'Chi phí'!$H$5*(1+'Giả định'!$B$15*'Chi phí'!$G$5)*(1+'Giả định'!$B$16)),"n/a")</f>
        <v>747480.002860205</v>
      </c>
      <c r="E67" s="12" t="n">
        <f aca="false">IFERROR('Chi phí'!$E$5+(($A67/'Giả định'!$B$19*E$61+$A67*'Giả định'!$B$23+'Giả định'!$B$24-INDEX('Mô phỏng'!$D$5:$D$1005,$A67+1))+'Giả định'!$B$29)/(INDEX('Mô phỏng'!$B$5:$B$1005,$A67+1)*'Chi phí'!$F$5*'Chi phí'!$H$5*(1+'Giả định'!$B$15*'Chi phí'!$G$5)*(1+'Giả định'!$B$16)),"n/a")</f>
        <v>1830407.91505641</v>
      </c>
      <c r="F67" s="12" t="n">
        <f aca="false">IFERROR('Chi phí'!$E$5+(($A67/'Giả định'!$B$19*F$61+$A67*'Giả định'!$B$23+'Giả định'!$B$24-INDEX('Mô phỏng'!$D$5:$D$1005,$A67+1))+'Giả định'!$B$29)/(INDEX('Mô phỏng'!$B$5:$B$1005,$A67+1)*'Chi phí'!$F$5*'Chi phí'!$H$5*(1+'Giả định'!$B$15*'Chi phí'!$G$5)*(1+'Giả định'!$B$16)),"n/a")</f>
        <v>2913335.82725261</v>
      </c>
      <c r="G67" s="12" t="n">
        <f aca="false">IFERROR('Chi phí'!$E$5+(($A67/'Giả định'!$B$19*G$61+$A67*'Giả định'!$B$23+'Giả định'!$B$24-INDEX('Mô phỏng'!$D$5:$D$1005,$A67+1))+'Giả định'!$B$29)/(INDEX('Mô phỏng'!$B$5:$B$1005,$A67+1)*'Chi phí'!$F$5*'Chi phí'!$H$5*(1+'Giả định'!$B$15*'Chi phí'!$G$5)*(1+'Giả định'!$B$16)),"n/a")</f>
        <v>3996263.73944882</v>
      </c>
    </row>
    <row r="68" customFormat="false" ht="15" hidden="false" customHeight="false" outlineLevel="0" collapsed="false">
      <c r="A68" s="35" t="n">
        <v>450</v>
      </c>
      <c r="B68" s="12" t="n">
        <f aca="false">IFERROR('Chi phí'!$E$5+(($A68/'Giả định'!$B$19*B$61+$A68*'Giả định'!$B$23+'Giả định'!$B$24-INDEX('Mô phỏng'!$D$5:$D$1005,$A68+1))+'Giả định'!$B$29)/(INDEX('Mô phỏng'!$B$5:$B$1005,$A68+1)*'Chi phí'!$F$5*'Chi phí'!$H$5*(1+'Giả định'!$B$15*'Chi phí'!$G$5)*(1+'Giả định'!$B$16)),"n/a")</f>
        <v>-994763.548471989</v>
      </c>
      <c r="C68" s="12" t="n">
        <f aca="false">IFERROR('Chi phí'!$E$5+(($A68/'Giả định'!$B$19*C$61+$A68*'Giả định'!$B$23+'Giả định'!$B$24-INDEX('Mô phỏng'!$D$5:$D$1005,$A68+1))+'Giả định'!$B$29)/(INDEX('Mô phỏng'!$B$5:$B$1005,$A68+1)*'Chi phí'!$F$5*'Chi phí'!$H$5*(1+'Giả định'!$B$15*'Chi phí'!$G$5)*(1+'Giả định'!$B$16)),"n/a")</f>
        <v>91107.1026160531</v>
      </c>
      <c r="D68" s="12" t="n">
        <f aca="false">IFERROR('Chi phí'!$E$5+(($A68/'Giả định'!$B$19*D$61+$A68*'Giả định'!$B$23+'Giả định'!$B$24-INDEX('Mô phỏng'!$D$5:$D$1005,$A68+1))+'Giả định'!$B$29)/(INDEX('Mô phỏng'!$B$5:$B$1005,$A68+1)*'Chi phí'!$F$5*'Chi phí'!$H$5*(1+'Giả định'!$B$15*'Chi phí'!$G$5)*(1+'Giả định'!$B$16)),"n/a")</f>
        <v>1176977.7537041</v>
      </c>
      <c r="E68" s="12" t="n">
        <f aca="false">IFERROR('Chi phí'!$E$5+(($A68/'Giả định'!$B$19*E$61+$A68*'Giả định'!$B$23+'Giả định'!$B$24-INDEX('Mô phỏng'!$D$5:$D$1005,$A68+1))+'Giả định'!$B$29)/(INDEX('Mô phỏng'!$B$5:$B$1005,$A68+1)*'Chi phí'!$F$5*'Chi phí'!$H$5*(1+'Giả định'!$B$15*'Chi phí'!$G$5)*(1+'Giả định'!$B$16)),"n/a")</f>
        <v>2262848.40479214</v>
      </c>
      <c r="F68" s="12" t="n">
        <f aca="false">IFERROR('Chi phí'!$E$5+(($A68/'Giả định'!$B$19*F$61+$A68*'Giả định'!$B$23+'Giả định'!$B$24-INDEX('Mô phỏng'!$D$5:$D$1005,$A68+1))+'Giả định'!$B$29)/(INDEX('Mô phỏng'!$B$5:$B$1005,$A68+1)*'Chi phí'!$F$5*'Chi phí'!$H$5*(1+'Giả định'!$B$15*'Chi phí'!$G$5)*(1+'Giả định'!$B$16)),"n/a")</f>
        <v>3348719.05588018</v>
      </c>
      <c r="G68" s="12" t="n">
        <f aca="false">IFERROR('Chi phí'!$E$5+(($A68/'Giả định'!$B$19*G$61+$A68*'Giả định'!$B$23+'Giả định'!$B$24-INDEX('Mô phỏng'!$D$5:$D$1005,$A68+1))+'Giả định'!$B$29)/(INDEX('Mô phỏng'!$B$5:$B$1005,$A68+1)*'Chi phí'!$F$5*'Chi phí'!$H$5*(1+'Giả định'!$B$15*'Chi phí'!$G$5)*(1+'Giả định'!$B$16)),"n/a")</f>
        <v>4434589.70696823</v>
      </c>
    </row>
    <row r="69" customFormat="false" ht="15" hidden="false" customHeight="false" outlineLevel="0" collapsed="false">
      <c r="A69" s="9" t="s">
        <v>213</v>
      </c>
    </row>
    <row r="71" customFormat="false" ht="15" hidden="false" customHeight="false" outlineLevel="0" collapsed="false">
      <c r="A71" s="5" t="s">
        <v>214</v>
      </c>
      <c r="B71" s="6"/>
      <c r="C71" s="6"/>
      <c r="D71" s="6"/>
      <c r="E71" s="6"/>
      <c r="F71" s="6"/>
      <c r="G71" s="6"/>
    </row>
    <row r="72" customFormat="false" ht="15" hidden="false" customHeight="false" outlineLevel="0" collapsed="false">
      <c r="A72" s="30" t="s">
        <v>215</v>
      </c>
      <c r="B72" s="30" t="s">
        <v>216</v>
      </c>
      <c r="C72" s="30" t="s">
        <v>217</v>
      </c>
      <c r="D72" s="30" t="s">
        <v>218</v>
      </c>
      <c r="E72" s="30" t="s">
        <v>219</v>
      </c>
    </row>
    <row r="73" customFormat="false" ht="15" hidden="false" customHeight="false" outlineLevel="0" collapsed="false">
      <c r="A73" s="36" t="n">
        <v>0</v>
      </c>
      <c r="B73" s="25" t="n">
        <f aca="false">INDEX('Mô phỏng'!$E$5:$E$1005,$A73+1)</f>
        <v>0</v>
      </c>
      <c r="C73" s="25" t="n">
        <f aca="false">INDEX('Mô phỏng'!$D$5:$D$1005,$A73+1)</f>
        <v>339900000</v>
      </c>
      <c r="D73" s="25" t="n">
        <f aca="false">INDEX('Mô phỏng'!$C$5:$C$1005,$A73+1)</f>
        <v>196295000</v>
      </c>
      <c r="E73" s="25" t="n">
        <f aca="false">B73-C73</f>
        <v>-339900000</v>
      </c>
    </row>
    <row r="74" customFormat="false" ht="15" hidden="false" customHeight="false" outlineLevel="0" collapsed="false">
      <c r="A74" s="25" t="n">
        <f aca="false">A73+25</f>
        <v>25</v>
      </c>
      <c r="B74" s="25" t="n">
        <f aca="false">INDEX('Mô phỏng'!$E$5:$E$1005,$A74+1)</f>
        <v>9306722.68907563</v>
      </c>
      <c r="C74" s="25" t="n">
        <f aca="false">INDEX('Mô phỏng'!$D$5:$D$1005,$A74+1)</f>
        <v>340818500</v>
      </c>
      <c r="D74" s="25" t="n">
        <f aca="false">INDEX('Mô phỏng'!$C$5:$C$1005,$A74+1)</f>
        <v>197213500</v>
      </c>
      <c r="E74" s="25" t="n">
        <f aca="false">B74-C74</f>
        <v>-331511777.310924</v>
      </c>
    </row>
    <row r="75" customFormat="false" ht="15" hidden="false" customHeight="false" outlineLevel="0" collapsed="false">
      <c r="A75" s="25" t="n">
        <f aca="false">A74+25</f>
        <v>50</v>
      </c>
      <c r="B75" s="25" t="n">
        <f aca="false">INDEX('Mô phỏng'!$E$5:$E$1005,$A75+1)</f>
        <v>18613445.3781513</v>
      </c>
      <c r="C75" s="25" t="n">
        <f aca="false">INDEX('Mô phỏng'!$D$5:$D$1005,$A75+1)</f>
        <v>341737000</v>
      </c>
      <c r="D75" s="25" t="n">
        <f aca="false">INDEX('Mô phỏng'!$C$5:$C$1005,$A75+1)</f>
        <v>198132000</v>
      </c>
      <c r="E75" s="25" t="n">
        <f aca="false">B75-C75</f>
        <v>-323123554.621849</v>
      </c>
    </row>
    <row r="76" customFormat="false" ht="15" hidden="false" customHeight="false" outlineLevel="0" collapsed="false">
      <c r="A76" s="25" t="n">
        <f aca="false">A75+25</f>
        <v>75</v>
      </c>
      <c r="B76" s="25" t="n">
        <f aca="false">INDEX('Mô phỏng'!$E$5:$E$1005,$A76+1)</f>
        <v>27920168.0672269</v>
      </c>
      <c r="C76" s="25" t="n">
        <f aca="false">INDEX('Mô phỏng'!$D$5:$D$1005,$A76+1)</f>
        <v>342655500</v>
      </c>
      <c r="D76" s="25" t="n">
        <f aca="false">INDEX('Mô phỏng'!$C$5:$C$1005,$A76+1)</f>
        <v>199050500</v>
      </c>
      <c r="E76" s="25" t="n">
        <f aca="false">B76-C76</f>
        <v>-314735331.932773</v>
      </c>
    </row>
    <row r="77" customFormat="false" ht="15" hidden="false" customHeight="false" outlineLevel="0" collapsed="false">
      <c r="A77" s="25" t="n">
        <f aca="false">A76+25</f>
        <v>100</v>
      </c>
      <c r="B77" s="25" t="n">
        <f aca="false">INDEX('Mô phỏng'!$E$5:$E$1005,$A77+1)</f>
        <v>37226890.7563025</v>
      </c>
      <c r="C77" s="25" t="n">
        <f aca="false">INDEX('Mô phỏng'!$D$5:$D$1005,$A77+1)</f>
        <v>343574000</v>
      </c>
      <c r="D77" s="25" t="n">
        <f aca="false">INDEX('Mô phỏng'!$C$5:$C$1005,$A77+1)</f>
        <v>199969000</v>
      </c>
      <c r="E77" s="25" t="n">
        <f aca="false">B77-C77</f>
        <v>-306347109.243697</v>
      </c>
    </row>
    <row r="78" customFormat="false" ht="15" hidden="false" customHeight="false" outlineLevel="0" collapsed="false">
      <c r="A78" s="25" t="n">
        <f aca="false">A77+25</f>
        <v>125</v>
      </c>
      <c r="B78" s="25" t="n">
        <f aca="false">INDEX('Mô phỏng'!$E$5:$E$1005,$A78+1)</f>
        <v>46533613.4453782</v>
      </c>
      <c r="C78" s="25" t="n">
        <f aca="false">INDEX('Mô phỏng'!$D$5:$D$1005,$A78+1)</f>
        <v>344492500</v>
      </c>
      <c r="D78" s="25" t="n">
        <f aca="false">INDEX('Mô phỏng'!$C$5:$C$1005,$A78+1)</f>
        <v>200887500</v>
      </c>
      <c r="E78" s="25" t="n">
        <f aca="false">B78-C78</f>
        <v>-297958886.554622</v>
      </c>
    </row>
    <row r="79" customFormat="false" ht="15" hidden="false" customHeight="false" outlineLevel="0" collapsed="false">
      <c r="A79" s="25" t="n">
        <f aca="false">A78+25</f>
        <v>150</v>
      </c>
      <c r="B79" s="25" t="n">
        <f aca="false">INDEX('Mô phỏng'!$E$5:$E$1005,$A79+1)</f>
        <v>55840336.1344538</v>
      </c>
      <c r="C79" s="25" t="n">
        <f aca="false">INDEX('Mô phỏng'!$D$5:$D$1005,$A79+1)</f>
        <v>354585000</v>
      </c>
      <c r="D79" s="25" t="n">
        <f aca="false">INDEX('Mô phỏng'!$C$5:$C$1005,$A79+1)</f>
        <v>210980000</v>
      </c>
      <c r="E79" s="25" t="n">
        <f aca="false">B79-C79</f>
        <v>-298744663.865546</v>
      </c>
    </row>
    <row r="80" customFormat="false" ht="15" hidden="false" customHeight="false" outlineLevel="0" collapsed="false">
      <c r="A80" s="25" t="n">
        <f aca="false">A79+25</f>
        <v>175</v>
      </c>
      <c r="B80" s="25" t="n">
        <f aca="false">INDEX('Mô phỏng'!$E$5:$E$1005,$A80+1)</f>
        <v>65147058.8235294</v>
      </c>
      <c r="C80" s="25" t="n">
        <f aca="false">INDEX('Mô phỏng'!$D$5:$D$1005,$A80+1)</f>
        <v>383025500</v>
      </c>
      <c r="D80" s="25" t="n">
        <f aca="false">INDEX('Mô phỏng'!$C$5:$C$1005,$A80+1)</f>
        <v>239420500</v>
      </c>
      <c r="E80" s="25" t="n">
        <f aca="false">B80-C80</f>
        <v>-317878441.176471</v>
      </c>
    </row>
    <row r="81" customFormat="false" ht="15" hidden="false" customHeight="false" outlineLevel="0" collapsed="false">
      <c r="A81" s="25" t="n">
        <f aca="false">A80+25</f>
        <v>200</v>
      </c>
      <c r="B81" s="25" t="n">
        <f aca="false">INDEX('Mô phỏng'!$E$5:$E$1005,$A81+1)</f>
        <v>74453781.512605</v>
      </c>
      <c r="C81" s="25" t="n">
        <f aca="false">INDEX('Mô phỏng'!$D$5:$D$1005,$A81+1)</f>
        <v>402292000</v>
      </c>
      <c r="D81" s="25" t="n">
        <f aca="false">INDEX('Mô phỏng'!$C$5:$C$1005,$A81+1)</f>
        <v>258687000</v>
      </c>
      <c r="E81" s="25" t="n">
        <f aca="false">B81-C81</f>
        <v>-327838218.487395</v>
      </c>
    </row>
    <row r="82" customFormat="false" ht="15" hidden="false" customHeight="false" outlineLevel="0" collapsed="false">
      <c r="A82" s="25" t="n">
        <f aca="false">A81+25</f>
        <v>225</v>
      </c>
      <c r="B82" s="25" t="n">
        <f aca="false">INDEX('Mô phỏng'!$E$5:$E$1005,$A82+1)</f>
        <v>83760504.2016807</v>
      </c>
      <c r="C82" s="25" t="n">
        <f aca="false">INDEX('Mô phỏng'!$D$5:$D$1005,$A82+1)</f>
        <v>430732500</v>
      </c>
      <c r="D82" s="25" t="n">
        <f aca="false">INDEX('Mô phỏng'!$C$5:$C$1005,$A82+1)</f>
        <v>287127500</v>
      </c>
      <c r="E82" s="25" t="n">
        <f aca="false">B82-C82</f>
        <v>-346971995.798319</v>
      </c>
    </row>
    <row r="83" customFormat="false" ht="15" hidden="false" customHeight="false" outlineLevel="0" collapsed="false">
      <c r="A83" s="25" t="n">
        <f aca="false">A82+25</f>
        <v>250</v>
      </c>
      <c r="B83" s="25" t="n">
        <f aca="false">INDEX('Mô phỏng'!$E$5:$E$1005,$A83+1)</f>
        <v>93067226.8907563</v>
      </c>
      <c r="C83" s="25" t="n">
        <f aca="false">INDEX('Mô phỏng'!$D$5:$D$1005,$A83+1)</f>
        <v>449999000</v>
      </c>
      <c r="D83" s="25" t="n">
        <f aca="false">INDEX('Mô phỏng'!$C$5:$C$1005,$A83+1)</f>
        <v>306394000</v>
      </c>
      <c r="E83" s="25" t="n">
        <f aca="false">B83-C83</f>
        <v>-356931773.109244</v>
      </c>
    </row>
    <row r="84" customFormat="false" ht="15" hidden="false" customHeight="false" outlineLevel="0" collapsed="false">
      <c r="A84" s="25" t="n">
        <f aca="false">A83+25</f>
        <v>275</v>
      </c>
      <c r="B84" s="25" t="n">
        <f aca="false">INDEX('Mô phỏng'!$E$5:$E$1005,$A84+1)</f>
        <v>102373949.579832</v>
      </c>
      <c r="C84" s="25" t="n">
        <f aca="false">INDEX('Mô phỏng'!$D$5:$D$1005,$A84+1)</f>
        <v>478439500</v>
      </c>
      <c r="D84" s="25" t="n">
        <f aca="false">INDEX('Mô phỏng'!$C$5:$C$1005,$A84+1)</f>
        <v>334834500</v>
      </c>
      <c r="E84" s="25" t="n">
        <f aca="false">B84-C84</f>
        <v>-376065550.420168</v>
      </c>
    </row>
    <row r="85" customFormat="false" ht="15" hidden="false" customHeight="false" outlineLevel="0" collapsed="false">
      <c r="A85" s="25" t="n">
        <f aca="false">A84+25</f>
        <v>300</v>
      </c>
      <c r="B85" s="25" t="n">
        <f aca="false">INDEX('Mô phỏng'!$E$5:$E$1005,$A85+1)</f>
        <v>111680672.268908</v>
      </c>
      <c r="C85" s="25" t="n">
        <f aca="false">INDEX('Mô phỏng'!$D$5:$D$1005,$A85+1)</f>
        <v>497706000</v>
      </c>
      <c r="D85" s="25" t="n">
        <f aca="false">INDEX('Mô phỏng'!$C$5:$C$1005,$A85+1)</f>
        <v>354101000</v>
      </c>
      <c r="E85" s="25" t="n">
        <f aca="false">B85-C85</f>
        <v>-386025327.731092</v>
      </c>
    </row>
    <row r="86" customFormat="false" ht="15" hidden="false" customHeight="false" outlineLevel="0" collapsed="false">
      <c r="A86" s="25" t="n">
        <f aca="false">A85+25</f>
        <v>325</v>
      </c>
      <c r="B86" s="25" t="n">
        <f aca="false">INDEX('Mô phỏng'!$E$5:$E$1005,$A86+1)</f>
        <v>120987394.957983</v>
      </c>
      <c r="C86" s="25" t="n">
        <f aca="false">INDEX('Mô phỏng'!$D$5:$D$1005,$A86+1)</f>
        <v>526146500</v>
      </c>
      <c r="D86" s="25" t="n">
        <f aca="false">INDEX('Mô phỏng'!$C$5:$C$1005,$A86+1)</f>
        <v>382541500</v>
      </c>
      <c r="E86" s="25" t="n">
        <f aca="false">B86-C86</f>
        <v>-405159105.042017</v>
      </c>
    </row>
    <row r="87" customFormat="false" ht="15" hidden="false" customHeight="false" outlineLevel="0" collapsed="false">
      <c r="A87" s="25" t="n">
        <f aca="false">A86+25</f>
        <v>350</v>
      </c>
      <c r="B87" s="25" t="n">
        <f aca="false">INDEX('Mô phỏng'!$E$5:$E$1005,$A87+1)</f>
        <v>130294117.647059</v>
      </c>
      <c r="C87" s="25" t="n">
        <f aca="false">INDEX('Mô phỏng'!$D$5:$D$1005,$A87+1)</f>
        <v>545413000</v>
      </c>
      <c r="D87" s="25" t="n">
        <f aca="false">INDEX('Mô phỏng'!$C$5:$C$1005,$A87+1)</f>
        <v>401808000</v>
      </c>
      <c r="E87" s="25" t="n">
        <f aca="false">B87-C87</f>
        <v>-415118882.352941</v>
      </c>
    </row>
    <row r="88" customFormat="false" ht="15" hidden="false" customHeight="false" outlineLevel="0" collapsed="false">
      <c r="A88" s="25" t="n">
        <f aca="false">A87+25</f>
        <v>375</v>
      </c>
      <c r="B88" s="25" t="n">
        <f aca="false">INDEX('Mô phỏng'!$E$5:$E$1005,$A88+1)</f>
        <v>139600840.336134</v>
      </c>
      <c r="C88" s="25" t="n">
        <f aca="false">INDEX('Mô phỏng'!$D$5:$D$1005,$A88+1)</f>
        <v>573853500</v>
      </c>
      <c r="D88" s="25" t="n">
        <f aca="false">INDEX('Mô phỏng'!$C$5:$C$1005,$A88+1)</f>
        <v>430248500</v>
      </c>
      <c r="E88" s="25" t="n">
        <f aca="false">B88-C88</f>
        <v>-434252659.663866</v>
      </c>
    </row>
    <row r="89" customFormat="false" ht="15" hidden="false" customHeight="false" outlineLevel="0" collapsed="false">
      <c r="A89" s="25" t="n">
        <f aca="false">A88+25</f>
        <v>400</v>
      </c>
      <c r="B89" s="25" t="n">
        <f aca="false">INDEX('Mô phỏng'!$E$5:$E$1005,$A89+1)</f>
        <v>148907563.02521</v>
      </c>
      <c r="C89" s="25" t="n">
        <f aca="false">INDEX('Mô phỏng'!$D$5:$D$1005,$A89+1)</f>
        <v>593120000</v>
      </c>
      <c r="D89" s="25" t="n">
        <f aca="false">INDEX('Mô phỏng'!$C$5:$C$1005,$A89+1)</f>
        <v>449515000</v>
      </c>
      <c r="E89" s="25" t="n">
        <f aca="false">B89-C89</f>
        <v>-444212436.97479</v>
      </c>
    </row>
    <row r="90" customFormat="false" ht="15" hidden="false" customHeight="false" outlineLevel="0" collapsed="false">
      <c r="A90" s="25" t="n">
        <f aca="false">A89+25</f>
        <v>425</v>
      </c>
      <c r="B90" s="25" t="n">
        <f aca="false">INDEX('Mô phỏng'!$E$5:$E$1005,$A90+1)</f>
        <v>158214285.714286</v>
      </c>
      <c r="C90" s="25" t="n">
        <f aca="false">INDEX('Mô phỏng'!$D$5:$D$1005,$A90+1)</f>
        <v>621560500</v>
      </c>
      <c r="D90" s="25" t="n">
        <f aca="false">INDEX('Mô phỏng'!$C$5:$C$1005,$A90+1)</f>
        <v>477955500</v>
      </c>
      <c r="E90" s="25" t="n">
        <f aca="false">B90-C90</f>
        <v>-463346214.285714</v>
      </c>
    </row>
    <row r="91" customFormat="false" ht="15" hidden="false" customHeight="false" outlineLevel="0" collapsed="false">
      <c r="A91" s="25" t="n">
        <f aca="false">A90+25</f>
        <v>450</v>
      </c>
      <c r="B91" s="25" t="n">
        <f aca="false">INDEX('Mô phỏng'!$E$5:$E$1005,$A91+1)</f>
        <v>167521008.403361</v>
      </c>
      <c r="C91" s="25" t="n">
        <f aca="false">INDEX('Mô phỏng'!$D$5:$D$1005,$A91+1)</f>
        <v>640827000</v>
      </c>
      <c r="D91" s="25" t="n">
        <f aca="false">INDEX('Mô phỏng'!$C$5:$C$1005,$A91+1)</f>
        <v>497222000</v>
      </c>
      <c r="E91" s="25" t="n">
        <f aca="false">B91-C91</f>
        <v>-473305991.596639</v>
      </c>
    </row>
    <row r="92" customFormat="false" ht="15" hidden="false" customHeight="false" outlineLevel="0" collapsed="false">
      <c r="A92" s="25" t="n">
        <f aca="false">A91+25</f>
        <v>475</v>
      </c>
      <c r="B92" s="25" t="n">
        <f aca="false">INDEX('Mô phỏng'!$E$5:$E$1005,$A92+1)</f>
        <v>176827731.092437</v>
      </c>
      <c r="C92" s="25" t="n">
        <f aca="false">INDEX('Mô phỏng'!$D$5:$D$1005,$A92+1)</f>
        <v>669267500</v>
      </c>
      <c r="D92" s="25" t="n">
        <f aca="false">INDEX('Mô phỏng'!$C$5:$C$1005,$A92+1)</f>
        <v>525662500</v>
      </c>
      <c r="E92" s="25" t="n">
        <f aca="false">B92-C92</f>
        <v>-492439768.907563</v>
      </c>
    </row>
    <row r="93" customFormat="false" ht="15" hidden="false" customHeight="false" outlineLevel="0" collapsed="false">
      <c r="A93" s="25" t="n">
        <f aca="false">A92+25</f>
        <v>500</v>
      </c>
      <c r="B93" s="25" t="n">
        <f aca="false">INDEX('Mô phỏng'!$E$5:$E$1005,$A93+1)</f>
        <v>186134453.781513</v>
      </c>
      <c r="C93" s="25" t="n">
        <f aca="false">INDEX('Mô phỏng'!$D$5:$D$1005,$A93+1)</f>
        <v>688534000</v>
      </c>
      <c r="D93" s="25" t="n">
        <f aca="false">INDEX('Mô phỏng'!$C$5:$C$1005,$A93+1)</f>
        <v>544929000</v>
      </c>
      <c r="E93" s="25" t="n">
        <f aca="false">B93-C93</f>
        <v>-502399546.218487</v>
      </c>
    </row>
    <row r="94" customFormat="false" ht="15" hidden="false" customHeight="false" outlineLevel="0" collapsed="false">
      <c r="A94" s="25" t="n">
        <f aca="false">A93+25</f>
        <v>525</v>
      </c>
      <c r="B94" s="25" t="n">
        <f aca="false">INDEX('Mô phỏng'!$E$5:$E$1005,$A94+1)</f>
        <v>195441176.470588</v>
      </c>
      <c r="C94" s="25" t="n">
        <f aca="false">INDEX('Mô phỏng'!$D$5:$D$1005,$A94+1)</f>
        <v>716974500</v>
      </c>
      <c r="D94" s="25" t="n">
        <f aca="false">INDEX('Mô phỏng'!$C$5:$C$1005,$A94+1)</f>
        <v>573369500</v>
      </c>
      <c r="E94" s="25" t="n">
        <f aca="false">B94-C94</f>
        <v>-521533323.529412</v>
      </c>
    </row>
    <row r="95" customFormat="false" ht="15" hidden="false" customHeight="false" outlineLevel="0" collapsed="false">
      <c r="A95" s="25" t="n">
        <f aca="false">A94+25</f>
        <v>550</v>
      </c>
      <c r="B95" s="25" t="n">
        <f aca="false">INDEX('Mô phỏng'!$E$5:$E$1005,$A95+1)</f>
        <v>204747899.159664</v>
      </c>
      <c r="C95" s="25" t="n">
        <f aca="false">INDEX('Mô phỏng'!$D$5:$D$1005,$A95+1)</f>
        <v>736241000</v>
      </c>
      <c r="D95" s="25" t="n">
        <f aca="false">INDEX('Mô phỏng'!$C$5:$C$1005,$A95+1)</f>
        <v>592636000</v>
      </c>
      <c r="E95" s="25" t="n">
        <f aca="false">B95-C95</f>
        <v>-531493100.840336</v>
      </c>
    </row>
    <row r="96" customFormat="false" ht="15" hidden="false" customHeight="false" outlineLevel="0" collapsed="false">
      <c r="A96" s="25" t="n">
        <f aca="false">A95+25</f>
        <v>575</v>
      </c>
      <c r="B96" s="25" t="n">
        <f aca="false">INDEX('Mô phỏng'!$E$5:$E$1005,$A96+1)</f>
        <v>214054621.84874</v>
      </c>
      <c r="C96" s="25" t="n">
        <f aca="false">INDEX('Mô phỏng'!$D$5:$D$1005,$A96+1)</f>
        <v>764681500</v>
      </c>
      <c r="D96" s="25" t="n">
        <f aca="false">INDEX('Mô phỏng'!$C$5:$C$1005,$A96+1)</f>
        <v>621076500</v>
      </c>
      <c r="E96" s="25" t="n">
        <f aca="false">B96-C96</f>
        <v>-550626878.151261</v>
      </c>
    </row>
    <row r="97" customFormat="false" ht="15" hidden="false" customHeight="false" outlineLevel="0" collapsed="false">
      <c r="A97" s="25" t="n">
        <f aca="false">A96+25</f>
        <v>600</v>
      </c>
      <c r="B97" s="25" t="n">
        <f aca="false">INDEX('Mô phỏng'!$E$5:$E$1005,$A97+1)</f>
        <v>223361344.537815</v>
      </c>
      <c r="C97" s="25" t="n">
        <f aca="false">INDEX('Mô phỏng'!$D$5:$D$1005,$A97+1)</f>
        <v>783948000</v>
      </c>
      <c r="D97" s="25" t="n">
        <f aca="false">INDEX('Mô phỏng'!$C$5:$C$1005,$A97+1)</f>
        <v>640343000</v>
      </c>
      <c r="E97" s="25" t="n">
        <f aca="false">B97-C97</f>
        <v>-560586655.462185</v>
      </c>
    </row>
  </sheetData>
  <conditionalFormatting sqref="B30:G40">
    <cfRule type="cellIs" priority="2" operator="lessThan" aboveAverage="0" equalAverage="0" bottom="0" percent="0" rank="0" text="" dxfId="0">
      <formula>0</formula>
    </cfRule>
    <cfRule type="cellIs" priority="3" operator="greaterThanOrEqual" aboveAverage="0" equalAverage="0" bottom="0" percent="0" rank="0" text="" dxfId="1">
      <formula>0</formula>
    </cfRule>
  </conditionalFormatting>
  <conditionalFormatting sqref="B44:G54">
    <cfRule type="cellIs" priority="4" operator="lessThan" aboveAverage="0" equalAverage="0" bottom="0" percent="0" rank="0" text="" dxfId="0">
      <formula>0</formula>
    </cfRule>
    <cfRule type="cellIs" priority="5" operator="greaterThanOrEqual" aboveAverage="0" equalAverage="0" bottom="0" percent="0" rank="0" text="" dxfId="1">
      <formula>0</formula>
    </cfRule>
  </conditionalFormatting>
  <conditionalFormatting sqref="B62:G68">
    <cfRule type="cellIs" priority="6" operator="lessThan" aboveAverage="0" equalAverage="0" bottom="0" percent="0" rank="0" text="" dxfId="0">
      <formula>$B$57</formula>
    </cfRule>
    <cfRule type="cellIs" priority="7" operator="greaterThanOrEqual" aboveAverage="0" equalAverage="0" bottom="0" percent="0" rank="0" text="" dxfId="1">
      <formula>$B$57</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4"/>
    <col collapsed="false" customWidth="true" hidden="false" outlineLevel="0" max="2" min="2" style="0" width="28"/>
    <col collapsed="false" customWidth="true" hidden="false" outlineLevel="0" max="6" min="3" style="0" width="22"/>
  </cols>
  <sheetData>
    <row r="1" customFormat="false" ht="17.35" hidden="false" customHeight="false" outlineLevel="0" collapsed="false">
      <c r="A1" s="1" t="s">
        <v>220</v>
      </c>
    </row>
    <row r="2" customFormat="false" ht="15" hidden="false" customHeight="false" outlineLevel="0" collapsed="false">
      <c r="A2" s="4" t="s">
        <v>221</v>
      </c>
    </row>
    <row r="4" customFormat="false" ht="43.5" hidden="false" customHeight="true" outlineLevel="0" collapsed="false">
      <c r="A4" s="18" t="s">
        <v>222</v>
      </c>
      <c r="B4" s="18" t="s">
        <v>223</v>
      </c>
      <c r="C4" s="18" t="s">
        <v>224</v>
      </c>
      <c r="D4" s="18" t="s">
        <v>225</v>
      </c>
      <c r="E4" s="18" t="s">
        <v>226</v>
      </c>
      <c r="F4" s="18" t="s">
        <v>227</v>
      </c>
    </row>
    <row r="5" customFormat="false" ht="15" hidden="false" customHeight="false" outlineLevel="0" collapsed="false">
      <c r="A5" s="37" t="s">
        <v>228</v>
      </c>
      <c r="B5" s="19" t="s">
        <v>229</v>
      </c>
      <c r="C5" s="15" t="n">
        <v>0.1</v>
      </c>
      <c r="D5" s="32" t="n">
        <f aca="false">C5*'Chi phí'!$I$59</f>
        <v>45935670</v>
      </c>
      <c r="E5" s="12" t="n">
        <f aca="false">D5</f>
        <v>45935670</v>
      </c>
      <c r="F5" s="22" t="n">
        <v>1</v>
      </c>
    </row>
    <row r="6" customFormat="false" ht="15" hidden="false" customHeight="false" outlineLevel="0" collapsed="false">
      <c r="A6" s="37" t="s">
        <v>230</v>
      </c>
      <c r="B6" s="19" t="s">
        <v>231</v>
      </c>
      <c r="C6" s="15" t="n">
        <v>0.3</v>
      </c>
      <c r="D6" s="32" t="n">
        <f aca="false">C6*'Chi phí'!$I$59</f>
        <v>137807010</v>
      </c>
      <c r="E6" s="12" t="n">
        <f aca="false">E5+D6</f>
        <v>183742680</v>
      </c>
      <c r="F6" s="22" t="n">
        <v>1</v>
      </c>
    </row>
    <row r="7" customFormat="false" ht="15" hidden="false" customHeight="false" outlineLevel="0" collapsed="false">
      <c r="A7" s="37" t="s">
        <v>232</v>
      </c>
      <c r="B7" s="19" t="s">
        <v>233</v>
      </c>
      <c r="C7" s="15" t="n">
        <v>0.25</v>
      </c>
      <c r="D7" s="32" t="n">
        <f aca="false">C7*'Chi phí'!$I$59</f>
        <v>114839175</v>
      </c>
      <c r="E7" s="12" t="n">
        <f aca="false">E6+D7</f>
        <v>298581855</v>
      </c>
      <c r="F7" s="22" t="n">
        <v>1</v>
      </c>
    </row>
    <row r="8" customFormat="false" ht="15" hidden="false" customHeight="false" outlineLevel="0" collapsed="false">
      <c r="A8" s="37" t="s">
        <v>234</v>
      </c>
      <c r="B8" s="19" t="s">
        <v>235</v>
      </c>
      <c r="C8" s="15" t="n">
        <v>0.35</v>
      </c>
      <c r="D8" s="32" t="n">
        <f aca="false">C8*'Chi phí'!$I$59</f>
        <v>160774845</v>
      </c>
      <c r="E8" s="12" t="n">
        <f aca="false">E7+D8</f>
        <v>459356700</v>
      </c>
      <c r="F8" s="22" t="n">
        <v>0</v>
      </c>
    </row>
    <row r="9" customFormat="false" ht="15" hidden="false" customHeight="false" outlineLevel="0" collapsed="false">
      <c r="A9" s="26" t="s">
        <v>236</v>
      </c>
      <c r="C9" s="38" t="n">
        <f aca="false">SUM(C5:C8)</f>
        <v>1</v>
      </c>
      <c r="D9" s="39" t="n">
        <f aca="false">SUM(D5:D8)</f>
        <v>459356700</v>
      </c>
      <c r="E9" s="9" t="str">
        <f aca="false">IF(ABS(C9-1)&lt;0.0001,"OK: tổng = 100%","LỆCH: tổng tỷ lệ phải bằng 100%")</f>
        <v>OK: tổng = 100%</v>
      </c>
    </row>
    <row r="11" customFormat="false" ht="15" hidden="false" customHeight="false" outlineLevel="0" collapsed="false">
      <c r="A11" s="5" t="s">
        <v>237</v>
      </c>
      <c r="B11" s="6"/>
      <c r="C11" s="6"/>
      <c r="D11" s="6"/>
      <c r="E11" s="6"/>
      <c r="F11" s="6"/>
    </row>
    <row r="12" customFormat="false" ht="15" hidden="false" customHeight="false" outlineLevel="0" collapsed="false">
      <c r="A12" s="33" t="s">
        <v>238</v>
      </c>
      <c r="B12" s="34" t="n">
        <f aca="false">SUMPRODUCT(D5:D8,F5:F8)</f>
        <v>298581855</v>
      </c>
    </row>
    <row r="13" customFormat="false" ht="15" hidden="false" customHeight="false" outlineLevel="0" collapsed="false">
      <c r="A13" s="7" t="s">
        <v>239</v>
      </c>
      <c r="B13" s="14" t="n">
        <f aca="false">IF(D9=0,0,B12/D9)</f>
        <v>0.65</v>
      </c>
    </row>
    <row r="14" customFormat="false" ht="15" hidden="false" customHeight="false" outlineLevel="0" collapsed="false">
      <c r="A14" s="7" t="s">
        <v>240</v>
      </c>
      <c r="B14" s="12" t="n">
        <f aca="false">D9-B12</f>
        <v>160774845</v>
      </c>
    </row>
    <row r="15" customFormat="false" ht="15" hidden="false" customHeight="false" outlineLevel="0" collapsed="false">
      <c r="A15" s="7" t="s">
        <v>241</v>
      </c>
      <c r="B15" s="32" t="n">
        <f aca="false">'Chi phí'!$I$60</f>
        <v>94928571.4285714</v>
      </c>
    </row>
    <row r="16" customFormat="false" ht="15" hidden="false" customHeight="false" outlineLevel="0" collapsed="false">
      <c r="A16" s="7" t="s">
        <v>242</v>
      </c>
      <c r="B16" s="12" t="n">
        <f aca="false">B15-B14</f>
        <v>-65846273.5714286</v>
      </c>
    </row>
    <row r="17" customFormat="false" ht="15" hidden="false" customHeight="false" outlineLevel="0" collapsed="false">
      <c r="A17" s="33" t="s">
        <v>243</v>
      </c>
      <c r="B17" s="40" t="n">
        <f aca="false">B15-D9</f>
        <v>-364428128.571429</v>
      </c>
    </row>
    <row r="19" customFormat="false" ht="51.75" hidden="false" customHeight="true" outlineLevel="0" collapsed="false">
      <c r="A19" s="41" t="s">
        <v>244</v>
      </c>
      <c r="B19" s="41"/>
      <c r="C19" s="41"/>
      <c r="D19" s="41"/>
      <c r="E19" s="41"/>
      <c r="F19" s="41"/>
    </row>
  </sheetData>
  <mergeCells count="1">
    <mergeCell ref="A19:F19"/>
  </mergeCells>
  <dataValidations count="1">
    <dataValidation allowBlank="false" errorStyle="stop" operator="between" showDropDown="false" showErrorMessage="false" showInputMessage="false" sqref="F5:F8" type="list">
      <formula1>"0,1"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6"/>
    <col collapsed="false" customWidth="true" hidden="false" outlineLevel="0" max="5" min="2" style="0" width="26"/>
  </cols>
  <sheetData>
    <row r="1" customFormat="false" ht="17.35" hidden="false" customHeight="false" outlineLevel="0" collapsed="false">
      <c r="A1" s="1" t="s">
        <v>245</v>
      </c>
    </row>
    <row r="2" customFormat="false" ht="15" hidden="false" customHeight="false" outlineLevel="0" collapsed="false">
      <c r="A2" s="4" t="s">
        <v>246</v>
      </c>
    </row>
    <row r="4" customFormat="false" ht="30" hidden="false" customHeight="true" outlineLevel="0" collapsed="false">
      <c r="A4" s="29" t="s">
        <v>247</v>
      </c>
      <c r="B4" s="18" t="s">
        <v>248</v>
      </c>
      <c r="C4" s="18" t="s">
        <v>249</v>
      </c>
      <c r="D4" s="18" t="s">
        <v>250</v>
      </c>
      <c r="E4" s="18" t="s">
        <v>251</v>
      </c>
    </row>
    <row r="5" customFormat="false" ht="42" hidden="false" customHeight="true" outlineLevel="0" collapsed="false">
      <c r="A5" s="7" t="s">
        <v>252</v>
      </c>
      <c r="B5" s="10" t="s">
        <v>253</v>
      </c>
      <c r="C5" s="42" t="s">
        <v>254</v>
      </c>
      <c r="D5" s="42" t="s">
        <v>255</v>
      </c>
      <c r="E5" s="42" t="s">
        <v>256</v>
      </c>
    </row>
    <row r="6" customFormat="false" ht="15" hidden="false" customHeight="false" outlineLevel="0" collapsed="false">
      <c r="A6" s="7" t="s">
        <v>257</v>
      </c>
      <c r="B6" s="43" t="n">
        <v>1</v>
      </c>
      <c r="C6" s="22" t="n">
        <v>2</v>
      </c>
      <c r="D6" s="22" t="n">
        <v>2</v>
      </c>
      <c r="E6" s="22" t="n">
        <v>2</v>
      </c>
    </row>
    <row r="7" customFormat="false" ht="15" hidden="false" customHeight="false" outlineLevel="0" collapsed="false">
      <c r="A7" s="7" t="s">
        <v>22</v>
      </c>
      <c r="B7" s="32" t="n">
        <f aca="false">'Giả định'!$B$4</f>
        <v>300</v>
      </c>
      <c r="C7" s="13" t="n">
        <v>300</v>
      </c>
      <c r="D7" s="13" t="n">
        <v>300</v>
      </c>
      <c r="E7" s="13" t="n">
        <v>300</v>
      </c>
    </row>
    <row r="8" customFormat="false" ht="15" hidden="false" customHeight="false" outlineLevel="0" collapsed="false">
      <c r="A8" s="7" t="s">
        <v>258</v>
      </c>
      <c r="B8" s="44" t="n">
        <f aca="false">'Giả định'!$B$5</f>
        <v>0.85</v>
      </c>
      <c r="C8" s="44" t="n">
        <f aca="false">'Giả định'!$B$5</f>
        <v>0.85</v>
      </c>
      <c r="D8" s="44" t="n">
        <f aca="false">'Giả định'!$B$5</f>
        <v>0.85</v>
      </c>
      <c r="E8" s="44" t="n">
        <f aca="false">'Giả định'!$B$5</f>
        <v>0.85</v>
      </c>
    </row>
    <row r="9" customFormat="false" ht="15" hidden="false" customHeight="false" outlineLevel="0" collapsed="false">
      <c r="A9" s="7" t="s">
        <v>259</v>
      </c>
      <c r="B9" s="12" t="n">
        <f aca="false">ROUND(B7*B8,0)</f>
        <v>255</v>
      </c>
      <c r="C9" s="12" t="n">
        <f aca="false">ROUND(C7*C8,0)</f>
        <v>255</v>
      </c>
      <c r="D9" s="12" t="n">
        <f aca="false">ROUND(D7*D8,0)</f>
        <v>255</v>
      </c>
      <c r="E9" s="12" t="n">
        <f aca="false">ROUND(E7*E8,0)</f>
        <v>255</v>
      </c>
    </row>
    <row r="10" customFormat="false" ht="15" hidden="false" customHeight="false" outlineLevel="0" collapsed="false">
      <c r="A10" s="7" t="s">
        <v>260</v>
      </c>
      <c r="B10" s="32" t="n">
        <f aca="false">'Chi phí'!$E$5*'Chi phí'!$F$5+'Chi phí'!$E$6*'Chi phí'!$F$6</f>
        <v>7000000</v>
      </c>
      <c r="C10" s="13" t="n">
        <v>4200000</v>
      </c>
      <c r="D10" s="13" t="n">
        <v>3300000</v>
      </c>
      <c r="E10" s="13" t="n">
        <v>7000000</v>
      </c>
    </row>
    <row r="11" customFormat="false" ht="15" hidden="false" customHeight="false" outlineLevel="0" collapsed="false">
      <c r="A11" s="7" t="s">
        <v>261</v>
      </c>
      <c r="B11" s="45" t="n">
        <f aca="false">'Giả định'!$B$19</f>
        <v>1.4</v>
      </c>
      <c r="C11" s="45" t="n">
        <f aca="false">'Giả định'!$B$19</f>
        <v>1.4</v>
      </c>
      <c r="D11" s="45" t="n">
        <f aca="false">'Giả định'!$B$19</f>
        <v>1.4</v>
      </c>
      <c r="E11" s="45" t="n">
        <f aca="false">'Giả định'!$B$19</f>
        <v>1.4</v>
      </c>
    </row>
    <row r="12" customFormat="false" ht="15" hidden="false" customHeight="false" outlineLevel="0" collapsed="false">
      <c r="A12" s="7" t="s">
        <v>262</v>
      </c>
      <c r="B12" s="32" t="n">
        <f aca="false">'Giả định'!$B$20</f>
        <v>500000</v>
      </c>
      <c r="C12" s="8" t="n">
        <v>1450000</v>
      </c>
      <c r="D12" s="8" t="n">
        <v>1300000</v>
      </c>
      <c r="E12" s="8" t="n">
        <v>2100000</v>
      </c>
    </row>
    <row r="13" customFormat="false" ht="15" hidden="false" customHeight="false" outlineLevel="0" collapsed="false">
      <c r="A13" s="7" t="s">
        <v>38</v>
      </c>
      <c r="B13" s="12" t="n">
        <f aca="false">MAX('Giả định'!$B$9,ROUNDUP(B9/'Giả định'!$B$7,0)+'Giả định'!$B$8)</f>
        <v>27</v>
      </c>
      <c r="C13" s="12" t="n">
        <f aca="false">MAX('Giả định'!$B$9,ROUNDUP(C9/'Giả định'!$B$7,0)+'Giả định'!$B$8)</f>
        <v>27</v>
      </c>
      <c r="D13" s="12" t="n">
        <f aca="false">MAX('Giả định'!$B$9,ROUNDUP(D9/'Giả định'!$B$7,0)+'Giả định'!$B$8)</f>
        <v>27</v>
      </c>
      <c r="E13" s="12" t="n">
        <f aca="false">MAX('Giả định'!$B$9,ROUNDUP(E9/'Giả định'!$B$7,0)+'Giả định'!$B$8)</f>
        <v>27</v>
      </c>
    </row>
    <row r="15" customFormat="false" ht="15" hidden="false" customHeight="false" outlineLevel="0" collapsed="false">
      <c r="A15" s="5" t="s">
        <v>237</v>
      </c>
      <c r="B15" s="6"/>
      <c r="C15" s="6"/>
      <c r="D15" s="6"/>
      <c r="E15" s="6"/>
    </row>
    <row r="16" customFormat="false" ht="15" hidden="false" customHeight="false" outlineLevel="0" collapsed="false">
      <c r="A16" s="7" t="s">
        <v>185</v>
      </c>
      <c r="B16" s="12" t="n">
        <f aca="false">(B29+B30*B13+B31*B9+'Giả định'!$B$15*(B32+B33*B13+B34*B9))*(1+'Giả định'!$B$16)</f>
        <v>459356700</v>
      </c>
      <c r="C16" s="12" t="n">
        <f aca="false">(C29+C30*C13+C31*C9+'Giả định'!$B$15*(C32+C33*C13+C34*C9))*(1+'Giả định'!$B$16)</f>
        <v>259007100</v>
      </c>
      <c r="D16" s="12" t="n">
        <f aca="false">(D29+D30*D13+D31*D9+'Giả định'!$B$15*(D32+D33*D13+D34*D9))*(1+'Giả định'!$B$16)</f>
        <v>227733000</v>
      </c>
      <c r="E16" s="12" t="n">
        <f aca="false">(E29+E30*E13+E31*E9+'Giả định'!$B$15*(E32+E33*E13+E34*E9))*(1+'Giả định'!$B$16)</f>
        <v>356304300</v>
      </c>
    </row>
    <row r="17" customFormat="false" ht="15" hidden="false" customHeight="false" outlineLevel="0" collapsed="false">
      <c r="A17" s="7" t="s">
        <v>186</v>
      </c>
      <c r="B17" s="12" t="n">
        <f aca="false">B9*(B12/B11+B35)+'Giả định'!$B$24</f>
        <v>94928571.4285714</v>
      </c>
      <c r="C17" s="12" t="n">
        <f aca="false">C9*(C12/C11+C35)+'Giả định'!$B$24</f>
        <v>267964285.714286</v>
      </c>
      <c r="D17" s="12" t="n">
        <f aca="false">D9*(D12/D11+D35)+'Giả định'!$B$24</f>
        <v>240642857.142857</v>
      </c>
      <c r="E17" s="12" t="n">
        <f aca="false">E9*(E12/E11+E35)+'Giả định'!$B$24</f>
        <v>386357142.857143</v>
      </c>
    </row>
    <row r="18" customFormat="false" ht="15" hidden="false" customHeight="false" outlineLevel="0" collapsed="false">
      <c r="A18" s="33" t="s">
        <v>263</v>
      </c>
      <c r="B18" s="28" t="n">
        <f aca="false">B17-B16</f>
        <v>-364428128.571429</v>
      </c>
      <c r="C18" s="28" t="n">
        <f aca="false">C17-C16</f>
        <v>8957185.71428567</v>
      </c>
      <c r="D18" s="28" t="n">
        <f aca="false">D17-D16</f>
        <v>12909857.1428571</v>
      </c>
      <c r="E18" s="28" t="n">
        <f aca="false">E17-E16</f>
        <v>30052842.8571429</v>
      </c>
    </row>
    <row r="19" customFormat="false" ht="15" hidden="false" customHeight="false" outlineLevel="0" collapsed="false">
      <c r="A19" s="33" t="s">
        <v>264</v>
      </c>
      <c r="B19" s="46" t="str">
        <f aca="false">IF(B18+'Giả định'!$B$29&gt;=0,"KHÔNG LỖ","LỖ "&amp;ROUND(-(B18+'Giả định'!$B$29)/1000000,0)&amp;" triệu")</f>
        <v>LỖ 364 triệu</v>
      </c>
      <c r="C19" s="46" t="str">
        <f aca="false">IF(C18+'Giả định'!$B$29&gt;=0,"KHÔNG LỖ","LỖ "&amp;ROUND(-(C18+'Giả định'!$B$29)/1000000,0)&amp;" triệu")</f>
        <v>KHÔNG LỖ</v>
      </c>
      <c r="D19" s="46" t="str">
        <f aca="false">IF(D18+'Giả định'!$B$29&gt;=0,"KHÔNG LỖ","LỖ "&amp;ROUND(-(D18+'Giả định'!$B$29)/1000000,0)&amp;" triệu")</f>
        <v>KHÔNG LỖ</v>
      </c>
      <c r="E19" s="46" t="str">
        <f aca="false">IF(E18+'Giả định'!$B$29&gt;=0,"KHÔNG LỖ","LỖ "&amp;ROUND(-(E18+'Giả định'!$B$29)/1000000,0)&amp;" triệu")</f>
        <v>KHÔNG LỖ</v>
      </c>
    </row>
    <row r="20" customFormat="false" ht="15" hidden="false" customHeight="false" outlineLevel="0" collapsed="false">
      <c r="A20" s="7" t="s">
        <v>201</v>
      </c>
      <c r="B20" s="12" t="n">
        <f aca="false">B12/B11+B35-((B30+'Giả định'!$B$15*B33)/'Giả định'!$B$7+B31+'Giả định'!$B$15*B34)*(1+'Giả định'!$B$16)</f>
        <v>-581871.092436975</v>
      </c>
      <c r="C20" s="12" t="n">
        <f aca="false">C12/C11+C35-((C30+'Giả định'!$B$15*C33)/'Giả định'!$B$7+C31+'Giả định'!$B$15*C34)*(1+'Giả định'!$B$16)</f>
        <v>476640.336134454</v>
      </c>
      <c r="D20" s="12" t="n">
        <f aca="false">D12/D11+D35-((D30+'Giả định'!$B$15*D33)/'Giả định'!$B$7+D31+'Giả định'!$B$15*D34)*(1+'Giả định'!$B$16)</f>
        <v>485327.478991597</v>
      </c>
      <c r="E20" s="12" t="n">
        <f aca="false">E12/E11+E35-((E30+'Giả định'!$B$15*E33)/'Giả định'!$B$7+E31+'Giả định'!$B$15*E34)*(1+'Giả định'!$B$16)</f>
        <v>580566.050420168</v>
      </c>
    </row>
    <row r="21" customFormat="false" ht="15" hidden="false" customHeight="false" outlineLevel="0" collapsed="false">
      <c r="A21" s="7" t="s">
        <v>265</v>
      </c>
      <c r="B21" s="12" t="n">
        <f aca="false">(B29+'Giả định'!$B$15*B32+'Giả định'!$B$8*(B30+'Giả định'!$B$15*B33))*(1+'Giả định'!$B$16)</f>
        <v>211464000</v>
      </c>
      <c r="C21" s="12" t="n">
        <f aca="false">(C29+'Giả định'!$B$15*C32+'Giả định'!$B$8*(C30+'Giả định'!$B$15*C33))*(1+'Giả định'!$B$16)</f>
        <v>109828400</v>
      </c>
      <c r="D21" s="12" t="n">
        <f aca="false">(D29+'Giả định'!$B$15*D32+'Giả định'!$B$8*(D30+'Giả định'!$B$15*D33))*(1+'Giả định'!$B$16)</f>
        <v>108670100</v>
      </c>
      <c r="E21" s="12" t="n">
        <f aca="false">(E29+'Giả định'!$B$15*E32+'Giả định'!$B$8*(E30+'Giả định'!$B$15*E33))*(1+'Giả định'!$B$16)</f>
        <v>113432000</v>
      </c>
    </row>
    <row r="23" customFormat="false" ht="15" hidden="false" customHeight="false" outlineLevel="0" collapsed="false">
      <c r="A23" s="5" t="s">
        <v>266</v>
      </c>
      <c r="B23" s="6"/>
      <c r="C23" s="6"/>
      <c r="D23" s="6"/>
      <c r="E23" s="6"/>
    </row>
    <row r="24" customFormat="false" ht="15" hidden="false" customHeight="false" outlineLevel="0" collapsed="false">
      <c r="A24" s="33" t="s">
        <v>267</v>
      </c>
      <c r="B24" s="34" t="n">
        <f aca="false">IF(B9=0,0,(B16-'Giả định'!$B$29-'Giả định'!$B$24-B9*B35)*B11/B9)</f>
        <v>2500781.88235294</v>
      </c>
      <c r="C24" s="34" t="n">
        <f aca="false">IF(C9=0,0,(C16-'Giả định'!$B$29-'Giả định'!$B$24-C9*C35)*C11/C9)</f>
        <v>1400823.29411765</v>
      </c>
      <c r="D24" s="34" t="n">
        <f aca="false">IF(D9=0,0,(D16-'Giả định'!$B$29-'Giả định'!$B$24-D9*D35)*D11/D9)</f>
        <v>1229122.35294118</v>
      </c>
      <c r="E24" s="34" t="n">
        <f aca="false">IF(E9=0,0,(E16-'Giả định'!$B$29-'Giả định'!$B$24-E9*E35)*E11/E9)</f>
        <v>1935004</v>
      </c>
    </row>
    <row r="25" customFormat="false" ht="15" hidden="false" customHeight="false" outlineLevel="0" collapsed="false">
      <c r="A25" s="33" t="s">
        <v>268</v>
      </c>
      <c r="B25" s="34" t="n">
        <f aca="false">B10+(B18+'Giả định'!$B$29)/(B13*(1+'Giả định'!$B$15)*(1+'Giả định'!$B$16))</f>
        <v>-3487442.18744219</v>
      </c>
      <c r="C25" s="34" t="n">
        <f aca="false">C10+(C18+'Giả định'!$B$29)/(C13*(1+'Giả định'!$B$15)*(1+'Giả định'!$B$16))</f>
        <v>4457768.15776816</v>
      </c>
      <c r="D25" s="34" t="n">
        <f aca="false">D10+(D18+'Giả định'!$B$29)/(D13*(1+'Giả định'!$B$15)*(1+'Giả định'!$B$16))</f>
        <v>3671517.37151737</v>
      </c>
      <c r="E25" s="34" t="n">
        <f aca="false">E10+(E18+'Giả định'!$B$29)/(E13*(1+'Giả định'!$B$15)*(1+'Giả định'!$B$16))</f>
        <v>7864854.89818823</v>
      </c>
    </row>
    <row r="26" customFormat="false" ht="15" hidden="false" customHeight="false" outlineLevel="0" collapsed="false">
      <c r="A26" s="7" t="s">
        <v>269</v>
      </c>
      <c r="B26" s="12" t="str">
        <f aca="false">IF(B20&lt;=0,"Không bao giờ",MAX(0,B21-'Giả định'!$B$24)/B20)</f>
        <v>Không bao giờ</v>
      </c>
      <c r="C26" s="12" t="n">
        <f aca="false">IF(C20&lt;=0,"Không bao giờ",MAX(0,C21-'Giả định'!$B$24)/C20)</f>
        <v>230.421959019891</v>
      </c>
      <c r="D26" s="12" t="n">
        <f aca="false">IF(D20&lt;=0,"Không bao giờ",MAX(0,D21-'Giả định'!$B$24)/D20)</f>
        <v>223.910874005718</v>
      </c>
      <c r="E26" s="12" t="n">
        <f aca="false">IF(E20&lt;=0,"Không bao giờ",MAX(0,E21-'Giả định'!$B$24)/E20)</f>
        <v>195.381731187876</v>
      </c>
    </row>
    <row r="28" customFormat="false" ht="15" hidden="false" customHeight="false" outlineLevel="0" collapsed="false">
      <c r="A28" s="5" t="s">
        <v>270</v>
      </c>
      <c r="B28" s="6"/>
      <c r="C28" s="6"/>
      <c r="D28" s="6"/>
      <c r="E28" s="6"/>
    </row>
    <row r="29" customFormat="false" ht="15" hidden="false" customHeight="false" outlineLevel="0" collapsed="false">
      <c r="A29" s="9" t="s">
        <v>271</v>
      </c>
      <c r="B29" s="25" t="n">
        <f aca="false">CHOOSE(B$6,'Chi phí'!$C$77,'Chi phí'!$C$78)</f>
        <v>180500000</v>
      </c>
      <c r="C29" s="25" t="n">
        <f aca="false">CHOOSE(C$6,'Chi phí'!$C$77,'Chi phí'!$C$78)</f>
        <v>93300000</v>
      </c>
      <c r="D29" s="25" t="n">
        <f aca="false">CHOOSE(D$6,'Chi phí'!$C$77,'Chi phí'!$C$78)</f>
        <v>93300000</v>
      </c>
      <c r="E29" s="25" t="n">
        <f aca="false">CHOOSE(E$6,'Chi phí'!$C$77,'Chi phí'!$C$78)</f>
        <v>93300000</v>
      </c>
    </row>
    <row r="30" customFormat="false" ht="15" hidden="false" customHeight="false" outlineLevel="0" collapsed="false">
      <c r="A30" s="9" t="s">
        <v>272</v>
      </c>
      <c r="B30" s="25" t="n">
        <f aca="false">CHOOSE(B$6,'Chi phí'!$D$77,'Chi phí'!$D$78)-('Chi phí'!$J$5+'Chi phí'!$J$6)+B10</f>
        <v>7150000</v>
      </c>
      <c r="C30" s="25" t="n">
        <f aca="false">CHOOSE(C$6,'Chi phí'!$D$77,'Chi phí'!$D$78)-('Chi phí'!$J$5+'Chi phí'!$J$6)+C10</f>
        <v>4300000</v>
      </c>
      <c r="D30" s="25" t="n">
        <f aca="false">CHOOSE(D$6,'Chi phí'!$D$77,'Chi phí'!$D$78)-('Chi phí'!$J$5+'Chi phí'!$J$6)+D10</f>
        <v>3400000</v>
      </c>
      <c r="E30" s="25" t="n">
        <f aca="false">CHOOSE(E$6,'Chi phí'!$D$77,'Chi phí'!$D$78)-('Chi phí'!$J$5+'Chi phí'!$J$6)+E10</f>
        <v>7100000</v>
      </c>
    </row>
    <row r="31" customFormat="false" ht="15" hidden="false" customHeight="false" outlineLevel="0" collapsed="false">
      <c r="A31" s="9" t="s">
        <v>273</v>
      </c>
      <c r="B31" s="25" t="n">
        <f aca="false">CHOOSE(B$6,'Chi phí'!$E$77,'Chi phí'!$E$78)</f>
        <v>33400</v>
      </c>
      <c r="C31" s="25" t="n">
        <f aca="false">CHOOSE(C$6,'Chi phí'!$E$77,'Chi phí'!$E$78)</f>
        <v>20600</v>
      </c>
      <c r="D31" s="25" t="n">
        <f aca="false">CHOOSE(D$6,'Chi phí'!$E$77,'Chi phí'!$E$78)</f>
        <v>20600</v>
      </c>
      <c r="E31" s="25" t="n">
        <f aca="false">CHOOSE(E$6,'Chi phí'!$E$77,'Chi phí'!$E$78)</f>
        <v>20600</v>
      </c>
    </row>
    <row r="32" customFormat="false" ht="15" hidden="false" customHeight="false" outlineLevel="0" collapsed="false">
      <c r="A32" s="9" t="s">
        <v>274</v>
      </c>
      <c r="B32" s="25" t="n">
        <f aca="false">CHOOSE(B$6,'Chi phí'!$F$77,'Chi phí'!$F$78)</f>
        <v>20000000</v>
      </c>
      <c r="C32" s="25" t="n">
        <f aca="false">CHOOSE(C$6,'Chi phí'!$F$77,'Chi phí'!$F$78)</f>
        <v>9000000</v>
      </c>
      <c r="D32" s="25" t="n">
        <f aca="false">CHOOSE(D$6,'Chi phí'!$F$77,'Chi phí'!$F$78)</f>
        <v>9000000</v>
      </c>
      <c r="E32" s="25" t="n">
        <f aca="false">CHOOSE(E$6,'Chi phí'!$F$77,'Chi phí'!$F$78)</f>
        <v>9000000</v>
      </c>
    </row>
    <row r="33" customFormat="false" ht="15" hidden="false" customHeight="false" outlineLevel="0" collapsed="false">
      <c r="A33" s="9" t="s">
        <v>275</v>
      </c>
      <c r="B33" s="25" t="n">
        <f aca="false">CHOOSE(B$6,'Chi phí'!$G$77,'Chi phí'!$G$78)-('Chi phí'!$J$5*'Chi phí'!$G$5+'Chi phí'!$J$6*'Chi phí'!$G$6)+B10</f>
        <v>7000000</v>
      </c>
      <c r="C33" s="25" t="n">
        <f aca="false">CHOOSE(C$6,'Chi phí'!$G$77,'Chi phí'!$G$78)-('Chi phí'!$J$5*'Chi phí'!$G$5+'Chi phí'!$J$6*'Chi phí'!$G$6)+C10</f>
        <v>4200000</v>
      </c>
      <c r="D33" s="25" t="n">
        <f aca="false">CHOOSE(D$6,'Chi phí'!$G$77,'Chi phí'!$G$78)-('Chi phí'!$J$5*'Chi phí'!$G$5+'Chi phí'!$J$6*'Chi phí'!$G$6)+D10</f>
        <v>3300000</v>
      </c>
      <c r="E33" s="25" t="n">
        <f aca="false">CHOOSE(E$6,'Chi phí'!$G$77,'Chi phí'!$G$78)-('Chi phí'!$J$5*'Chi phí'!$G$5+'Chi phí'!$J$6*'Chi phí'!$G$6)+E10</f>
        <v>7000000</v>
      </c>
    </row>
    <row r="34" customFormat="false" ht="15" hidden="false" customHeight="false" outlineLevel="0" collapsed="false">
      <c r="A34" s="9" t="s">
        <v>276</v>
      </c>
      <c r="B34" s="25" t="n">
        <f aca="false">CHOOSE(B$6,'Chi phí'!$H$77,'Chi phí'!$H$78)</f>
        <v>0</v>
      </c>
      <c r="C34" s="25" t="n">
        <f aca="false">CHOOSE(C$6,'Chi phí'!$H$77,'Chi phí'!$H$78)</f>
        <v>0</v>
      </c>
      <c r="D34" s="25" t="n">
        <f aca="false">CHOOSE(D$6,'Chi phí'!$H$77,'Chi phí'!$H$78)</f>
        <v>0</v>
      </c>
      <c r="E34" s="25" t="n">
        <f aca="false">CHOOSE(E$6,'Chi phí'!$H$77,'Chi phí'!$H$78)</f>
        <v>0</v>
      </c>
    </row>
    <row r="35" customFormat="false" ht="15" hidden="false" customHeight="false" outlineLevel="0" collapsed="false">
      <c r="A35" s="9" t="s">
        <v>277</v>
      </c>
      <c r="B35" s="25" t="n">
        <f aca="false">(B9*0+(1-B8)/B8*'Giả định'!$B$21*'Giả định'!$B$22/B11)</f>
        <v>15126.0504201681</v>
      </c>
      <c r="C35" s="25" t="n">
        <f aca="false">(C9*0+(1-C8)/C8*'Giả định'!$B$21*'Giả định'!$B$22/C11)</f>
        <v>15126.0504201681</v>
      </c>
      <c r="D35" s="25" t="n">
        <f aca="false">(D9*0+(1-D8)/D8*'Giả định'!$B$21*'Giả định'!$B$22/D11)</f>
        <v>15126.0504201681</v>
      </c>
      <c r="E35" s="25" t="n">
        <f aca="false">(E9*0+(1-E8)/E8*'Giả định'!$B$21*'Giả định'!$B$22/E11)</f>
        <v>15126.0504201681</v>
      </c>
    </row>
    <row r="37" customFormat="false" ht="15" hidden="false" customHeight="false" outlineLevel="0" collapsed="false">
      <c r="A37" s="9" t="s">
        <v>278</v>
      </c>
      <c r="B37" s="9" t="str">
        <f aca="false">IF(ABS(B16-'Hòa vốn'!B8)&lt;1,"OK","LỆCH")</f>
        <v>OK</v>
      </c>
    </row>
    <row r="38" customFormat="false" ht="43.5" hidden="false" customHeight="true" outlineLevel="0" collapsed="false">
      <c r="A38" s="41" t="s">
        <v>279</v>
      </c>
      <c r="B38" s="41"/>
      <c r="C38" s="41"/>
      <c r="D38" s="41"/>
      <c r="E38" s="41"/>
    </row>
  </sheetData>
  <mergeCells count="1">
    <mergeCell ref="A38:E38"/>
  </mergeCells>
  <conditionalFormatting sqref="B19:E19">
    <cfRule type="cellIs" priority="2" operator="equal" aboveAverage="0" equalAverage="0" bottom="0" percent="0" rank="0" text="" dxfId="2">
      <formula>"KHÔNG LỖ"</formula>
    </cfRule>
  </conditionalFormatting>
  <conditionalFormatting sqref="B18:E18">
    <cfRule type="cellIs" priority="3" operator="lessThan" aboveAverage="0" equalAverage="0" bottom="0" percent="0" rank="0" text="" dxfId="3">
      <formula>0</formula>
    </cfRule>
  </conditionalFormatting>
  <dataValidations count="1">
    <dataValidation allowBlank="false" errorStyle="stop" operator="between" showDropDown="false" showErrorMessage="false" showInputMessage="false" sqref="B6:E6" type="list">
      <formula1>"1,2"</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00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1" min="1" style="0" width="20"/>
  </cols>
  <sheetData>
    <row r="1" customFormat="false" ht="17.35" hidden="false" customHeight="false" outlineLevel="0" collapsed="false">
      <c r="A1" s="1" t="s">
        <v>280</v>
      </c>
    </row>
    <row r="2" customFormat="false" ht="15" hidden="false" customHeight="false" outlineLevel="0" collapsed="false">
      <c r="A2" s="4" t="s">
        <v>281</v>
      </c>
    </row>
    <row r="4" customFormat="false" ht="43.5" hidden="false" customHeight="true" outlineLevel="0" collapsed="false">
      <c r="A4" s="18" t="s">
        <v>282</v>
      </c>
      <c r="B4" s="18" t="s">
        <v>38</v>
      </c>
      <c r="C4" s="18" t="s">
        <v>283</v>
      </c>
      <c r="D4" s="18" t="s">
        <v>284</v>
      </c>
      <c r="E4" s="18" t="s">
        <v>186</v>
      </c>
      <c r="F4" s="18" t="s">
        <v>285</v>
      </c>
      <c r="G4" s="18" t="s">
        <v>286</v>
      </c>
      <c r="H4" s="18" t="s">
        <v>287</v>
      </c>
      <c r="I4" s="18" t="s">
        <v>288</v>
      </c>
      <c r="J4" s="18" t="s">
        <v>289</v>
      </c>
      <c r="K4" s="18" t="s">
        <v>290</v>
      </c>
    </row>
    <row r="5" customFormat="false" ht="15" hidden="false" customHeight="false" outlineLevel="0" collapsed="false">
      <c r="A5" s="7" t="n">
        <v>0</v>
      </c>
      <c r="B5" s="7" t="n">
        <f aca="false">MAX('Giả định'!$B$9,ROUNDUP(A5/'Giả định'!$B$7,0)+'Giả định'!$B$8)</f>
        <v>15</v>
      </c>
      <c r="C5" s="25" t="n">
        <f aca="false">('Chi phí'!$C$76+'Chi phí'!$D$76*B5+'Chi phí'!$E$76*A5+'Giả định'!$B$15*('Chi phí'!$F$76+'Chi phí'!$G$76*B5+'Chi phí'!$H$76*A5))*(1+'Giả định'!$B$16)</f>
        <v>196295000</v>
      </c>
      <c r="D5" s="25" t="n">
        <f aca="false">('Chi phí'!$C$77+'Chi phí'!$D$77*B5+'Chi phí'!$E$77*A5+'Giả định'!$B$15*('Chi phí'!$F$77+'Chi phí'!$G$77*B5+'Chi phí'!$H$77*A5))*(1+'Giả định'!$B$16)</f>
        <v>339900000</v>
      </c>
      <c r="E5" s="25" t="n">
        <f aca="false">A5/'Giả định'!$B$19*'Giả định'!$B$20+A5*'Giả định'!$B$23+'Giả định'!$B$24</f>
        <v>0</v>
      </c>
      <c r="F5" s="25" t="n">
        <f aca="false">E5-D5</f>
        <v>-339900000</v>
      </c>
      <c r="G5" s="25" t="n">
        <f aca="false">E5-C5</f>
        <v>-196295000</v>
      </c>
      <c r="H5" s="7" t="str">
        <f aca="false">IF(F5&gt;=0,A5,"")</f>
        <v/>
      </c>
      <c r="I5" s="7" t="n">
        <f aca="false">IF(F5&lt;0,A5,0)</f>
        <v>0</v>
      </c>
      <c r="J5" s="7" t="str">
        <f aca="false">IF(G5&gt;=0,A5,"")</f>
        <v/>
      </c>
      <c r="K5" s="7" t="n">
        <f aca="false">IF(G5&lt;0,A5,0)</f>
        <v>0</v>
      </c>
    </row>
    <row r="6" customFormat="false" ht="15" hidden="false" customHeight="false" outlineLevel="0" collapsed="false">
      <c r="A6" s="7" t="n">
        <f aca="false">A5+1</f>
        <v>1</v>
      </c>
      <c r="B6" s="7" t="n">
        <f aca="false">MAX('Giả định'!$B$9,ROUNDUP(A6/'Giả định'!$B$7,0)+'Giả định'!$B$8)</f>
        <v>15</v>
      </c>
      <c r="C6" s="25" t="n">
        <f aca="false">('Chi phí'!$C$76+'Chi phí'!$D$76*B6+'Chi phí'!$E$76*A6+'Giả định'!$B$15*('Chi phí'!$F$76+'Chi phí'!$G$76*B6+'Chi phí'!$H$76*A6))*(1+'Giả định'!$B$16)</f>
        <v>196331740</v>
      </c>
      <c r="D6" s="25" t="n">
        <f aca="false">('Chi phí'!$C$77+'Chi phí'!$D$77*B6+'Chi phí'!$E$77*A6+'Giả định'!$B$15*('Chi phí'!$F$77+'Chi phí'!$G$77*B6+'Chi phí'!$H$77*A6))*(1+'Giả định'!$B$16)</f>
        <v>339936740</v>
      </c>
      <c r="E6" s="25" t="n">
        <f aca="false">A6/'Giả định'!$B$19*'Giả định'!$B$20+A6*'Giả định'!$B$23+'Giả định'!$B$24</f>
        <v>372268.907563025</v>
      </c>
      <c r="F6" s="25" t="n">
        <f aca="false">E6-D6</f>
        <v>-339564471.092437</v>
      </c>
      <c r="G6" s="25" t="n">
        <f aca="false">E6-C6</f>
        <v>-195959471.092437</v>
      </c>
      <c r="H6" s="7" t="str">
        <f aca="false">IF(F6&gt;=0,A6,"")</f>
        <v/>
      </c>
      <c r="I6" s="7" t="n">
        <f aca="false">IF(F6&lt;0,A6,0)</f>
        <v>1</v>
      </c>
      <c r="J6" s="7" t="str">
        <f aca="false">IF(G6&gt;=0,A6,"")</f>
        <v/>
      </c>
      <c r="K6" s="7" t="n">
        <f aca="false">IF(G6&lt;0,A6,0)</f>
        <v>1</v>
      </c>
    </row>
    <row r="7" customFormat="false" ht="15" hidden="false" customHeight="false" outlineLevel="0" collapsed="false">
      <c r="A7" s="7" t="n">
        <f aca="false">A6+1</f>
        <v>2</v>
      </c>
      <c r="B7" s="7" t="n">
        <f aca="false">MAX('Giả định'!$B$9,ROUNDUP(A7/'Giả định'!$B$7,0)+'Giả định'!$B$8)</f>
        <v>15</v>
      </c>
      <c r="C7" s="25" t="n">
        <f aca="false">('Chi phí'!$C$76+'Chi phí'!$D$76*B7+'Chi phí'!$E$76*A7+'Giả định'!$B$15*('Chi phí'!$F$76+'Chi phí'!$G$76*B7+'Chi phí'!$H$76*A7))*(1+'Giả định'!$B$16)</f>
        <v>196368480</v>
      </c>
      <c r="D7" s="25" t="n">
        <f aca="false">('Chi phí'!$C$77+'Chi phí'!$D$77*B7+'Chi phí'!$E$77*A7+'Giả định'!$B$15*('Chi phí'!$F$77+'Chi phí'!$G$77*B7+'Chi phí'!$H$77*A7))*(1+'Giả định'!$B$16)</f>
        <v>339973480</v>
      </c>
      <c r="E7" s="25" t="n">
        <f aca="false">A7/'Giả định'!$B$19*'Giả định'!$B$20+A7*'Giả định'!$B$23+'Giả định'!$B$24</f>
        <v>744537.815126051</v>
      </c>
      <c r="F7" s="25" t="n">
        <f aca="false">E7-D7</f>
        <v>-339228942.184874</v>
      </c>
      <c r="G7" s="25" t="n">
        <f aca="false">E7-C7</f>
        <v>-195623942.184874</v>
      </c>
      <c r="H7" s="7" t="str">
        <f aca="false">IF(F7&gt;=0,A7,"")</f>
        <v/>
      </c>
      <c r="I7" s="7" t="n">
        <f aca="false">IF(F7&lt;0,A7,0)</f>
        <v>2</v>
      </c>
      <c r="J7" s="7" t="str">
        <f aca="false">IF(G7&gt;=0,A7,"")</f>
        <v/>
      </c>
      <c r="K7" s="7" t="n">
        <f aca="false">IF(G7&lt;0,A7,0)</f>
        <v>2</v>
      </c>
    </row>
    <row r="8" customFormat="false" ht="15" hidden="false" customHeight="false" outlineLevel="0" collapsed="false">
      <c r="A8" s="7" t="n">
        <f aca="false">A7+1</f>
        <v>3</v>
      </c>
      <c r="B8" s="7" t="n">
        <f aca="false">MAX('Giả định'!$B$9,ROUNDUP(A8/'Giả định'!$B$7,0)+'Giả định'!$B$8)</f>
        <v>15</v>
      </c>
      <c r="C8" s="25" t="n">
        <f aca="false">('Chi phí'!$C$76+'Chi phí'!$D$76*B8+'Chi phí'!$E$76*A8+'Giả định'!$B$15*('Chi phí'!$F$76+'Chi phí'!$G$76*B8+'Chi phí'!$H$76*A8))*(1+'Giả định'!$B$16)</f>
        <v>196405220</v>
      </c>
      <c r="D8" s="25" t="n">
        <f aca="false">('Chi phí'!$C$77+'Chi phí'!$D$77*B8+'Chi phí'!$E$77*A8+'Giả định'!$B$15*('Chi phí'!$F$77+'Chi phí'!$G$77*B8+'Chi phí'!$H$77*A8))*(1+'Giả định'!$B$16)</f>
        <v>340010220</v>
      </c>
      <c r="E8" s="25" t="n">
        <f aca="false">A8/'Giả định'!$B$19*'Giả định'!$B$20+A8*'Giả định'!$B$23+'Giả định'!$B$24</f>
        <v>1116806.72268908</v>
      </c>
      <c r="F8" s="25" t="n">
        <f aca="false">E8-D8</f>
        <v>-338893413.277311</v>
      </c>
      <c r="G8" s="25" t="n">
        <f aca="false">E8-C8</f>
        <v>-195288413.277311</v>
      </c>
      <c r="H8" s="7" t="str">
        <f aca="false">IF(F8&gt;=0,A8,"")</f>
        <v/>
      </c>
      <c r="I8" s="7" t="n">
        <f aca="false">IF(F8&lt;0,A8,0)</f>
        <v>3</v>
      </c>
      <c r="J8" s="7" t="str">
        <f aca="false">IF(G8&gt;=0,A8,"")</f>
        <v/>
      </c>
      <c r="K8" s="7" t="n">
        <f aca="false">IF(G8&lt;0,A8,0)</f>
        <v>3</v>
      </c>
    </row>
    <row r="9" customFormat="false" ht="15" hidden="false" customHeight="false" outlineLevel="0" collapsed="false">
      <c r="A9" s="7" t="n">
        <f aca="false">A8+1</f>
        <v>4</v>
      </c>
      <c r="B9" s="7" t="n">
        <f aca="false">MAX('Giả định'!$B$9,ROUNDUP(A9/'Giả định'!$B$7,0)+'Giả định'!$B$8)</f>
        <v>15</v>
      </c>
      <c r="C9" s="25" t="n">
        <f aca="false">('Chi phí'!$C$76+'Chi phí'!$D$76*B9+'Chi phí'!$E$76*A9+'Giả định'!$B$15*('Chi phí'!$F$76+'Chi phí'!$G$76*B9+'Chi phí'!$H$76*A9))*(1+'Giả định'!$B$16)</f>
        <v>196441960</v>
      </c>
      <c r="D9" s="25" t="n">
        <f aca="false">('Chi phí'!$C$77+'Chi phí'!$D$77*B9+'Chi phí'!$E$77*A9+'Giả định'!$B$15*('Chi phí'!$F$77+'Chi phí'!$G$77*B9+'Chi phí'!$H$77*A9))*(1+'Giả định'!$B$16)</f>
        <v>340046960</v>
      </c>
      <c r="E9" s="25" t="n">
        <f aca="false">A9/'Giả định'!$B$19*'Giả định'!$B$20+A9*'Giả định'!$B$23+'Giả định'!$B$24</f>
        <v>1489075.6302521</v>
      </c>
      <c r="F9" s="25" t="n">
        <f aca="false">E9-D9</f>
        <v>-338557884.369748</v>
      </c>
      <c r="G9" s="25" t="n">
        <f aca="false">E9-C9</f>
        <v>-194952884.369748</v>
      </c>
      <c r="H9" s="7" t="str">
        <f aca="false">IF(F9&gt;=0,A9,"")</f>
        <v/>
      </c>
      <c r="I9" s="7" t="n">
        <f aca="false">IF(F9&lt;0,A9,0)</f>
        <v>4</v>
      </c>
      <c r="J9" s="7" t="str">
        <f aca="false">IF(G9&gt;=0,A9,"")</f>
        <v/>
      </c>
      <c r="K9" s="7" t="n">
        <f aca="false">IF(G9&lt;0,A9,0)</f>
        <v>4</v>
      </c>
    </row>
    <row r="10" customFormat="false" ht="15" hidden="false" customHeight="false" outlineLevel="0" collapsed="false">
      <c r="A10" s="7" t="n">
        <f aca="false">A9+1</f>
        <v>5</v>
      </c>
      <c r="B10" s="7" t="n">
        <f aca="false">MAX('Giả định'!$B$9,ROUNDUP(A10/'Giả định'!$B$7,0)+'Giả định'!$B$8)</f>
        <v>15</v>
      </c>
      <c r="C10" s="25" t="n">
        <f aca="false">('Chi phí'!$C$76+'Chi phí'!$D$76*B10+'Chi phí'!$E$76*A10+'Giả định'!$B$15*('Chi phí'!$F$76+'Chi phí'!$G$76*B10+'Chi phí'!$H$76*A10))*(1+'Giả định'!$B$16)</f>
        <v>196478700</v>
      </c>
      <c r="D10" s="25" t="n">
        <f aca="false">('Chi phí'!$C$77+'Chi phí'!$D$77*B10+'Chi phí'!$E$77*A10+'Giả định'!$B$15*('Chi phí'!$F$77+'Chi phí'!$G$77*B10+'Chi phí'!$H$77*A10))*(1+'Giả định'!$B$16)</f>
        <v>340083700</v>
      </c>
      <c r="E10" s="25" t="n">
        <f aca="false">A10/'Giả định'!$B$19*'Giả định'!$B$20+A10*'Giả định'!$B$23+'Giả định'!$B$24</f>
        <v>1861344.53781513</v>
      </c>
      <c r="F10" s="25" t="n">
        <f aca="false">E10-D10</f>
        <v>-338222355.462185</v>
      </c>
      <c r="G10" s="25" t="n">
        <f aca="false">E10-C10</f>
        <v>-194617355.462185</v>
      </c>
      <c r="H10" s="7" t="str">
        <f aca="false">IF(F10&gt;=0,A10,"")</f>
        <v/>
      </c>
      <c r="I10" s="7" t="n">
        <f aca="false">IF(F10&lt;0,A10,0)</f>
        <v>5</v>
      </c>
      <c r="J10" s="7" t="str">
        <f aca="false">IF(G10&gt;=0,A10,"")</f>
        <v/>
      </c>
      <c r="K10" s="7" t="n">
        <f aca="false">IF(G10&lt;0,A10,0)</f>
        <v>5</v>
      </c>
    </row>
    <row r="11" customFormat="false" ht="15" hidden="false" customHeight="false" outlineLevel="0" collapsed="false">
      <c r="A11" s="7" t="n">
        <f aca="false">A10+1</f>
        <v>6</v>
      </c>
      <c r="B11" s="7" t="n">
        <f aca="false">MAX('Giả định'!$B$9,ROUNDUP(A11/'Giả định'!$B$7,0)+'Giả định'!$B$8)</f>
        <v>15</v>
      </c>
      <c r="C11" s="25" t="n">
        <f aca="false">('Chi phí'!$C$76+'Chi phí'!$D$76*B11+'Chi phí'!$E$76*A11+'Giả định'!$B$15*('Chi phí'!$F$76+'Chi phí'!$G$76*B11+'Chi phí'!$H$76*A11))*(1+'Giả định'!$B$16)</f>
        <v>196515440</v>
      </c>
      <c r="D11" s="25" t="n">
        <f aca="false">('Chi phí'!$C$77+'Chi phí'!$D$77*B11+'Chi phí'!$E$77*A11+'Giả định'!$B$15*('Chi phí'!$F$77+'Chi phí'!$G$77*B11+'Chi phí'!$H$77*A11))*(1+'Giả định'!$B$16)</f>
        <v>340120440</v>
      </c>
      <c r="E11" s="25" t="n">
        <f aca="false">A11/'Giả định'!$B$19*'Giả định'!$B$20+A11*'Giả định'!$B$23+'Giả định'!$B$24</f>
        <v>2233613.44537815</v>
      </c>
      <c r="F11" s="25" t="n">
        <f aca="false">E11-D11</f>
        <v>-337886826.554622</v>
      </c>
      <c r="G11" s="25" t="n">
        <f aca="false">E11-C11</f>
        <v>-194281826.554622</v>
      </c>
      <c r="H11" s="7" t="str">
        <f aca="false">IF(F11&gt;=0,A11,"")</f>
        <v/>
      </c>
      <c r="I11" s="7" t="n">
        <f aca="false">IF(F11&lt;0,A11,0)</f>
        <v>6</v>
      </c>
      <c r="J11" s="7" t="str">
        <f aca="false">IF(G11&gt;=0,A11,"")</f>
        <v/>
      </c>
      <c r="K11" s="7" t="n">
        <f aca="false">IF(G11&lt;0,A11,0)</f>
        <v>6</v>
      </c>
    </row>
    <row r="12" customFormat="false" ht="15" hidden="false" customHeight="false" outlineLevel="0" collapsed="false">
      <c r="A12" s="7" t="n">
        <f aca="false">A11+1</f>
        <v>7</v>
      </c>
      <c r="B12" s="7" t="n">
        <f aca="false">MAX('Giả định'!$B$9,ROUNDUP(A12/'Giả định'!$B$7,0)+'Giả định'!$B$8)</f>
        <v>15</v>
      </c>
      <c r="C12" s="25" t="n">
        <f aca="false">('Chi phí'!$C$76+'Chi phí'!$D$76*B12+'Chi phí'!$E$76*A12+'Giả định'!$B$15*('Chi phí'!$F$76+'Chi phí'!$G$76*B12+'Chi phí'!$H$76*A12))*(1+'Giả định'!$B$16)</f>
        <v>196552180</v>
      </c>
      <c r="D12" s="25" t="n">
        <f aca="false">('Chi phí'!$C$77+'Chi phí'!$D$77*B12+'Chi phí'!$E$77*A12+'Giả định'!$B$15*('Chi phí'!$F$77+'Chi phí'!$G$77*B12+'Chi phí'!$H$77*A12))*(1+'Giả định'!$B$16)</f>
        <v>340157180</v>
      </c>
      <c r="E12" s="25" t="n">
        <f aca="false">A12/'Giả định'!$B$19*'Giả định'!$B$20+A12*'Giả định'!$B$23+'Giả định'!$B$24</f>
        <v>2605882.35294118</v>
      </c>
      <c r="F12" s="25" t="n">
        <f aca="false">E12-D12</f>
        <v>-337551297.647059</v>
      </c>
      <c r="G12" s="25" t="n">
        <f aca="false">E12-C12</f>
        <v>-193946297.647059</v>
      </c>
      <c r="H12" s="7" t="str">
        <f aca="false">IF(F12&gt;=0,A12,"")</f>
        <v/>
      </c>
      <c r="I12" s="7" t="n">
        <f aca="false">IF(F12&lt;0,A12,0)</f>
        <v>7</v>
      </c>
      <c r="J12" s="7" t="str">
        <f aca="false">IF(G12&gt;=0,A12,"")</f>
        <v/>
      </c>
      <c r="K12" s="7" t="n">
        <f aca="false">IF(G12&lt;0,A12,0)</f>
        <v>7</v>
      </c>
    </row>
    <row r="13" customFormat="false" ht="15" hidden="false" customHeight="false" outlineLevel="0" collapsed="false">
      <c r="A13" s="7" t="n">
        <f aca="false">A12+1</f>
        <v>8</v>
      </c>
      <c r="B13" s="7" t="n">
        <f aca="false">MAX('Giả định'!$B$9,ROUNDUP(A13/'Giả định'!$B$7,0)+'Giả định'!$B$8)</f>
        <v>15</v>
      </c>
      <c r="C13" s="25" t="n">
        <f aca="false">('Chi phí'!$C$76+'Chi phí'!$D$76*B13+'Chi phí'!$E$76*A13+'Giả định'!$B$15*('Chi phí'!$F$76+'Chi phí'!$G$76*B13+'Chi phí'!$H$76*A13))*(1+'Giả định'!$B$16)</f>
        <v>196588920</v>
      </c>
      <c r="D13" s="25" t="n">
        <f aca="false">('Chi phí'!$C$77+'Chi phí'!$D$77*B13+'Chi phí'!$E$77*A13+'Giả định'!$B$15*('Chi phí'!$F$77+'Chi phí'!$G$77*B13+'Chi phí'!$H$77*A13))*(1+'Giả định'!$B$16)</f>
        <v>340193920</v>
      </c>
      <c r="E13" s="25" t="n">
        <f aca="false">A13/'Giả định'!$B$19*'Giả định'!$B$20+A13*'Giả định'!$B$23+'Giả định'!$B$24</f>
        <v>2978151.2605042</v>
      </c>
      <c r="F13" s="25" t="n">
        <f aca="false">E13-D13</f>
        <v>-337215768.739496</v>
      </c>
      <c r="G13" s="25" t="n">
        <f aca="false">E13-C13</f>
        <v>-193610768.739496</v>
      </c>
      <c r="H13" s="7" t="str">
        <f aca="false">IF(F13&gt;=0,A13,"")</f>
        <v/>
      </c>
      <c r="I13" s="7" t="n">
        <f aca="false">IF(F13&lt;0,A13,0)</f>
        <v>8</v>
      </c>
      <c r="J13" s="7" t="str">
        <f aca="false">IF(G13&gt;=0,A13,"")</f>
        <v/>
      </c>
      <c r="K13" s="7" t="n">
        <f aca="false">IF(G13&lt;0,A13,0)</f>
        <v>8</v>
      </c>
    </row>
    <row r="14" customFormat="false" ht="15" hidden="false" customHeight="false" outlineLevel="0" collapsed="false">
      <c r="A14" s="7" t="n">
        <f aca="false">A13+1</f>
        <v>9</v>
      </c>
      <c r="B14" s="7" t="n">
        <f aca="false">MAX('Giả định'!$B$9,ROUNDUP(A14/'Giả định'!$B$7,0)+'Giả định'!$B$8)</f>
        <v>15</v>
      </c>
      <c r="C14" s="25" t="n">
        <f aca="false">('Chi phí'!$C$76+'Chi phí'!$D$76*B14+'Chi phí'!$E$76*A14+'Giả định'!$B$15*('Chi phí'!$F$76+'Chi phí'!$G$76*B14+'Chi phí'!$H$76*A14))*(1+'Giả định'!$B$16)</f>
        <v>196625660</v>
      </c>
      <c r="D14" s="25" t="n">
        <f aca="false">('Chi phí'!$C$77+'Chi phí'!$D$77*B14+'Chi phí'!$E$77*A14+'Giả định'!$B$15*('Chi phí'!$F$77+'Chi phí'!$G$77*B14+'Chi phí'!$H$77*A14))*(1+'Giả định'!$B$16)</f>
        <v>340230660</v>
      </c>
      <c r="E14" s="25" t="n">
        <f aca="false">A14/'Giả định'!$B$19*'Giả định'!$B$20+A14*'Giả định'!$B$23+'Giả định'!$B$24</f>
        <v>3350420.16806723</v>
      </c>
      <c r="F14" s="25" t="n">
        <f aca="false">E14-D14</f>
        <v>-336880239.831933</v>
      </c>
      <c r="G14" s="25" t="n">
        <f aca="false">E14-C14</f>
        <v>-193275239.831933</v>
      </c>
      <c r="H14" s="7" t="str">
        <f aca="false">IF(F14&gt;=0,A14,"")</f>
        <v/>
      </c>
      <c r="I14" s="7" t="n">
        <f aca="false">IF(F14&lt;0,A14,0)</f>
        <v>9</v>
      </c>
      <c r="J14" s="7" t="str">
        <f aca="false">IF(G14&gt;=0,A14,"")</f>
        <v/>
      </c>
      <c r="K14" s="7" t="n">
        <f aca="false">IF(G14&lt;0,A14,0)</f>
        <v>9</v>
      </c>
    </row>
    <row r="15" customFormat="false" ht="15" hidden="false" customHeight="false" outlineLevel="0" collapsed="false">
      <c r="A15" s="7" t="n">
        <f aca="false">A14+1</f>
        <v>10</v>
      </c>
      <c r="B15" s="7" t="n">
        <f aca="false">MAX('Giả định'!$B$9,ROUNDUP(A15/'Giả định'!$B$7,0)+'Giả định'!$B$8)</f>
        <v>15</v>
      </c>
      <c r="C15" s="25" t="n">
        <f aca="false">('Chi phí'!$C$76+'Chi phí'!$D$76*B15+'Chi phí'!$E$76*A15+'Giả định'!$B$15*('Chi phí'!$F$76+'Chi phí'!$G$76*B15+'Chi phí'!$H$76*A15))*(1+'Giả định'!$B$16)</f>
        <v>196662400</v>
      </c>
      <c r="D15" s="25" t="n">
        <f aca="false">('Chi phí'!$C$77+'Chi phí'!$D$77*B15+'Chi phí'!$E$77*A15+'Giả định'!$B$15*('Chi phí'!$F$77+'Chi phí'!$G$77*B15+'Chi phí'!$H$77*A15))*(1+'Giả định'!$B$16)</f>
        <v>340267400</v>
      </c>
      <c r="E15" s="25" t="n">
        <f aca="false">A15/'Giả định'!$B$19*'Giả định'!$B$20+A15*'Giả định'!$B$23+'Giả định'!$B$24</f>
        <v>3722689.07563025</v>
      </c>
      <c r="F15" s="25" t="n">
        <f aca="false">E15-D15</f>
        <v>-336544710.92437</v>
      </c>
      <c r="G15" s="25" t="n">
        <f aca="false">E15-C15</f>
        <v>-192939710.92437</v>
      </c>
      <c r="H15" s="7" t="str">
        <f aca="false">IF(F15&gt;=0,A15,"")</f>
        <v/>
      </c>
      <c r="I15" s="7" t="n">
        <f aca="false">IF(F15&lt;0,A15,0)</f>
        <v>10</v>
      </c>
      <c r="J15" s="7" t="str">
        <f aca="false">IF(G15&gt;=0,A15,"")</f>
        <v/>
      </c>
      <c r="K15" s="7" t="n">
        <f aca="false">IF(G15&lt;0,A15,0)</f>
        <v>10</v>
      </c>
    </row>
    <row r="16" customFormat="false" ht="15" hidden="false" customHeight="false" outlineLevel="0" collapsed="false">
      <c r="A16" s="7" t="n">
        <f aca="false">A15+1</f>
        <v>11</v>
      </c>
      <c r="B16" s="7" t="n">
        <f aca="false">MAX('Giả định'!$B$9,ROUNDUP(A16/'Giả định'!$B$7,0)+'Giả định'!$B$8)</f>
        <v>15</v>
      </c>
      <c r="C16" s="25" t="n">
        <f aca="false">('Chi phí'!$C$76+'Chi phí'!$D$76*B16+'Chi phí'!$E$76*A16+'Giả định'!$B$15*('Chi phí'!$F$76+'Chi phí'!$G$76*B16+'Chi phí'!$H$76*A16))*(1+'Giả định'!$B$16)</f>
        <v>196699140</v>
      </c>
      <c r="D16" s="25" t="n">
        <f aca="false">('Chi phí'!$C$77+'Chi phí'!$D$77*B16+'Chi phí'!$E$77*A16+'Giả định'!$B$15*('Chi phí'!$F$77+'Chi phí'!$G$77*B16+'Chi phí'!$H$77*A16))*(1+'Giả định'!$B$16)</f>
        <v>340304140</v>
      </c>
      <c r="E16" s="25" t="n">
        <f aca="false">A16/'Giả định'!$B$19*'Giả định'!$B$20+A16*'Giả định'!$B$23+'Giả định'!$B$24</f>
        <v>4094957.98319328</v>
      </c>
      <c r="F16" s="25" t="n">
        <f aca="false">E16-D16</f>
        <v>-336209182.016807</v>
      </c>
      <c r="G16" s="25" t="n">
        <f aca="false">E16-C16</f>
        <v>-192604182.016807</v>
      </c>
      <c r="H16" s="7" t="str">
        <f aca="false">IF(F16&gt;=0,A16,"")</f>
        <v/>
      </c>
      <c r="I16" s="7" t="n">
        <f aca="false">IF(F16&lt;0,A16,0)</f>
        <v>11</v>
      </c>
      <c r="J16" s="7" t="str">
        <f aca="false">IF(G16&gt;=0,A16,"")</f>
        <v/>
      </c>
      <c r="K16" s="7" t="n">
        <f aca="false">IF(G16&lt;0,A16,0)</f>
        <v>11</v>
      </c>
    </row>
    <row r="17" customFormat="false" ht="15" hidden="false" customHeight="false" outlineLevel="0" collapsed="false">
      <c r="A17" s="7" t="n">
        <f aca="false">A16+1</f>
        <v>12</v>
      </c>
      <c r="B17" s="7" t="n">
        <f aca="false">MAX('Giả định'!$B$9,ROUNDUP(A17/'Giả định'!$B$7,0)+'Giả định'!$B$8)</f>
        <v>15</v>
      </c>
      <c r="C17" s="25" t="n">
        <f aca="false">('Chi phí'!$C$76+'Chi phí'!$D$76*B17+'Chi phí'!$E$76*A17+'Giả định'!$B$15*('Chi phí'!$F$76+'Chi phí'!$G$76*B17+'Chi phí'!$H$76*A17))*(1+'Giả định'!$B$16)</f>
        <v>196735880</v>
      </c>
      <c r="D17" s="25" t="n">
        <f aca="false">('Chi phí'!$C$77+'Chi phí'!$D$77*B17+'Chi phí'!$E$77*A17+'Giả định'!$B$15*('Chi phí'!$F$77+'Chi phí'!$G$77*B17+'Chi phí'!$H$77*A17))*(1+'Giả định'!$B$16)</f>
        <v>340340880</v>
      </c>
      <c r="E17" s="25" t="n">
        <f aca="false">A17/'Giả định'!$B$19*'Giả định'!$B$20+A17*'Giả định'!$B$23+'Giả định'!$B$24</f>
        <v>4467226.8907563</v>
      </c>
      <c r="F17" s="25" t="n">
        <f aca="false">E17-D17</f>
        <v>-335873653.109244</v>
      </c>
      <c r="G17" s="25" t="n">
        <f aca="false">E17-C17</f>
        <v>-192268653.109244</v>
      </c>
      <c r="H17" s="7" t="str">
        <f aca="false">IF(F17&gt;=0,A17,"")</f>
        <v/>
      </c>
      <c r="I17" s="7" t="n">
        <f aca="false">IF(F17&lt;0,A17,0)</f>
        <v>12</v>
      </c>
      <c r="J17" s="7" t="str">
        <f aca="false">IF(G17&gt;=0,A17,"")</f>
        <v/>
      </c>
      <c r="K17" s="7" t="n">
        <f aca="false">IF(G17&lt;0,A17,0)</f>
        <v>12</v>
      </c>
    </row>
    <row r="18" customFormat="false" ht="15" hidden="false" customHeight="false" outlineLevel="0" collapsed="false">
      <c r="A18" s="7" t="n">
        <f aca="false">A17+1</f>
        <v>13</v>
      </c>
      <c r="B18" s="7" t="n">
        <f aca="false">MAX('Giả định'!$B$9,ROUNDUP(A18/'Giả định'!$B$7,0)+'Giả định'!$B$8)</f>
        <v>15</v>
      </c>
      <c r="C18" s="25" t="n">
        <f aca="false">('Chi phí'!$C$76+'Chi phí'!$D$76*B18+'Chi phí'!$E$76*A18+'Giả định'!$B$15*('Chi phí'!$F$76+'Chi phí'!$G$76*B18+'Chi phí'!$H$76*A18))*(1+'Giả định'!$B$16)</f>
        <v>196772620</v>
      </c>
      <c r="D18" s="25" t="n">
        <f aca="false">('Chi phí'!$C$77+'Chi phí'!$D$77*B18+'Chi phí'!$E$77*A18+'Giả định'!$B$15*('Chi phí'!$F$77+'Chi phí'!$G$77*B18+'Chi phí'!$H$77*A18))*(1+'Giả định'!$B$16)</f>
        <v>340377620</v>
      </c>
      <c r="E18" s="25" t="n">
        <f aca="false">A18/'Giả định'!$B$19*'Giả định'!$B$20+A18*'Giả định'!$B$23+'Giả định'!$B$24</f>
        <v>4839495.79831933</v>
      </c>
      <c r="F18" s="25" t="n">
        <f aca="false">E18-D18</f>
        <v>-335538124.201681</v>
      </c>
      <c r="G18" s="25" t="n">
        <f aca="false">E18-C18</f>
        <v>-191933124.201681</v>
      </c>
      <c r="H18" s="7" t="str">
        <f aca="false">IF(F18&gt;=0,A18,"")</f>
        <v/>
      </c>
      <c r="I18" s="7" t="n">
        <f aca="false">IF(F18&lt;0,A18,0)</f>
        <v>13</v>
      </c>
      <c r="J18" s="7" t="str">
        <f aca="false">IF(G18&gt;=0,A18,"")</f>
        <v/>
      </c>
      <c r="K18" s="7" t="n">
        <f aca="false">IF(G18&lt;0,A18,0)</f>
        <v>13</v>
      </c>
    </row>
    <row r="19" customFormat="false" ht="15" hidden="false" customHeight="false" outlineLevel="0" collapsed="false">
      <c r="A19" s="7" t="n">
        <f aca="false">A18+1</f>
        <v>14</v>
      </c>
      <c r="B19" s="7" t="n">
        <f aca="false">MAX('Giả định'!$B$9,ROUNDUP(A19/'Giả định'!$B$7,0)+'Giả định'!$B$8)</f>
        <v>15</v>
      </c>
      <c r="C19" s="25" t="n">
        <f aca="false">('Chi phí'!$C$76+'Chi phí'!$D$76*B19+'Chi phí'!$E$76*A19+'Giả định'!$B$15*('Chi phí'!$F$76+'Chi phí'!$G$76*B19+'Chi phí'!$H$76*A19))*(1+'Giả định'!$B$16)</f>
        <v>196809360</v>
      </c>
      <c r="D19" s="25" t="n">
        <f aca="false">('Chi phí'!$C$77+'Chi phí'!$D$77*B19+'Chi phí'!$E$77*A19+'Giả định'!$B$15*('Chi phí'!$F$77+'Chi phí'!$G$77*B19+'Chi phí'!$H$77*A19))*(1+'Giả định'!$B$16)</f>
        <v>340414360</v>
      </c>
      <c r="E19" s="25" t="n">
        <f aca="false">A19/'Giả định'!$B$19*'Giả định'!$B$20+A19*'Giả định'!$B$23+'Giả định'!$B$24</f>
        <v>5211764.70588235</v>
      </c>
      <c r="F19" s="25" t="n">
        <f aca="false">E19-D19</f>
        <v>-335202595.294118</v>
      </c>
      <c r="G19" s="25" t="n">
        <f aca="false">E19-C19</f>
        <v>-191597595.294118</v>
      </c>
      <c r="H19" s="7" t="str">
        <f aca="false">IF(F19&gt;=0,A19,"")</f>
        <v/>
      </c>
      <c r="I19" s="7" t="n">
        <f aca="false">IF(F19&lt;0,A19,0)</f>
        <v>14</v>
      </c>
      <c r="J19" s="7" t="str">
        <f aca="false">IF(G19&gt;=0,A19,"")</f>
        <v/>
      </c>
      <c r="K19" s="7" t="n">
        <f aca="false">IF(G19&lt;0,A19,0)</f>
        <v>14</v>
      </c>
    </row>
    <row r="20" customFormat="false" ht="15" hidden="false" customHeight="false" outlineLevel="0" collapsed="false">
      <c r="A20" s="7" t="n">
        <f aca="false">A19+1</f>
        <v>15</v>
      </c>
      <c r="B20" s="7" t="n">
        <f aca="false">MAX('Giả định'!$B$9,ROUNDUP(A20/'Giả định'!$B$7,0)+'Giả định'!$B$8)</f>
        <v>15</v>
      </c>
      <c r="C20" s="25" t="n">
        <f aca="false">('Chi phí'!$C$76+'Chi phí'!$D$76*B20+'Chi phí'!$E$76*A20+'Giả định'!$B$15*('Chi phí'!$F$76+'Chi phí'!$G$76*B20+'Chi phí'!$H$76*A20))*(1+'Giả định'!$B$16)</f>
        <v>196846100</v>
      </c>
      <c r="D20" s="25" t="n">
        <f aca="false">('Chi phí'!$C$77+'Chi phí'!$D$77*B20+'Chi phí'!$E$77*A20+'Giả định'!$B$15*('Chi phí'!$F$77+'Chi phí'!$G$77*B20+'Chi phí'!$H$77*A20))*(1+'Giả định'!$B$16)</f>
        <v>340451100</v>
      </c>
      <c r="E20" s="25" t="n">
        <f aca="false">A20/'Giả định'!$B$19*'Giả định'!$B$20+A20*'Giả định'!$B$23+'Giả định'!$B$24</f>
        <v>5584033.61344538</v>
      </c>
      <c r="F20" s="25" t="n">
        <f aca="false">E20-D20</f>
        <v>-334867066.386555</v>
      </c>
      <c r="G20" s="25" t="n">
        <f aca="false">E20-C20</f>
        <v>-191262066.386555</v>
      </c>
      <c r="H20" s="7" t="str">
        <f aca="false">IF(F20&gt;=0,A20,"")</f>
        <v/>
      </c>
      <c r="I20" s="7" t="n">
        <f aca="false">IF(F20&lt;0,A20,0)</f>
        <v>15</v>
      </c>
      <c r="J20" s="7" t="str">
        <f aca="false">IF(G20&gt;=0,A20,"")</f>
        <v/>
      </c>
      <c r="K20" s="7" t="n">
        <f aca="false">IF(G20&lt;0,A20,0)</f>
        <v>15</v>
      </c>
    </row>
    <row r="21" customFormat="false" ht="15" hidden="false" customHeight="false" outlineLevel="0" collapsed="false">
      <c r="A21" s="7" t="n">
        <f aca="false">A20+1</f>
        <v>16</v>
      </c>
      <c r="B21" s="7" t="n">
        <f aca="false">MAX('Giả định'!$B$9,ROUNDUP(A21/'Giả định'!$B$7,0)+'Giả định'!$B$8)</f>
        <v>15</v>
      </c>
      <c r="C21" s="25" t="n">
        <f aca="false">('Chi phí'!$C$76+'Chi phí'!$D$76*B21+'Chi phí'!$E$76*A21+'Giả định'!$B$15*('Chi phí'!$F$76+'Chi phí'!$G$76*B21+'Chi phí'!$H$76*A21))*(1+'Giả định'!$B$16)</f>
        <v>196882840</v>
      </c>
      <c r="D21" s="25" t="n">
        <f aca="false">('Chi phí'!$C$77+'Chi phí'!$D$77*B21+'Chi phí'!$E$77*A21+'Giả định'!$B$15*('Chi phí'!$F$77+'Chi phí'!$G$77*B21+'Chi phí'!$H$77*A21))*(1+'Giả định'!$B$16)</f>
        <v>340487840</v>
      </c>
      <c r="E21" s="25" t="n">
        <f aca="false">A21/'Giả định'!$B$19*'Giả định'!$B$20+A21*'Giả định'!$B$23+'Giả định'!$B$24</f>
        <v>5956302.5210084</v>
      </c>
      <c r="F21" s="25" t="n">
        <f aca="false">E21-D21</f>
        <v>-334531537.478992</v>
      </c>
      <c r="G21" s="25" t="n">
        <f aca="false">E21-C21</f>
        <v>-190926537.478992</v>
      </c>
      <c r="H21" s="7" t="str">
        <f aca="false">IF(F21&gt;=0,A21,"")</f>
        <v/>
      </c>
      <c r="I21" s="7" t="n">
        <f aca="false">IF(F21&lt;0,A21,0)</f>
        <v>16</v>
      </c>
      <c r="J21" s="7" t="str">
        <f aca="false">IF(G21&gt;=0,A21,"")</f>
        <v/>
      </c>
      <c r="K21" s="7" t="n">
        <f aca="false">IF(G21&lt;0,A21,0)</f>
        <v>16</v>
      </c>
    </row>
    <row r="22" customFormat="false" ht="15" hidden="false" customHeight="false" outlineLevel="0" collapsed="false">
      <c r="A22" s="7" t="n">
        <f aca="false">A21+1</f>
        <v>17</v>
      </c>
      <c r="B22" s="7" t="n">
        <f aca="false">MAX('Giả định'!$B$9,ROUNDUP(A22/'Giả định'!$B$7,0)+'Giả định'!$B$8)</f>
        <v>15</v>
      </c>
      <c r="C22" s="25" t="n">
        <f aca="false">('Chi phí'!$C$76+'Chi phí'!$D$76*B22+'Chi phí'!$E$76*A22+'Giả định'!$B$15*('Chi phí'!$F$76+'Chi phí'!$G$76*B22+'Chi phí'!$H$76*A22))*(1+'Giả định'!$B$16)</f>
        <v>196919580</v>
      </c>
      <c r="D22" s="25" t="n">
        <f aca="false">('Chi phí'!$C$77+'Chi phí'!$D$77*B22+'Chi phí'!$E$77*A22+'Giả định'!$B$15*('Chi phí'!$F$77+'Chi phí'!$G$77*B22+'Chi phí'!$H$77*A22))*(1+'Giả định'!$B$16)</f>
        <v>340524580</v>
      </c>
      <c r="E22" s="25" t="n">
        <f aca="false">A22/'Giả định'!$B$19*'Giả định'!$B$20+A22*'Giả định'!$B$23+'Giả định'!$B$24</f>
        <v>6328571.42857143</v>
      </c>
      <c r="F22" s="25" t="n">
        <f aca="false">E22-D22</f>
        <v>-334196008.571429</v>
      </c>
      <c r="G22" s="25" t="n">
        <f aca="false">E22-C22</f>
        <v>-190591008.571429</v>
      </c>
      <c r="H22" s="7" t="str">
        <f aca="false">IF(F22&gt;=0,A22,"")</f>
        <v/>
      </c>
      <c r="I22" s="7" t="n">
        <f aca="false">IF(F22&lt;0,A22,0)</f>
        <v>17</v>
      </c>
      <c r="J22" s="7" t="str">
        <f aca="false">IF(G22&gt;=0,A22,"")</f>
        <v/>
      </c>
      <c r="K22" s="7" t="n">
        <f aca="false">IF(G22&lt;0,A22,0)</f>
        <v>17</v>
      </c>
    </row>
    <row r="23" customFormat="false" ht="15" hidden="false" customHeight="false" outlineLevel="0" collapsed="false">
      <c r="A23" s="7" t="n">
        <f aca="false">A22+1</f>
        <v>18</v>
      </c>
      <c r="B23" s="7" t="n">
        <f aca="false">MAX('Giả định'!$B$9,ROUNDUP(A23/'Giả định'!$B$7,0)+'Giả định'!$B$8)</f>
        <v>15</v>
      </c>
      <c r="C23" s="25" t="n">
        <f aca="false">('Chi phí'!$C$76+'Chi phí'!$D$76*B23+'Chi phí'!$E$76*A23+'Giả định'!$B$15*('Chi phí'!$F$76+'Chi phí'!$G$76*B23+'Chi phí'!$H$76*A23))*(1+'Giả định'!$B$16)</f>
        <v>196956320</v>
      </c>
      <c r="D23" s="25" t="n">
        <f aca="false">('Chi phí'!$C$77+'Chi phí'!$D$77*B23+'Chi phí'!$E$77*A23+'Giả định'!$B$15*('Chi phí'!$F$77+'Chi phí'!$G$77*B23+'Chi phí'!$H$77*A23))*(1+'Giả định'!$B$16)</f>
        <v>340561320</v>
      </c>
      <c r="E23" s="25" t="n">
        <f aca="false">A23/'Giả định'!$B$19*'Giả định'!$B$20+A23*'Giả định'!$B$23+'Giả định'!$B$24</f>
        <v>6700840.33613445</v>
      </c>
      <c r="F23" s="25" t="n">
        <f aca="false">E23-D23</f>
        <v>-333860479.663866</v>
      </c>
      <c r="G23" s="25" t="n">
        <f aca="false">E23-C23</f>
        <v>-190255479.663866</v>
      </c>
      <c r="H23" s="7" t="str">
        <f aca="false">IF(F23&gt;=0,A23,"")</f>
        <v/>
      </c>
      <c r="I23" s="7" t="n">
        <f aca="false">IF(F23&lt;0,A23,0)</f>
        <v>18</v>
      </c>
      <c r="J23" s="7" t="str">
        <f aca="false">IF(G23&gt;=0,A23,"")</f>
        <v/>
      </c>
      <c r="K23" s="7" t="n">
        <f aca="false">IF(G23&lt;0,A23,0)</f>
        <v>18</v>
      </c>
    </row>
    <row r="24" customFormat="false" ht="15" hidden="false" customHeight="false" outlineLevel="0" collapsed="false">
      <c r="A24" s="7" t="n">
        <f aca="false">A23+1</f>
        <v>19</v>
      </c>
      <c r="B24" s="7" t="n">
        <f aca="false">MAX('Giả định'!$B$9,ROUNDUP(A24/'Giả định'!$B$7,0)+'Giả định'!$B$8)</f>
        <v>15</v>
      </c>
      <c r="C24" s="25" t="n">
        <f aca="false">('Chi phí'!$C$76+'Chi phí'!$D$76*B24+'Chi phí'!$E$76*A24+'Giả định'!$B$15*('Chi phí'!$F$76+'Chi phí'!$G$76*B24+'Chi phí'!$H$76*A24))*(1+'Giả định'!$B$16)</f>
        <v>196993060</v>
      </c>
      <c r="D24" s="25" t="n">
        <f aca="false">('Chi phí'!$C$77+'Chi phí'!$D$77*B24+'Chi phí'!$E$77*A24+'Giả định'!$B$15*('Chi phí'!$F$77+'Chi phí'!$G$77*B24+'Chi phí'!$H$77*A24))*(1+'Giả định'!$B$16)</f>
        <v>340598060</v>
      </c>
      <c r="E24" s="25" t="n">
        <f aca="false">A24/'Giả định'!$B$19*'Giả định'!$B$20+A24*'Giả định'!$B$23+'Giả định'!$B$24</f>
        <v>7073109.24369748</v>
      </c>
      <c r="F24" s="25" t="n">
        <f aca="false">E24-D24</f>
        <v>-333524950.756303</v>
      </c>
      <c r="G24" s="25" t="n">
        <f aca="false">E24-C24</f>
        <v>-189919950.756303</v>
      </c>
      <c r="H24" s="7" t="str">
        <f aca="false">IF(F24&gt;=0,A24,"")</f>
        <v/>
      </c>
      <c r="I24" s="7" t="n">
        <f aca="false">IF(F24&lt;0,A24,0)</f>
        <v>19</v>
      </c>
      <c r="J24" s="7" t="str">
        <f aca="false">IF(G24&gt;=0,A24,"")</f>
        <v/>
      </c>
      <c r="K24" s="7" t="n">
        <f aca="false">IF(G24&lt;0,A24,0)</f>
        <v>19</v>
      </c>
    </row>
    <row r="25" customFormat="false" ht="15" hidden="false" customHeight="false" outlineLevel="0" collapsed="false">
      <c r="A25" s="7" t="n">
        <f aca="false">A24+1</f>
        <v>20</v>
      </c>
      <c r="B25" s="7" t="n">
        <f aca="false">MAX('Giả định'!$B$9,ROUNDUP(A25/'Giả định'!$B$7,0)+'Giả định'!$B$8)</f>
        <v>15</v>
      </c>
      <c r="C25" s="25" t="n">
        <f aca="false">('Chi phí'!$C$76+'Chi phí'!$D$76*B25+'Chi phí'!$E$76*A25+'Giả định'!$B$15*('Chi phí'!$F$76+'Chi phí'!$G$76*B25+'Chi phí'!$H$76*A25))*(1+'Giả định'!$B$16)</f>
        <v>197029800</v>
      </c>
      <c r="D25" s="25" t="n">
        <f aca="false">('Chi phí'!$C$77+'Chi phí'!$D$77*B25+'Chi phí'!$E$77*A25+'Giả định'!$B$15*('Chi phí'!$F$77+'Chi phí'!$G$77*B25+'Chi phí'!$H$77*A25))*(1+'Giả định'!$B$16)</f>
        <v>340634800</v>
      </c>
      <c r="E25" s="25" t="n">
        <f aca="false">A25/'Giả định'!$B$19*'Giả định'!$B$20+A25*'Giả định'!$B$23+'Giả định'!$B$24</f>
        <v>7445378.15126051</v>
      </c>
      <c r="F25" s="25" t="n">
        <f aca="false">E25-D25</f>
        <v>-333189421.84874</v>
      </c>
      <c r="G25" s="25" t="n">
        <f aca="false">E25-C25</f>
        <v>-189584421.84874</v>
      </c>
      <c r="H25" s="7" t="str">
        <f aca="false">IF(F25&gt;=0,A25,"")</f>
        <v/>
      </c>
      <c r="I25" s="7" t="n">
        <f aca="false">IF(F25&lt;0,A25,0)</f>
        <v>20</v>
      </c>
      <c r="J25" s="7" t="str">
        <f aca="false">IF(G25&gt;=0,A25,"")</f>
        <v/>
      </c>
      <c r="K25" s="7" t="n">
        <f aca="false">IF(G25&lt;0,A25,0)</f>
        <v>20</v>
      </c>
    </row>
    <row r="26" customFormat="false" ht="15" hidden="false" customHeight="false" outlineLevel="0" collapsed="false">
      <c r="A26" s="7" t="n">
        <f aca="false">A25+1</f>
        <v>21</v>
      </c>
      <c r="B26" s="7" t="n">
        <f aca="false">MAX('Giả định'!$B$9,ROUNDUP(A26/'Giả định'!$B$7,0)+'Giả định'!$B$8)</f>
        <v>15</v>
      </c>
      <c r="C26" s="25" t="n">
        <f aca="false">('Chi phí'!$C$76+'Chi phí'!$D$76*B26+'Chi phí'!$E$76*A26+'Giả định'!$B$15*('Chi phí'!$F$76+'Chi phí'!$G$76*B26+'Chi phí'!$H$76*A26))*(1+'Giả định'!$B$16)</f>
        <v>197066540</v>
      </c>
      <c r="D26" s="25" t="n">
        <f aca="false">('Chi phí'!$C$77+'Chi phí'!$D$77*B26+'Chi phí'!$E$77*A26+'Giả định'!$B$15*('Chi phí'!$F$77+'Chi phí'!$G$77*B26+'Chi phí'!$H$77*A26))*(1+'Giả định'!$B$16)</f>
        <v>340671540</v>
      </c>
      <c r="E26" s="25" t="n">
        <f aca="false">A26/'Giả định'!$B$19*'Giả định'!$B$20+A26*'Giả định'!$B$23+'Giả định'!$B$24</f>
        <v>7817647.05882353</v>
      </c>
      <c r="F26" s="25" t="n">
        <f aca="false">E26-D26</f>
        <v>-332853892.941177</v>
      </c>
      <c r="G26" s="25" t="n">
        <f aca="false">E26-C26</f>
        <v>-189248892.941177</v>
      </c>
      <c r="H26" s="7" t="str">
        <f aca="false">IF(F26&gt;=0,A26,"")</f>
        <v/>
      </c>
      <c r="I26" s="7" t="n">
        <f aca="false">IF(F26&lt;0,A26,0)</f>
        <v>21</v>
      </c>
      <c r="J26" s="7" t="str">
        <f aca="false">IF(G26&gt;=0,A26,"")</f>
        <v/>
      </c>
      <c r="K26" s="7" t="n">
        <f aca="false">IF(G26&lt;0,A26,0)</f>
        <v>21</v>
      </c>
    </row>
    <row r="27" customFormat="false" ht="15" hidden="false" customHeight="false" outlineLevel="0" collapsed="false">
      <c r="A27" s="7" t="n">
        <f aca="false">A26+1</f>
        <v>22</v>
      </c>
      <c r="B27" s="7" t="n">
        <f aca="false">MAX('Giả định'!$B$9,ROUNDUP(A27/'Giả định'!$B$7,0)+'Giả định'!$B$8)</f>
        <v>15</v>
      </c>
      <c r="C27" s="25" t="n">
        <f aca="false">('Chi phí'!$C$76+'Chi phí'!$D$76*B27+'Chi phí'!$E$76*A27+'Giả định'!$B$15*('Chi phí'!$F$76+'Chi phí'!$G$76*B27+'Chi phí'!$H$76*A27))*(1+'Giả định'!$B$16)</f>
        <v>197103280</v>
      </c>
      <c r="D27" s="25" t="n">
        <f aca="false">('Chi phí'!$C$77+'Chi phí'!$D$77*B27+'Chi phí'!$E$77*A27+'Giả định'!$B$15*('Chi phí'!$F$77+'Chi phí'!$G$77*B27+'Chi phí'!$H$77*A27))*(1+'Giả định'!$B$16)</f>
        <v>340708280</v>
      </c>
      <c r="E27" s="25" t="n">
        <f aca="false">A27/'Giả định'!$B$19*'Giả định'!$B$20+A27*'Giả định'!$B$23+'Giả định'!$B$24</f>
        <v>8189915.96638656</v>
      </c>
      <c r="F27" s="25" t="n">
        <f aca="false">E27-D27</f>
        <v>-332518364.033613</v>
      </c>
      <c r="G27" s="25" t="n">
        <f aca="false">E27-C27</f>
        <v>-188913364.033613</v>
      </c>
      <c r="H27" s="7" t="str">
        <f aca="false">IF(F27&gt;=0,A27,"")</f>
        <v/>
      </c>
      <c r="I27" s="7" t="n">
        <f aca="false">IF(F27&lt;0,A27,0)</f>
        <v>22</v>
      </c>
      <c r="J27" s="7" t="str">
        <f aca="false">IF(G27&gt;=0,A27,"")</f>
        <v/>
      </c>
      <c r="K27" s="7" t="n">
        <f aca="false">IF(G27&lt;0,A27,0)</f>
        <v>22</v>
      </c>
    </row>
    <row r="28" customFormat="false" ht="15" hidden="false" customHeight="false" outlineLevel="0" collapsed="false">
      <c r="A28" s="7" t="n">
        <f aca="false">A27+1</f>
        <v>23</v>
      </c>
      <c r="B28" s="7" t="n">
        <f aca="false">MAX('Giả định'!$B$9,ROUNDUP(A28/'Giả định'!$B$7,0)+'Giả định'!$B$8)</f>
        <v>15</v>
      </c>
      <c r="C28" s="25" t="n">
        <f aca="false">('Chi phí'!$C$76+'Chi phí'!$D$76*B28+'Chi phí'!$E$76*A28+'Giả định'!$B$15*('Chi phí'!$F$76+'Chi phí'!$G$76*B28+'Chi phí'!$H$76*A28))*(1+'Giả định'!$B$16)</f>
        <v>197140020</v>
      </c>
      <c r="D28" s="25" t="n">
        <f aca="false">('Chi phí'!$C$77+'Chi phí'!$D$77*B28+'Chi phí'!$E$77*A28+'Giả định'!$B$15*('Chi phí'!$F$77+'Chi phí'!$G$77*B28+'Chi phí'!$H$77*A28))*(1+'Giả định'!$B$16)</f>
        <v>340745020</v>
      </c>
      <c r="E28" s="25" t="n">
        <f aca="false">A28/'Giả định'!$B$19*'Giả định'!$B$20+A28*'Giả định'!$B$23+'Giả định'!$B$24</f>
        <v>8562184.87394958</v>
      </c>
      <c r="F28" s="25" t="n">
        <f aca="false">E28-D28</f>
        <v>-332182835.12605</v>
      </c>
      <c r="G28" s="25" t="n">
        <f aca="false">E28-C28</f>
        <v>-188577835.12605</v>
      </c>
      <c r="H28" s="7" t="str">
        <f aca="false">IF(F28&gt;=0,A28,"")</f>
        <v/>
      </c>
      <c r="I28" s="7" t="n">
        <f aca="false">IF(F28&lt;0,A28,0)</f>
        <v>23</v>
      </c>
      <c r="J28" s="7" t="str">
        <f aca="false">IF(G28&gt;=0,A28,"")</f>
        <v/>
      </c>
      <c r="K28" s="7" t="n">
        <f aca="false">IF(G28&lt;0,A28,0)</f>
        <v>23</v>
      </c>
    </row>
    <row r="29" customFormat="false" ht="15" hidden="false" customHeight="false" outlineLevel="0" collapsed="false">
      <c r="A29" s="7" t="n">
        <f aca="false">A28+1</f>
        <v>24</v>
      </c>
      <c r="B29" s="7" t="n">
        <f aca="false">MAX('Giả định'!$B$9,ROUNDUP(A29/'Giả định'!$B$7,0)+'Giả định'!$B$8)</f>
        <v>15</v>
      </c>
      <c r="C29" s="25" t="n">
        <f aca="false">('Chi phí'!$C$76+'Chi phí'!$D$76*B29+'Chi phí'!$E$76*A29+'Giả định'!$B$15*('Chi phí'!$F$76+'Chi phí'!$G$76*B29+'Chi phí'!$H$76*A29))*(1+'Giả định'!$B$16)</f>
        <v>197176760</v>
      </c>
      <c r="D29" s="25" t="n">
        <f aca="false">('Chi phí'!$C$77+'Chi phí'!$D$77*B29+'Chi phí'!$E$77*A29+'Giả định'!$B$15*('Chi phí'!$F$77+'Chi phí'!$G$77*B29+'Chi phí'!$H$77*A29))*(1+'Giả định'!$B$16)</f>
        <v>340781760</v>
      </c>
      <c r="E29" s="25" t="n">
        <f aca="false">A29/'Giả định'!$B$19*'Giả định'!$B$20+A29*'Giả định'!$B$23+'Giả định'!$B$24</f>
        <v>8934453.78151261</v>
      </c>
      <c r="F29" s="25" t="n">
        <f aca="false">E29-D29</f>
        <v>-331847306.218487</v>
      </c>
      <c r="G29" s="25" t="n">
        <f aca="false">E29-C29</f>
        <v>-188242306.218487</v>
      </c>
      <c r="H29" s="7" t="str">
        <f aca="false">IF(F29&gt;=0,A29,"")</f>
        <v/>
      </c>
      <c r="I29" s="7" t="n">
        <f aca="false">IF(F29&lt;0,A29,0)</f>
        <v>24</v>
      </c>
      <c r="J29" s="7" t="str">
        <f aca="false">IF(G29&gt;=0,A29,"")</f>
        <v/>
      </c>
      <c r="K29" s="7" t="n">
        <f aca="false">IF(G29&lt;0,A29,0)</f>
        <v>24</v>
      </c>
    </row>
    <row r="30" customFormat="false" ht="15" hidden="false" customHeight="false" outlineLevel="0" collapsed="false">
      <c r="A30" s="7" t="n">
        <f aca="false">A29+1</f>
        <v>25</v>
      </c>
      <c r="B30" s="7" t="n">
        <f aca="false">MAX('Giả định'!$B$9,ROUNDUP(A30/'Giả định'!$B$7,0)+'Giả định'!$B$8)</f>
        <v>15</v>
      </c>
      <c r="C30" s="25" t="n">
        <f aca="false">('Chi phí'!$C$76+'Chi phí'!$D$76*B30+'Chi phí'!$E$76*A30+'Giả định'!$B$15*('Chi phí'!$F$76+'Chi phí'!$G$76*B30+'Chi phí'!$H$76*A30))*(1+'Giả định'!$B$16)</f>
        <v>197213500</v>
      </c>
      <c r="D30" s="25" t="n">
        <f aca="false">('Chi phí'!$C$77+'Chi phí'!$D$77*B30+'Chi phí'!$E$77*A30+'Giả định'!$B$15*('Chi phí'!$F$77+'Chi phí'!$G$77*B30+'Chi phí'!$H$77*A30))*(1+'Giả định'!$B$16)</f>
        <v>340818500</v>
      </c>
      <c r="E30" s="25" t="n">
        <f aca="false">A30/'Giả định'!$B$19*'Giả định'!$B$20+A30*'Giả định'!$B$23+'Giả định'!$B$24</f>
        <v>9306722.68907563</v>
      </c>
      <c r="F30" s="25" t="n">
        <f aca="false">E30-D30</f>
        <v>-331511777.310924</v>
      </c>
      <c r="G30" s="25" t="n">
        <f aca="false">E30-C30</f>
        <v>-187906777.310924</v>
      </c>
      <c r="H30" s="7" t="str">
        <f aca="false">IF(F30&gt;=0,A30,"")</f>
        <v/>
      </c>
      <c r="I30" s="7" t="n">
        <f aca="false">IF(F30&lt;0,A30,0)</f>
        <v>25</v>
      </c>
      <c r="J30" s="7" t="str">
        <f aca="false">IF(G30&gt;=0,A30,"")</f>
        <v/>
      </c>
      <c r="K30" s="7" t="n">
        <f aca="false">IF(G30&lt;0,A30,0)</f>
        <v>25</v>
      </c>
    </row>
    <row r="31" customFormat="false" ht="15" hidden="false" customHeight="false" outlineLevel="0" collapsed="false">
      <c r="A31" s="7" t="n">
        <f aca="false">A30+1</f>
        <v>26</v>
      </c>
      <c r="B31" s="7" t="n">
        <f aca="false">MAX('Giả định'!$B$9,ROUNDUP(A31/'Giả định'!$B$7,0)+'Giả định'!$B$8)</f>
        <v>15</v>
      </c>
      <c r="C31" s="25" t="n">
        <f aca="false">('Chi phí'!$C$76+'Chi phí'!$D$76*B31+'Chi phí'!$E$76*A31+'Giả định'!$B$15*('Chi phí'!$F$76+'Chi phí'!$G$76*B31+'Chi phí'!$H$76*A31))*(1+'Giả định'!$B$16)</f>
        <v>197250240</v>
      </c>
      <c r="D31" s="25" t="n">
        <f aca="false">('Chi phí'!$C$77+'Chi phí'!$D$77*B31+'Chi phí'!$E$77*A31+'Giả định'!$B$15*('Chi phí'!$F$77+'Chi phí'!$G$77*B31+'Chi phí'!$H$77*A31))*(1+'Giả định'!$B$16)</f>
        <v>340855240</v>
      </c>
      <c r="E31" s="25" t="n">
        <f aca="false">A31/'Giả định'!$B$19*'Giả định'!$B$20+A31*'Giả định'!$B$23+'Giả định'!$B$24</f>
        <v>9678991.59663866</v>
      </c>
      <c r="F31" s="25" t="n">
        <f aca="false">E31-D31</f>
        <v>-331176248.403361</v>
      </c>
      <c r="G31" s="25" t="n">
        <f aca="false">E31-C31</f>
        <v>-187571248.403361</v>
      </c>
      <c r="H31" s="7" t="str">
        <f aca="false">IF(F31&gt;=0,A31,"")</f>
        <v/>
      </c>
      <c r="I31" s="7" t="n">
        <f aca="false">IF(F31&lt;0,A31,0)</f>
        <v>26</v>
      </c>
      <c r="J31" s="7" t="str">
        <f aca="false">IF(G31&gt;=0,A31,"")</f>
        <v/>
      </c>
      <c r="K31" s="7" t="n">
        <f aca="false">IF(G31&lt;0,A31,0)</f>
        <v>26</v>
      </c>
    </row>
    <row r="32" customFormat="false" ht="15" hidden="false" customHeight="false" outlineLevel="0" collapsed="false">
      <c r="A32" s="7" t="n">
        <f aca="false">A31+1</f>
        <v>27</v>
      </c>
      <c r="B32" s="7" t="n">
        <f aca="false">MAX('Giả định'!$B$9,ROUNDUP(A32/'Giả định'!$B$7,0)+'Giả định'!$B$8)</f>
        <v>15</v>
      </c>
      <c r="C32" s="25" t="n">
        <f aca="false">('Chi phí'!$C$76+'Chi phí'!$D$76*B32+'Chi phí'!$E$76*A32+'Giả định'!$B$15*('Chi phí'!$F$76+'Chi phí'!$G$76*B32+'Chi phí'!$H$76*A32))*(1+'Giả định'!$B$16)</f>
        <v>197286980</v>
      </c>
      <c r="D32" s="25" t="n">
        <f aca="false">('Chi phí'!$C$77+'Chi phí'!$D$77*B32+'Chi phí'!$E$77*A32+'Giả định'!$B$15*('Chi phí'!$F$77+'Chi phí'!$G$77*B32+'Chi phí'!$H$77*A32))*(1+'Giả định'!$B$16)</f>
        <v>340891980</v>
      </c>
      <c r="E32" s="25" t="n">
        <f aca="false">A32/'Giả định'!$B$19*'Giả định'!$B$20+A32*'Giả định'!$B$23+'Giả định'!$B$24</f>
        <v>10051260.5042017</v>
      </c>
      <c r="F32" s="25" t="n">
        <f aca="false">E32-D32</f>
        <v>-330840719.495798</v>
      </c>
      <c r="G32" s="25" t="n">
        <f aca="false">E32-C32</f>
        <v>-187235719.495798</v>
      </c>
      <c r="H32" s="7" t="str">
        <f aca="false">IF(F32&gt;=0,A32,"")</f>
        <v/>
      </c>
      <c r="I32" s="7" t="n">
        <f aca="false">IF(F32&lt;0,A32,0)</f>
        <v>27</v>
      </c>
      <c r="J32" s="7" t="str">
        <f aca="false">IF(G32&gt;=0,A32,"")</f>
        <v/>
      </c>
      <c r="K32" s="7" t="n">
        <f aca="false">IF(G32&lt;0,A32,0)</f>
        <v>27</v>
      </c>
    </row>
    <row r="33" customFormat="false" ht="15" hidden="false" customHeight="false" outlineLevel="0" collapsed="false">
      <c r="A33" s="7" t="n">
        <f aca="false">A32+1</f>
        <v>28</v>
      </c>
      <c r="B33" s="7" t="n">
        <f aca="false">MAX('Giả định'!$B$9,ROUNDUP(A33/'Giả định'!$B$7,0)+'Giả định'!$B$8)</f>
        <v>15</v>
      </c>
      <c r="C33" s="25" t="n">
        <f aca="false">('Chi phí'!$C$76+'Chi phí'!$D$76*B33+'Chi phí'!$E$76*A33+'Giả định'!$B$15*('Chi phí'!$F$76+'Chi phí'!$G$76*B33+'Chi phí'!$H$76*A33))*(1+'Giả định'!$B$16)</f>
        <v>197323720</v>
      </c>
      <c r="D33" s="25" t="n">
        <f aca="false">('Chi phí'!$C$77+'Chi phí'!$D$77*B33+'Chi phí'!$E$77*A33+'Giả định'!$B$15*('Chi phí'!$F$77+'Chi phí'!$G$77*B33+'Chi phí'!$H$77*A33))*(1+'Giả định'!$B$16)</f>
        <v>340928720</v>
      </c>
      <c r="E33" s="25" t="n">
        <f aca="false">A33/'Giả định'!$B$19*'Giả định'!$B$20+A33*'Giả định'!$B$23+'Giả định'!$B$24</f>
        <v>10423529.4117647</v>
      </c>
      <c r="F33" s="25" t="n">
        <f aca="false">E33-D33</f>
        <v>-330505190.588235</v>
      </c>
      <c r="G33" s="25" t="n">
        <f aca="false">E33-C33</f>
        <v>-186900190.588235</v>
      </c>
      <c r="H33" s="7" t="str">
        <f aca="false">IF(F33&gt;=0,A33,"")</f>
        <v/>
      </c>
      <c r="I33" s="7" t="n">
        <f aca="false">IF(F33&lt;0,A33,0)</f>
        <v>28</v>
      </c>
      <c r="J33" s="7" t="str">
        <f aca="false">IF(G33&gt;=0,A33,"")</f>
        <v/>
      </c>
      <c r="K33" s="7" t="n">
        <f aca="false">IF(G33&lt;0,A33,0)</f>
        <v>28</v>
      </c>
    </row>
    <row r="34" customFormat="false" ht="15" hidden="false" customHeight="false" outlineLevel="0" collapsed="false">
      <c r="A34" s="7" t="n">
        <f aca="false">A33+1</f>
        <v>29</v>
      </c>
      <c r="B34" s="7" t="n">
        <f aca="false">MAX('Giả định'!$B$9,ROUNDUP(A34/'Giả định'!$B$7,0)+'Giả định'!$B$8)</f>
        <v>15</v>
      </c>
      <c r="C34" s="25" t="n">
        <f aca="false">('Chi phí'!$C$76+'Chi phí'!$D$76*B34+'Chi phí'!$E$76*A34+'Giả định'!$B$15*('Chi phí'!$F$76+'Chi phí'!$G$76*B34+'Chi phí'!$H$76*A34))*(1+'Giả định'!$B$16)</f>
        <v>197360460</v>
      </c>
      <c r="D34" s="25" t="n">
        <f aca="false">('Chi phí'!$C$77+'Chi phí'!$D$77*B34+'Chi phí'!$E$77*A34+'Giả định'!$B$15*('Chi phí'!$F$77+'Chi phí'!$G$77*B34+'Chi phí'!$H$77*A34))*(1+'Giả định'!$B$16)</f>
        <v>340965460</v>
      </c>
      <c r="E34" s="25" t="n">
        <f aca="false">A34/'Giả định'!$B$19*'Giả định'!$B$20+A34*'Giả định'!$B$23+'Giả định'!$B$24</f>
        <v>10795798.3193277</v>
      </c>
      <c r="F34" s="25" t="n">
        <f aca="false">E34-D34</f>
        <v>-330169661.680672</v>
      </c>
      <c r="G34" s="25" t="n">
        <f aca="false">E34-C34</f>
        <v>-186564661.680672</v>
      </c>
      <c r="H34" s="7" t="str">
        <f aca="false">IF(F34&gt;=0,A34,"")</f>
        <v/>
      </c>
      <c r="I34" s="7" t="n">
        <f aca="false">IF(F34&lt;0,A34,0)</f>
        <v>29</v>
      </c>
      <c r="J34" s="7" t="str">
        <f aca="false">IF(G34&gt;=0,A34,"")</f>
        <v/>
      </c>
      <c r="K34" s="7" t="n">
        <f aca="false">IF(G34&lt;0,A34,0)</f>
        <v>29</v>
      </c>
    </row>
    <row r="35" customFormat="false" ht="15" hidden="false" customHeight="false" outlineLevel="0" collapsed="false">
      <c r="A35" s="7" t="n">
        <f aca="false">A34+1</f>
        <v>30</v>
      </c>
      <c r="B35" s="7" t="n">
        <f aca="false">MAX('Giả định'!$B$9,ROUNDUP(A35/'Giả định'!$B$7,0)+'Giả định'!$B$8)</f>
        <v>15</v>
      </c>
      <c r="C35" s="25" t="n">
        <f aca="false">('Chi phí'!$C$76+'Chi phí'!$D$76*B35+'Chi phí'!$E$76*A35+'Giả định'!$B$15*('Chi phí'!$F$76+'Chi phí'!$G$76*B35+'Chi phí'!$H$76*A35))*(1+'Giả định'!$B$16)</f>
        <v>197397200</v>
      </c>
      <c r="D35" s="25" t="n">
        <f aca="false">('Chi phí'!$C$77+'Chi phí'!$D$77*B35+'Chi phí'!$E$77*A35+'Giả định'!$B$15*('Chi phí'!$F$77+'Chi phí'!$G$77*B35+'Chi phí'!$H$77*A35))*(1+'Giả định'!$B$16)</f>
        <v>341002200</v>
      </c>
      <c r="E35" s="25" t="n">
        <f aca="false">A35/'Giả định'!$B$19*'Giả định'!$B$20+A35*'Giả định'!$B$23+'Giả định'!$B$24</f>
        <v>11168067.2268908</v>
      </c>
      <c r="F35" s="25" t="n">
        <f aca="false">E35-D35</f>
        <v>-329834132.773109</v>
      </c>
      <c r="G35" s="25" t="n">
        <f aca="false">E35-C35</f>
        <v>-186229132.773109</v>
      </c>
      <c r="H35" s="7" t="str">
        <f aca="false">IF(F35&gt;=0,A35,"")</f>
        <v/>
      </c>
      <c r="I35" s="7" t="n">
        <f aca="false">IF(F35&lt;0,A35,0)</f>
        <v>30</v>
      </c>
      <c r="J35" s="7" t="str">
        <f aca="false">IF(G35&gt;=0,A35,"")</f>
        <v/>
      </c>
      <c r="K35" s="7" t="n">
        <f aca="false">IF(G35&lt;0,A35,0)</f>
        <v>30</v>
      </c>
    </row>
    <row r="36" customFormat="false" ht="15" hidden="false" customHeight="false" outlineLevel="0" collapsed="false">
      <c r="A36" s="7" t="n">
        <f aca="false">A35+1</f>
        <v>31</v>
      </c>
      <c r="B36" s="7" t="n">
        <f aca="false">MAX('Giả định'!$B$9,ROUNDUP(A36/'Giả định'!$B$7,0)+'Giả định'!$B$8)</f>
        <v>15</v>
      </c>
      <c r="C36" s="25" t="n">
        <f aca="false">('Chi phí'!$C$76+'Chi phí'!$D$76*B36+'Chi phí'!$E$76*A36+'Giả định'!$B$15*('Chi phí'!$F$76+'Chi phí'!$G$76*B36+'Chi phí'!$H$76*A36))*(1+'Giả định'!$B$16)</f>
        <v>197433940</v>
      </c>
      <c r="D36" s="25" t="n">
        <f aca="false">('Chi phí'!$C$77+'Chi phí'!$D$77*B36+'Chi phí'!$E$77*A36+'Giả định'!$B$15*('Chi phí'!$F$77+'Chi phí'!$G$77*B36+'Chi phí'!$H$77*A36))*(1+'Giả định'!$B$16)</f>
        <v>341038940</v>
      </c>
      <c r="E36" s="25" t="n">
        <f aca="false">A36/'Giả định'!$B$19*'Giả định'!$B$20+A36*'Giả định'!$B$23+'Giả định'!$B$24</f>
        <v>11540336.1344538</v>
      </c>
      <c r="F36" s="25" t="n">
        <f aca="false">E36-D36</f>
        <v>-329498603.865546</v>
      </c>
      <c r="G36" s="25" t="n">
        <f aca="false">E36-C36</f>
        <v>-185893603.865546</v>
      </c>
      <c r="H36" s="7" t="str">
        <f aca="false">IF(F36&gt;=0,A36,"")</f>
        <v/>
      </c>
      <c r="I36" s="7" t="n">
        <f aca="false">IF(F36&lt;0,A36,0)</f>
        <v>31</v>
      </c>
      <c r="J36" s="7" t="str">
        <f aca="false">IF(G36&gt;=0,A36,"")</f>
        <v/>
      </c>
      <c r="K36" s="7" t="n">
        <f aca="false">IF(G36&lt;0,A36,0)</f>
        <v>31</v>
      </c>
    </row>
    <row r="37" customFormat="false" ht="15" hidden="false" customHeight="false" outlineLevel="0" collapsed="false">
      <c r="A37" s="7" t="n">
        <f aca="false">A36+1</f>
        <v>32</v>
      </c>
      <c r="B37" s="7" t="n">
        <f aca="false">MAX('Giả định'!$B$9,ROUNDUP(A37/'Giả định'!$B$7,0)+'Giả định'!$B$8)</f>
        <v>15</v>
      </c>
      <c r="C37" s="25" t="n">
        <f aca="false">('Chi phí'!$C$76+'Chi phí'!$D$76*B37+'Chi phí'!$E$76*A37+'Giả định'!$B$15*('Chi phí'!$F$76+'Chi phí'!$G$76*B37+'Chi phí'!$H$76*A37))*(1+'Giả định'!$B$16)</f>
        <v>197470680</v>
      </c>
      <c r="D37" s="25" t="n">
        <f aca="false">('Chi phí'!$C$77+'Chi phí'!$D$77*B37+'Chi phí'!$E$77*A37+'Giả định'!$B$15*('Chi phí'!$F$77+'Chi phí'!$G$77*B37+'Chi phí'!$H$77*A37))*(1+'Giả định'!$B$16)</f>
        <v>341075680</v>
      </c>
      <c r="E37" s="25" t="n">
        <f aca="false">A37/'Giả định'!$B$19*'Giả định'!$B$20+A37*'Giả định'!$B$23+'Giả định'!$B$24</f>
        <v>11912605.0420168</v>
      </c>
      <c r="F37" s="25" t="n">
        <f aca="false">E37-D37</f>
        <v>-329163074.957983</v>
      </c>
      <c r="G37" s="25" t="n">
        <f aca="false">E37-C37</f>
        <v>-185558074.957983</v>
      </c>
      <c r="H37" s="7" t="str">
        <f aca="false">IF(F37&gt;=0,A37,"")</f>
        <v/>
      </c>
      <c r="I37" s="7" t="n">
        <f aca="false">IF(F37&lt;0,A37,0)</f>
        <v>32</v>
      </c>
      <c r="J37" s="7" t="str">
        <f aca="false">IF(G37&gt;=0,A37,"")</f>
        <v/>
      </c>
      <c r="K37" s="7" t="n">
        <f aca="false">IF(G37&lt;0,A37,0)</f>
        <v>32</v>
      </c>
    </row>
    <row r="38" customFormat="false" ht="15" hidden="false" customHeight="false" outlineLevel="0" collapsed="false">
      <c r="A38" s="7" t="n">
        <f aca="false">A37+1</f>
        <v>33</v>
      </c>
      <c r="B38" s="7" t="n">
        <f aca="false">MAX('Giả định'!$B$9,ROUNDUP(A38/'Giả định'!$B$7,0)+'Giả định'!$B$8)</f>
        <v>15</v>
      </c>
      <c r="C38" s="25" t="n">
        <f aca="false">('Chi phí'!$C$76+'Chi phí'!$D$76*B38+'Chi phí'!$E$76*A38+'Giả định'!$B$15*('Chi phí'!$F$76+'Chi phí'!$G$76*B38+'Chi phí'!$H$76*A38))*(1+'Giả định'!$B$16)</f>
        <v>197507420</v>
      </c>
      <c r="D38" s="25" t="n">
        <f aca="false">('Chi phí'!$C$77+'Chi phí'!$D$77*B38+'Chi phí'!$E$77*A38+'Giả định'!$B$15*('Chi phí'!$F$77+'Chi phí'!$G$77*B38+'Chi phí'!$H$77*A38))*(1+'Giả định'!$B$16)</f>
        <v>341112420</v>
      </c>
      <c r="E38" s="25" t="n">
        <f aca="false">A38/'Giả định'!$B$19*'Giả định'!$B$20+A38*'Giả định'!$B$23+'Giả định'!$B$24</f>
        <v>12284873.9495798</v>
      </c>
      <c r="F38" s="25" t="n">
        <f aca="false">E38-D38</f>
        <v>-328827546.05042</v>
      </c>
      <c r="G38" s="25" t="n">
        <f aca="false">E38-C38</f>
        <v>-185222546.05042</v>
      </c>
      <c r="H38" s="7" t="str">
        <f aca="false">IF(F38&gt;=0,A38,"")</f>
        <v/>
      </c>
      <c r="I38" s="7" t="n">
        <f aca="false">IF(F38&lt;0,A38,0)</f>
        <v>33</v>
      </c>
      <c r="J38" s="7" t="str">
        <f aca="false">IF(G38&gt;=0,A38,"")</f>
        <v/>
      </c>
      <c r="K38" s="7" t="n">
        <f aca="false">IF(G38&lt;0,A38,0)</f>
        <v>33</v>
      </c>
    </row>
    <row r="39" customFormat="false" ht="15" hidden="false" customHeight="false" outlineLevel="0" collapsed="false">
      <c r="A39" s="7" t="n">
        <f aca="false">A38+1</f>
        <v>34</v>
      </c>
      <c r="B39" s="7" t="n">
        <f aca="false">MAX('Giả định'!$B$9,ROUNDUP(A39/'Giả định'!$B$7,0)+'Giả định'!$B$8)</f>
        <v>15</v>
      </c>
      <c r="C39" s="25" t="n">
        <f aca="false">('Chi phí'!$C$76+'Chi phí'!$D$76*B39+'Chi phí'!$E$76*A39+'Giả định'!$B$15*('Chi phí'!$F$76+'Chi phí'!$G$76*B39+'Chi phí'!$H$76*A39))*(1+'Giả định'!$B$16)</f>
        <v>197544160</v>
      </c>
      <c r="D39" s="25" t="n">
        <f aca="false">('Chi phí'!$C$77+'Chi phí'!$D$77*B39+'Chi phí'!$E$77*A39+'Giả định'!$B$15*('Chi phí'!$F$77+'Chi phí'!$G$77*B39+'Chi phí'!$H$77*A39))*(1+'Giả định'!$B$16)</f>
        <v>341149160</v>
      </c>
      <c r="E39" s="25" t="n">
        <f aca="false">A39/'Giả định'!$B$19*'Giả định'!$B$20+A39*'Giả định'!$B$23+'Giả định'!$B$24</f>
        <v>12657142.8571429</v>
      </c>
      <c r="F39" s="25" t="n">
        <f aca="false">E39-D39</f>
        <v>-328492017.142857</v>
      </c>
      <c r="G39" s="25" t="n">
        <f aca="false">E39-C39</f>
        <v>-184887017.142857</v>
      </c>
      <c r="H39" s="7" t="str">
        <f aca="false">IF(F39&gt;=0,A39,"")</f>
        <v/>
      </c>
      <c r="I39" s="7" t="n">
        <f aca="false">IF(F39&lt;0,A39,0)</f>
        <v>34</v>
      </c>
      <c r="J39" s="7" t="str">
        <f aca="false">IF(G39&gt;=0,A39,"")</f>
        <v/>
      </c>
      <c r="K39" s="7" t="n">
        <f aca="false">IF(G39&lt;0,A39,0)</f>
        <v>34</v>
      </c>
    </row>
    <row r="40" customFormat="false" ht="15" hidden="false" customHeight="false" outlineLevel="0" collapsed="false">
      <c r="A40" s="7" t="n">
        <f aca="false">A39+1</f>
        <v>35</v>
      </c>
      <c r="B40" s="7" t="n">
        <f aca="false">MAX('Giả định'!$B$9,ROUNDUP(A40/'Giả định'!$B$7,0)+'Giả định'!$B$8)</f>
        <v>15</v>
      </c>
      <c r="C40" s="25" t="n">
        <f aca="false">('Chi phí'!$C$76+'Chi phí'!$D$76*B40+'Chi phí'!$E$76*A40+'Giả định'!$B$15*('Chi phí'!$F$76+'Chi phí'!$G$76*B40+'Chi phí'!$H$76*A40))*(1+'Giả định'!$B$16)</f>
        <v>197580900</v>
      </c>
      <c r="D40" s="25" t="n">
        <f aca="false">('Chi phí'!$C$77+'Chi phí'!$D$77*B40+'Chi phí'!$E$77*A40+'Giả định'!$B$15*('Chi phí'!$F$77+'Chi phí'!$G$77*B40+'Chi phí'!$H$77*A40))*(1+'Giả định'!$B$16)</f>
        <v>341185900</v>
      </c>
      <c r="E40" s="25" t="n">
        <f aca="false">A40/'Giả định'!$B$19*'Giả định'!$B$20+A40*'Giả định'!$B$23+'Giả định'!$B$24</f>
        <v>13029411.7647059</v>
      </c>
      <c r="F40" s="25" t="n">
        <f aca="false">E40-D40</f>
        <v>-328156488.235294</v>
      </c>
      <c r="G40" s="25" t="n">
        <f aca="false">E40-C40</f>
        <v>-184551488.235294</v>
      </c>
      <c r="H40" s="7" t="str">
        <f aca="false">IF(F40&gt;=0,A40,"")</f>
        <v/>
      </c>
      <c r="I40" s="7" t="n">
        <f aca="false">IF(F40&lt;0,A40,0)</f>
        <v>35</v>
      </c>
      <c r="J40" s="7" t="str">
        <f aca="false">IF(G40&gt;=0,A40,"")</f>
        <v/>
      </c>
      <c r="K40" s="7" t="n">
        <f aca="false">IF(G40&lt;0,A40,0)</f>
        <v>35</v>
      </c>
    </row>
    <row r="41" customFormat="false" ht="15" hidden="false" customHeight="false" outlineLevel="0" collapsed="false">
      <c r="A41" s="7" t="n">
        <f aca="false">A40+1</f>
        <v>36</v>
      </c>
      <c r="B41" s="7" t="n">
        <f aca="false">MAX('Giả định'!$B$9,ROUNDUP(A41/'Giả định'!$B$7,0)+'Giả định'!$B$8)</f>
        <v>15</v>
      </c>
      <c r="C41" s="25" t="n">
        <f aca="false">('Chi phí'!$C$76+'Chi phí'!$D$76*B41+'Chi phí'!$E$76*A41+'Giả định'!$B$15*('Chi phí'!$F$76+'Chi phí'!$G$76*B41+'Chi phí'!$H$76*A41))*(1+'Giả định'!$B$16)</f>
        <v>197617640</v>
      </c>
      <c r="D41" s="25" t="n">
        <f aca="false">('Chi phí'!$C$77+'Chi phí'!$D$77*B41+'Chi phí'!$E$77*A41+'Giả định'!$B$15*('Chi phí'!$F$77+'Chi phí'!$G$77*B41+'Chi phí'!$H$77*A41))*(1+'Giả định'!$B$16)</f>
        <v>341222640</v>
      </c>
      <c r="E41" s="25" t="n">
        <f aca="false">A41/'Giả định'!$B$19*'Giả định'!$B$20+A41*'Giả định'!$B$23+'Giả định'!$B$24</f>
        <v>13401680.6722689</v>
      </c>
      <c r="F41" s="25" t="n">
        <f aca="false">E41-D41</f>
        <v>-327820959.327731</v>
      </c>
      <c r="G41" s="25" t="n">
        <f aca="false">E41-C41</f>
        <v>-184215959.327731</v>
      </c>
      <c r="H41" s="7" t="str">
        <f aca="false">IF(F41&gt;=0,A41,"")</f>
        <v/>
      </c>
      <c r="I41" s="7" t="n">
        <f aca="false">IF(F41&lt;0,A41,0)</f>
        <v>36</v>
      </c>
      <c r="J41" s="7" t="str">
        <f aca="false">IF(G41&gt;=0,A41,"")</f>
        <v/>
      </c>
      <c r="K41" s="7" t="n">
        <f aca="false">IF(G41&lt;0,A41,0)</f>
        <v>36</v>
      </c>
    </row>
    <row r="42" customFormat="false" ht="15" hidden="false" customHeight="false" outlineLevel="0" collapsed="false">
      <c r="A42" s="7" t="n">
        <f aca="false">A41+1</f>
        <v>37</v>
      </c>
      <c r="B42" s="7" t="n">
        <f aca="false">MAX('Giả định'!$B$9,ROUNDUP(A42/'Giả định'!$B$7,0)+'Giả định'!$B$8)</f>
        <v>15</v>
      </c>
      <c r="C42" s="25" t="n">
        <f aca="false">('Chi phí'!$C$76+'Chi phí'!$D$76*B42+'Chi phí'!$E$76*A42+'Giả định'!$B$15*('Chi phí'!$F$76+'Chi phí'!$G$76*B42+'Chi phí'!$H$76*A42))*(1+'Giả định'!$B$16)</f>
        <v>197654380</v>
      </c>
      <c r="D42" s="25" t="n">
        <f aca="false">('Chi phí'!$C$77+'Chi phí'!$D$77*B42+'Chi phí'!$E$77*A42+'Giả định'!$B$15*('Chi phí'!$F$77+'Chi phí'!$G$77*B42+'Chi phí'!$H$77*A42))*(1+'Giả định'!$B$16)</f>
        <v>341259380</v>
      </c>
      <c r="E42" s="25" t="n">
        <f aca="false">A42/'Giả định'!$B$19*'Giả định'!$B$20+A42*'Giả định'!$B$23+'Giả định'!$B$24</f>
        <v>13773949.5798319</v>
      </c>
      <c r="F42" s="25" t="n">
        <f aca="false">E42-D42</f>
        <v>-327485430.420168</v>
      </c>
      <c r="G42" s="25" t="n">
        <f aca="false">E42-C42</f>
        <v>-183880430.420168</v>
      </c>
      <c r="H42" s="7" t="str">
        <f aca="false">IF(F42&gt;=0,A42,"")</f>
        <v/>
      </c>
      <c r="I42" s="7" t="n">
        <f aca="false">IF(F42&lt;0,A42,0)</f>
        <v>37</v>
      </c>
      <c r="J42" s="7" t="str">
        <f aca="false">IF(G42&gt;=0,A42,"")</f>
        <v/>
      </c>
      <c r="K42" s="7" t="n">
        <f aca="false">IF(G42&lt;0,A42,0)</f>
        <v>37</v>
      </c>
    </row>
    <row r="43" customFormat="false" ht="15" hidden="false" customHeight="false" outlineLevel="0" collapsed="false">
      <c r="A43" s="7" t="n">
        <f aca="false">A42+1</f>
        <v>38</v>
      </c>
      <c r="B43" s="7" t="n">
        <f aca="false">MAX('Giả định'!$B$9,ROUNDUP(A43/'Giả định'!$B$7,0)+'Giả định'!$B$8)</f>
        <v>15</v>
      </c>
      <c r="C43" s="25" t="n">
        <f aca="false">('Chi phí'!$C$76+'Chi phí'!$D$76*B43+'Chi phí'!$E$76*A43+'Giả định'!$B$15*('Chi phí'!$F$76+'Chi phí'!$G$76*B43+'Chi phí'!$H$76*A43))*(1+'Giả định'!$B$16)</f>
        <v>197691120</v>
      </c>
      <c r="D43" s="25" t="n">
        <f aca="false">('Chi phí'!$C$77+'Chi phí'!$D$77*B43+'Chi phí'!$E$77*A43+'Giả định'!$B$15*('Chi phí'!$F$77+'Chi phí'!$G$77*B43+'Chi phí'!$H$77*A43))*(1+'Giả định'!$B$16)</f>
        <v>341296120</v>
      </c>
      <c r="E43" s="25" t="n">
        <f aca="false">A43/'Giả định'!$B$19*'Giả định'!$B$20+A43*'Giả định'!$B$23+'Giả định'!$B$24</f>
        <v>14146218.487395</v>
      </c>
      <c r="F43" s="25" t="n">
        <f aca="false">E43-D43</f>
        <v>-327149901.512605</v>
      </c>
      <c r="G43" s="25" t="n">
        <f aca="false">E43-C43</f>
        <v>-183544901.512605</v>
      </c>
      <c r="H43" s="7" t="str">
        <f aca="false">IF(F43&gt;=0,A43,"")</f>
        <v/>
      </c>
      <c r="I43" s="7" t="n">
        <f aca="false">IF(F43&lt;0,A43,0)</f>
        <v>38</v>
      </c>
      <c r="J43" s="7" t="str">
        <f aca="false">IF(G43&gt;=0,A43,"")</f>
        <v/>
      </c>
      <c r="K43" s="7" t="n">
        <f aca="false">IF(G43&lt;0,A43,0)</f>
        <v>38</v>
      </c>
    </row>
    <row r="44" customFormat="false" ht="15" hidden="false" customHeight="false" outlineLevel="0" collapsed="false">
      <c r="A44" s="7" t="n">
        <f aca="false">A43+1</f>
        <v>39</v>
      </c>
      <c r="B44" s="7" t="n">
        <f aca="false">MAX('Giả định'!$B$9,ROUNDUP(A44/'Giả định'!$B$7,0)+'Giả định'!$B$8)</f>
        <v>15</v>
      </c>
      <c r="C44" s="25" t="n">
        <f aca="false">('Chi phí'!$C$76+'Chi phí'!$D$76*B44+'Chi phí'!$E$76*A44+'Giả định'!$B$15*('Chi phí'!$F$76+'Chi phí'!$G$76*B44+'Chi phí'!$H$76*A44))*(1+'Giả định'!$B$16)</f>
        <v>197727860</v>
      </c>
      <c r="D44" s="25" t="n">
        <f aca="false">('Chi phí'!$C$77+'Chi phí'!$D$77*B44+'Chi phí'!$E$77*A44+'Giả định'!$B$15*('Chi phí'!$F$77+'Chi phí'!$G$77*B44+'Chi phí'!$H$77*A44))*(1+'Giả định'!$B$16)</f>
        <v>341332860</v>
      </c>
      <c r="E44" s="25" t="n">
        <f aca="false">A44/'Giả định'!$B$19*'Giả định'!$B$20+A44*'Giả định'!$B$23+'Giả định'!$B$24</f>
        <v>14518487.394958</v>
      </c>
      <c r="F44" s="25" t="n">
        <f aca="false">E44-D44</f>
        <v>-326814372.605042</v>
      </c>
      <c r="G44" s="25" t="n">
        <f aca="false">E44-C44</f>
        <v>-183209372.605042</v>
      </c>
      <c r="H44" s="7" t="str">
        <f aca="false">IF(F44&gt;=0,A44,"")</f>
        <v/>
      </c>
      <c r="I44" s="7" t="n">
        <f aca="false">IF(F44&lt;0,A44,0)</f>
        <v>39</v>
      </c>
      <c r="J44" s="7" t="str">
        <f aca="false">IF(G44&gt;=0,A44,"")</f>
        <v/>
      </c>
      <c r="K44" s="7" t="n">
        <f aca="false">IF(G44&lt;0,A44,0)</f>
        <v>39</v>
      </c>
    </row>
    <row r="45" customFormat="false" ht="15" hidden="false" customHeight="false" outlineLevel="0" collapsed="false">
      <c r="A45" s="7" t="n">
        <f aca="false">A44+1</f>
        <v>40</v>
      </c>
      <c r="B45" s="7" t="n">
        <f aca="false">MAX('Giả định'!$B$9,ROUNDUP(A45/'Giả định'!$B$7,0)+'Giả định'!$B$8)</f>
        <v>15</v>
      </c>
      <c r="C45" s="25" t="n">
        <f aca="false">('Chi phí'!$C$76+'Chi phí'!$D$76*B45+'Chi phí'!$E$76*A45+'Giả định'!$B$15*('Chi phí'!$F$76+'Chi phí'!$G$76*B45+'Chi phí'!$H$76*A45))*(1+'Giả định'!$B$16)</f>
        <v>197764600</v>
      </c>
      <c r="D45" s="25" t="n">
        <f aca="false">('Chi phí'!$C$77+'Chi phí'!$D$77*B45+'Chi phí'!$E$77*A45+'Giả định'!$B$15*('Chi phí'!$F$77+'Chi phí'!$G$77*B45+'Chi phí'!$H$77*A45))*(1+'Giả định'!$B$16)</f>
        <v>341369600</v>
      </c>
      <c r="E45" s="25" t="n">
        <f aca="false">A45/'Giả định'!$B$19*'Giả định'!$B$20+A45*'Giả định'!$B$23+'Giả định'!$B$24</f>
        <v>14890756.302521</v>
      </c>
      <c r="F45" s="25" t="n">
        <f aca="false">E45-D45</f>
        <v>-326478843.697479</v>
      </c>
      <c r="G45" s="25" t="n">
        <f aca="false">E45-C45</f>
        <v>-182873843.697479</v>
      </c>
      <c r="H45" s="7" t="str">
        <f aca="false">IF(F45&gt;=0,A45,"")</f>
        <v/>
      </c>
      <c r="I45" s="7" t="n">
        <f aca="false">IF(F45&lt;0,A45,0)</f>
        <v>40</v>
      </c>
      <c r="J45" s="7" t="str">
        <f aca="false">IF(G45&gt;=0,A45,"")</f>
        <v/>
      </c>
      <c r="K45" s="7" t="n">
        <f aca="false">IF(G45&lt;0,A45,0)</f>
        <v>40</v>
      </c>
    </row>
    <row r="46" customFormat="false" ht="15" hidden="false" customHeight="false" outlineLevel="0" collapsed="false">
      <c r="A46" s="7" t="n">
        <f aca="false">A45+1</f>
        <v>41</v>
      </c>
      <c r="B46" s="7" t="n">
        <f aca="false">MAX('Giả định'!$B$9,ROUNDUP(A46/'Giả định'!$B$7,0)+'Giả định'!$B$8)</f>
        <v>15</v>
      </c>
      <c r="C46" s="25" t="n">
        <f aca="false">('Chi phí'!$C$76+'Chi phí'!$D$76*B46+'Chi phí'!$E$76*A46+'Giả định'!$B$15*('Chi phí'!$F$76+'Chi phí'!$G$76*B46+'Chi phí'!$H$76*A46))*(1+'Giả định'!$B$16)</f>
        <v>197801340</v>
      </c>
      <c r="D46" s="25" t="n">
        <f aca="false">('Chi phí'!$C$77+'Chi phí'!$D$77*B46+'Chi phí'!$E$77*A46+'Giả định'!$B$15*('Chi phí'!$F$77+'Chi phí'!$G$77*B46+'Chi phí'!$H$77*A46))*(1+'Giả định'!$B$16)</f>
        <v>341406340</v>
      </c>
      <c r="E46" s="25" t="n">
        <f aca="false">A46/'Giả định'!$B$19*'Giả định'!$B$20+A46*'Giả định'!$B$23+'Giả định'!$B$24</f>
        <v>15263025.210084</v>
      </c>
      <c r="F46" s="25" t="n">
        <f aca="false">E46-D46</f>
        <v>-326143314.789916</v>
      </c>
      <c r="G46" s="25" t="n">
        <f aca="false">E46-C46</f>
        <v>-182538314.789916</v>
      </c>
      <c r="H46" s="7" t="str">
        <f aca="false">IF(F46&gt;=0,A46,"")</f>
        <v/>
      </c>
      <c r="I46" s="7" t="n">
        <f aca="false">IF(F46&lt;0,A46,0)</f>
        <v>41</v>
      </c>
      <c r="J46" s="7" t="str">
        <f aca="false">IF(G46&gt;=0,A46,"")</f>
        <v/>
      </c>
      <c r="K46" s="7" t="n">
        <f aca="false">IF(G46&lt;0,A46,0)</f>
        <v>41</v>
      </c>
    </row>
    <row r="47" customFormat="false" ht="15" hidden="false" customHeight="false" outlineLevel="0" collapsed="false">
      <c r="A47" s="7" t="n">
        <f aca="false">A46+1</f>
        <v>42</v>
      </c>
      <c r="B47" s="7" t="n">
        <f aca="false">MAX('Giả định'!$B$9,ROUNDUP(A47/'Giả định'!$B$7,0)+'Giả định'!$B$8)</f>
        <v>15</v>
      </c>
      <c r="C47" s="25" t="n">
        <f aca="false">('Chi phí'!$C$76+'Chi phí'!$D$76*B47+'Chi phí'!$E$76*A47+'Giả định'!$B$15*('Chi phí'!$F$76+'Chi phí'!$G$76*B47+'Chi phí'!$H$76*A47))*(1+'Giả định'!$B$16)</f>
        <v>197838080</v>
      </c>
      <c r="D47" s="25" t="n">
        <f aca="false">('Chi phí'!$C$77+'Chi phí'!$D$77*B47+'Chi phí'!$E$77*A47+'Giả định'!$B$15*('Chi phí'!$F$77+'Chi phí'!$G$77*B47+'Chi phí'!$H$77*A47))*(1+'Giả định'!$B$16)</f>
        <v>341443080</v>
      </c>
      <c r="E47" s="25" t="n">
        <f aca="false">A47/'Giả định'!$B$19*'Giả định'!$B$20+A47*'Giả định'!$B$23+'Giả định'!$B$24</f>
        <v>15635294.1176471</v>
      </c>
      <c r="F47" s="25" t="n">
        <f aca="false">E47-D47</f>
        <v>-325807785.882353</v>
      </c>
      <c r="G47" s="25" t="n">
        <f aca="false">E47-C47</f>
        <v>-182202785.882353</v>
      </c>
      <c r="H47" s="7" t="str">
        <f aca="false">IF(F47&gt;=0,A47,"")</f>
        <v/>
      </c>
      <c r="I47" s="7" t="n">
        <f aca="false">IF(F47&lt;0,A47,0)</f>
        <v>42</v>
      </c>
      <c r="J47" s="7" t="str">
        <f aca="false">IF(G47&gt;=0,A47,"")</f>
        <v/>
      </c>
      <c r="K47" s="7" t="n">
        <f aca="false">IF(G47&lt;0,A47,0)</f>
        <v>42</v>
      </c>
    </row>
    <row r="48" customFormat="false" ht="15" hidden="false" customHeight="false" outlineLevel="0" collapsed="false">
      <c r="A48" s="7" t="n">
        <f aca="false">A47+1</f>
        <v>43</v>
      </c>
      <c r="B48" s="7" t="n">
        <f aca="false">MAX('Giả định'!$B$9,ROUNDUP(A48/'Giả định'!$B$7,0)+'Giả định'!$B$8)</f>
        <v>15</v>
      </c>
      <c r="C48" s="25" t="n">
        <f aca="false">('Chi phí'!$C$76+'Chi phí'!$D$76*B48+'Chi phí'!$E$76*A48+'Giả định'!$B$15*('Chi phí'!$F$76+'Chi phí'!$G$76*B48+'Chi phí'!$H$76*A48))*(1+'Giả định'!$B$16)</f>
        <v>197874820</v>
      </c>
      <c r="D48" s="25" t="n">
        <f aca="false">('Chi phí'!$C$77+'Chi phí'!$D$77*B48+'Chi phí'!$E$77*A48+'Giả định'!$B$15*('Chi phí'!$F$77+'Chi phí'!$G$77*B48+'Chi phí'!$H$77*A48))*(1+'Giả định'!$B$16)</f>
        <v>341479820</v>
      </c>
      <c r="E48" s="25" t="n">
        <f aca="false">A48/'Giả định'!$B$19*'Giả định'!$B$20+A48*'Giả định'!$B$23+'Giả định'!$B$24</f>
        <v>16007563.0252101</v>
      </c>
      <c r="F48" s="25" t="n">
        <f aca="false">E48-D48</f>
        <v>-325472256.97479</v>
      </c>
      <c r="G48" s="25" t="n">
        <f aca="false">E48-C48</f>
        <v>-181867256.97479</v>
      </c>
      <c r="H48" s="7" t="str">
        <f aca="false">IF(F48&gt;=0,A48,"")</f>
        <v/>
      </c>
      <c r="I48" s="7" t="n">
        <f aca="false">IF(F48&lt;0,A48,0)</f>
        <v>43</v>
      </c>
      <c r="J48" s="7" t="str">
        <f aca="false">IF(G48&gt;=0,A48,"")</f>
        <v/>
      </c>
      <c r="K48" s="7" t="n">
        <f aca="false">IF(G48&lt;0,A48,0)</f>
        <v>43</v>
      </c>
    </row>
    <row r="49" customFormat="false" ht="15" hidden="false" customHeight="false" outlineLevel="0" collapsed="false">
      <c r="A49" s="7" t="n">
        <f aca="false">A48+1</f>
        <v>44</v>
      </c>
      <c r="B49" s="7" t="n">
        <f aca="false">MAX('Giả định'!$B$9,ROUNDUP(A49/'Giả định'!$B$7,0)+'Giả định'!$B$8)</f>
        <v>15</v>
      </c>
      <c r="C49" s="25" t="n">
        <f aca="false">('Chi phí'!$C$76+'Chi phí'!$D$76*B49+'Chi phí'!$E$76*A49+'Giả định'!$B$15*('Chi phí'!$F$76+'Chi phí'!$G$76*B49+'Chi phí'!$H$76*A49))*(1+'Giả định'!$B$16)</f>
        <v>197911560</v>
      </c>
      <c r="D49" s="25" t="n">
        <f aca="false">('Chi phí'!$C$77+'Chi phí'!$D$77*B49+'Chi phí'!$E$77*A49+'Giả định'!$B$15*('Chi phí'!$F$77+'Chi phí'!$G$77*B49+'Chi phí'!$H$77*A49))*(1+'Giả định'!$B$16)</f>
        <v>341516560</v>
      </c>
      <c r="E49" s="25" t="n">
        <f aca="false">A49/'Giả định'!$B$19*'Giả định'!$B$20+A49*'Giả định'!$B$23+'Giả định'!$B$24</f>
        <v>16379831.9327731</v>
      </c>
      <c r="F49" s="25" t="n">
        <f aca="false">E49-D49</f>
        <v>-325136728.067227</v>
      </c>
      <c r="G49" s="25" t="n">
        <f aca="false">E49-C49</f>
        <v>-181531728.067227</v>
      </c>
      <c r="H49" s="7" t="str">
        <f aca="false">IF(F49&gt;=0,A49,"")</f>
        <v/>
      </c>
      <c r="I49" s="7" t="n">
        <f aca="false">IF(F49&lt;0,A49,0)</f>
        <v>44</v>
      </c>
      <c r="J49" s="7" t="str">
        <f aca="false">IF(G49&gt;=0,A49,"")</f>
        <v/>
      </c>
      <c r="K49" s="7" t="n">
        <f aca="false">IF(G49&lt;0,A49,0)</f>
        <v>44</v>
      </c>
    </row>
    <row r="50" customFormat="false" ht="15" hidden="false" customHeight="false" outlineLevel="0" collapsed="false">
      <c r="A50" s="7" t="n">
        <f aca="false">A49+1</f>
        <v>45</v>
      </c>
      <c r="B50" s="7" t="n">
        <f aca="false">MAX('Giả định'!$B$9,ROUNDUP(A50/'Giả định'!$B$7,0)+'Giả định'!$B$8)</f>
        <v>15</v>
      </c>
      <c r="C50" s="25" t="n">
        <f aca="false">('Chi phí'!$C$76+'Chi phí'!$D$76*B50+'Chi phí'!$E$76*A50+'Giả định'!$B$15*('Chi phí'!$F$76+'Chi phí'!$G$76*B50+'Chi phí'!$H$76*A50))*(1+'Giả định'!$B$16)</f>
        <v>197948300</v>
      </c>
      <c r="D50" s="25" t="n">
        <f aca="false">('Chi phí'!$C$77+'Chi phí'!$D$77*B50+'Chi phí'!$E$77*A50+'Giả định'!$B$15*('Chi phí'!$F$77+'Chi phí'!$G$77*B50+'Chi phí'!$H$77*A50))*(1+'Giả định'!$B$16)</f>
        <v>341553300</v>
      </c>
      <c r="E50" s="25" t="n">
        <f aca="false">A50/'Giả định'!$B$19*'Giả định'!$B$20+A50*'Giả định'!$B$23+'Giả định'!$B$24</f>
        <v>16752100.8403361</v>
      </c>
      <c r="F50" s="25" t="n">
        <f aca="false">E50-D50</f>
        <v>-324801199.159664</v>
      </c>
      <c r="G50" s="25" t="n">
        <f aca="false">E50-C50</f>
        <v>-181196199.159664</v>
      </c>
      <c r="H50" s="7" t="str">
        <f aca="false">IF(F50&gt;=0,A50,"")</f>
        <v/>
      </c>
      <c r="I50" s="7" t="n">
        <f aca="false">IF(F50&lt;0,A50,0)</f>
        <v>45</v>
      </c>
      <c r="J50" s="7" t="str">
        <f aca="false">IF(G50&gt;=0,A50,"")</f>
        <v/>
      </c>
      <c r="K50" s="7" t="n">
        <f aca="false">IF(G50&lt;0,A50,0)</f>
        <v>45</v>
      </c>
    </row>
    <row r="51" customFormat="false" ht="15" hidden="false" customHeight="false" outlineLevel="0" collapsed="false">
      <c r="A51" s="7" t="n">
        <f aca="false">A50+1</f>
        <v>46</v>
      </c>
      <c r="B51" s="7" t="n">
        <f aca="false">MAX('Giả định'!$B$9,ROUNDUP(A51/'Giả định'!$B$7,0)+'Giả định'!$B$8)</f>
        <v>15</v>
      </c>
      <c r="C51" s="25" t="n">
        <f aca="false">('Chi phí'!$C$76+'Chi phí'!$D$76*B51+'Chi phí'!$E$76*A51+'Giả định'!$B$15*('Chi phí'!$F$76+'Chi phí'!$G$76*B51+'Chi phí'!$H$76*A51))*(1+'Giả định'!$B$16)</f>
        <v>197985040</v>
      </c>
      <c r="D51" s="25" t="n">
        <f aca="false">('Chi phí'!$C$77+'Chi phí'!$D$77*B51+'Chi phí'!$E$77*A51+'Giả định'!$B$15*('Chi phí'!$F$77+'Chi phí'!$G$77*B51+'Chi phí'!$H$77*A51))*(1+'Giả định'!$B$16)</f>
        <v>341590040</v>
      </c>
      <c r="E51" s="25" t="n">
        <f aca="false">A51/'Giả định'!$B$19*'Giả định'!$B$20+A51*'Giả định'!$B$23+'Giả định'!$B$24</f>
        <v>17124369.7478992</v>
      </c>
      <c r="F51" s="25" t="n">
        <f aca="false">E51-D51</f>
        <v>-324465670.252101</v>
      </c>
      <c r="G51" s="25" t="n">
        <f aca="false">E51-C51</f>
        <v>-180860670.252101</v>
      </c>
      <c r="H51" s="7" t="str">
        <f aca="false">IF(F51&gt;=0,A51,"")</f>
        <v/>
      </c>
      <c r="I51" s="7" t="n">
        <f aca="false">IF(F51&lt;0,A51,0)</f>
        <v>46</v>
      </c>
      <c r="J51" s="7" t="str">
        <f aca="false">IF(G51&gt;=0,A51,"")</f>
        <v/>
      </c>
      <c r="K51" s="7" t="n">
        <f aca="false">IF(G51&lt;0,A51,0)</f>
        <v>46</v>
      </c>
    </row>
    <row r="52" customFormat="false" ht="15" hidden="false" customHeight="false" outlineLevel="0" collapsed="false">
      <c r="A52" s="7" t="n">
        <f aca="false">A51+1</f>
        <v>47</v>
      </c>
      <c r="B52" s="7" t="n">
        <f aca="false">MAX('Giả định'!$B$9,ROUNDUP(A52/'Giả định'!$B$7,0)+'Giả định'!$B$8)</f>
        <v>15</v>
      </c>
      <c r="C52" s="25" t="n">
        <f aca="false">('Chi phí'!$C$76+'Chi phí'!$D$76*B52+'Chi phí'!$E$76*A52+'Giả định'!$B$15*('Chi phí'!$F$76+'Chi phí'!$G$76*B52+'Chi phí'!$H$76*A52))*(1+'Giả định'!$B$16)</f>
        <v>198021780</v>
      </c>
      <c r="D52" s="25" t="n">
        <f aca="false">('Chi phí'!$C$77+'Chi phí'!$D$77*B52+'Chi phí'!$E$77*A52+'Giả định'!$B$15*('Chi phí'!$F$77+'Chi phí'!$G$77*B52+'Chi phí'!$H$77*A52))*(1+'Giả định'!$B$16)</f>
        <v>341626780</v>
      </c>
      <c r="E52" s="25" t="n">
        <f aca="false">A52/'Giả định'!$B$19*'Giả định'!$B$20+A52*'Giả định'!$B$23+'Giả định'!$B$24</f>
        <v>17496638.6554622</v>
      </c>
      <c r="F52" s="25" t="n">
        <f aca="false">E52-D52</f>
        <v>-324130141.344538</v>
      </c>
      <c r="G52" s="25" t="n">
        <f aca="false">E52-C52</f>
        <v>-180525141.344538</v>
      </c>
      <c r="H52" s="7" t="str">
        <f aca="false">IF(F52&gt;=0,A52,"")</f>
        <v/>
      </c>
      <c r="I52" s="7" t="n">
        <f aca="false">IF(F52&lt;0,A52,0)</f>
        <v>47</v>
      </c>
      <c r="J52" s="7" t="str">
        <f aca="false">IF(G52&gt;=0,A52,"")</f>
        <v/>
      </c>
      <c r="K52" s="7" t="n">
        <f aca="false">IF(G52&lt;0,A52,0)</f>
        <v>47</v>
      </c>
    </row>
    <row r="53" customFormat="false" ht="15" hidden="false" customHeight="false" outlineLevel="0" collapsed="false">
      <c r="A53" s="7" t="n">
        <f aca="false">A52+1</f>
        <v>48</v>
      </c>
      <c r="B53" s="7" t="n">
        <f aca="false">MAX('Giả định'!$B$9,ROUNDUP(A53/'Giả định'!$B$7,0)+'Giả định'!$B$8)</f>
        <v>15</v>
      </c>
      <c r="C53" s="25" t="n">
        <f aca="false">('Chi phí'!$C$76+'Chi phí'!$D$76*B53+'Chi phí'!$E$76*A53+'Giả định'!$B$15*('Chi phí'!$F$76+'Chi phí'!$G$76*B53+'Chi phí'!$H$76*A53))*(1+'Giả định'!$B$16)</f>
        <v>198058520</v>
      </c>
      <c r="D53" s="25" t="n">
        <f aca="false">('Chi phí'!$C$77+'Chi phí'!$D$77*B53+'Chi phí'!$E$77*A53+'Giả định'!$B$15*('Chi phí'!$F$77+'Chi phí'!$G$77*B53+'Chi phí'!$H$77*A53))*(1+'Giả định'!$B$16)</f>
        <v>341663520</v>
      </c>
      <c r="E53" s="25" t="n">
        <f aca="false">A53/'Giả định'!$B$19*'Giả định'!$B$20+A53*'Giả định'!$B$23+'Giả định'!$B$24</f>
        <v>17868907.5630252</v>
      </c>
      <c r="F53" s="25" t="n">
        <f aca="false">E53-D53</f>
        <v>-323794612.436975</v>
      </c>
      <c r="G53" s="25" t="n">
        <f aca="false">E53-C53</f>
        <v>-180189612.436975</v>
      </c>
      <c r="H53" s="7" t="str">
        <f aca="false">IF(F53&gt;=0,A53,"")</f>
        <v/>
      </c>
      <c r="I53" s="7" t="n">
        <f aca="false">IF(F53&lt;0,A53,0)</f>
        <v>48</v>
      </c>
      <c r="J53" s="7" t="str">
        <f aca="false">IF(G53&gt;=0,A53,"")</f>
        <v/>
      </c>
      <c r="K53" s="7" t="n">
        <f aca="false">IF(G53&lt;0,A53,0)</f>
        <v>48</v>
      </c>
    </row>
    <row r="54" customFormat="false" ht="15" hidden="false" customHeight="false" outlineLevel="0" collapsed="false">
      <c r="A54" s="7" t="n">
        <f aca="false">A53+1</f>
        <v>49</v>
      </c>
      <c r="B54" s="7" t="n">
        <f aca="false">MAX('Giả định'!$B$9,ROUNDUP(A54/'Giả định'!$B$7,0)+'Giả định'!$B$8)</f>
        <v>15</v>
      </c>
      <c r="C54" s="25" t="n">
        <f aca="false">('Chi phí'!$C$76+'Chi phí'!$D$76*B54+'Chi phí'!$E$76*A54+'Giả định'!$B$15*('Chi phí'!$F$76+'Chi phí'!$G$76*B54+'Chi phí'!$H$76*A54))*(1+'Giả định'!$B$16)</f>
        <v>198095260</v>
      </c>
      <c r="D54" s="25" t="n">
        <f aca="false">('Chi phí'!$C$77+'Chi phí'!$D$77*B54+'Chi phí'!$E$77*A54+'Giả định'!$B$15*('Chi phí'!$F$77+'Chi phí'!$G$77*B54+'Chi phí'!$H$77*A54))*(1+'Giả định'!$B$16)</f>
        <v>341700260</v>
      </c>
      <c r="E54" s="25" t="n">
        <f aca="false">A54/'Giả định'!$B$19*'Giả định'!$B$20+A54*'Giả định'!$B$23+'Giả định'!$B$24</f>
        <v>18241176.4705882</v>
      </c>
      <c r="F54" s="25" t="n">
        <f aca="false">E54-D54</f>
        <v>-323459083.529412</v>
      </c>
      <c r="G54" s="25" t="n">
        <f aca="false">E54-C54</f>
        <v>-179854083.529412</v>
      </c>
      <c r="H54" s="7" t="str">
        <f aca="false">IF(F54&gt;=0,A54,"")</f>
        <v/>
      </c>
      <c r="I54" s="7" t="n">
        <f aca="false">IF(F54&lt;0,A54,0)</f>
        <v>49</v>
      </c>
      <c r="J54" s="7" t="str">
        <f aca="false">IF(G54&gt;=0,A54,"")</f>
        <v/>
      </c>
      <c r="K54" s="7" t="n">
        <f aca="false">IF(G54&lt;0,A54,0)</f>
        <v>49</v>
      </c>
    </row>
    <row r="55" customFormat="false" ht="15" hidden="false" customHeight="false" outlineLevel="0" collapsed="false">
      <c r="A55" s="7" t="n">
        <f aca="false">A54+1</f>
        <v>50</v>
      </c>
      <c r="B55" s="7" t="n">
        <f aca="false">MAX('Giả định'!$B$9,ROUNDUP(A55/'Giả định'!$B$7,0)+'Giả định'!$B$8)</f>
        <v>15</v>
      </c>
      <c r="C55" s="25" t="n">
        <f aca="false">('Chi phí'!$C$76+'Chi phí'!$D$76*B55+'Chi phí'!$E$76*A55+'Giả định'!$B$15*('Chi phí'!$F$76+'Chi phí'!$G$76*B55+'Chi phí'!$H$76*A55))*(1+'Giả định'!$B$16)</f>
        <v>198132000</v>
      </c>
      <c r="D55" s="25" t="n">
        <f aca="false">('Chi phí'!$C$77+'Chi phí'!$D$77*B55+'Chi phí'!$E$77*A55+'Giả định'!$B$15*('Chi phí'!$F$77+'Chi phí'!$G$77*B55+'Chi phí'!$H$77*A55))*(1+'Giả định'!$B$16)</f>
        <v>341737000</v>
      </c>
      <c r="E55" s="25" t="n">
        <f aca="false">A55/'Giả định'!$B$19*'Giả định'!$B$20+A55*'Giả định'!$B$23+'Giả định'!$B$24</f>
        <v>18613445.3781513</v>
      </c>
      <c r="F55" s="25" t="n">
        <f aca="false">E55-D55</f>
        <v>-323123554.621849</v>
      </c>
      <c r="G55" s="25" t="n">
        <f aca="false">E55-C55</f>
        <v>-179518554.621849</v>
      </c>
      <c r="H55" s="7" t="str">
        <f aca="false">IF(F55&gt;=0,A55,"")</f>
        <v/>
      </c>
      <c r="I55" s="7" t="n">
        <f aca="false">IF(F55&lt;0,A55,0)</f>
        <v>50</v>
      </c>
      <c r="J55" s="7" t="str">
        <f aca="false">IF(G55&gt;=0,A55,"")</f>
        <v/>
      </c>
      <c r="K55" s="7" t="n">
        <f aca="false">IF(G55&lt;0,A55,0)</f>
        <v>50</v>
      </c>
    </row>
    <row r="56" customFormat="false" ht="15" hidden="false" customHeight="false" outlineLevel="0" collapsed="false">
      <c r="A56" s="7" t="n">
        <f aca="false">A55+1</f>
        <v>51</v>
      </c>
      <c r="B56" s="7" t="n">
        <f aca="false">MAX('Giả định'!$B$9,ROUNDUP(A56/'Giả định'!$B$7,0)+'Giả định'!$B$8)</f>
        <v>15</v>
      </c>
      <c r="C56" s="25" t="n">
        <f aca="false">('Chi phí'!$C$76+'Chi phí'!$D$76*B56+'Chi phí'!$E$76*A56+'Giả định'!$B$15*('Chi phí'!$F$76+'Chi phí'!$G$76*B56+'Chi phí'!$H$76*A56))*(1+'Giả định'!$B$16)</f>
        <v>198168740</v>
      </c>
      <c r="D56" s="25" t="n">
        <f aca="false">('Chi phí'!$C$77+'Chi phí'!$D$77*B56+'Chi phí'!$E$77*A56+'Giả định'!$B$15*('Chi phí'!$F$77+'Chi phí'!$G$77*B56+'Chi phí'!$H$77*A56))*(1+'Giả định'!$B$16)</f>
        <v>341773740</v>
      </c>
      <c r="E56" s="25" t="n">
        <f aca="false">A56/'Giả định'!$B$19*'Giả định'!$B$20+A56*'Giả định'!$B$23+'Giả định'!$B$24</f>
        <v>18985714.2857143</v>
      </c>
      <c r="F56" s="25" t="n">
        <f aca="false">E56-D56</f>
        <v>-322788025.714286</v>
      </c>
      <c r="G56" s="25" t="n">
        <f aca="false">E56-C56</f>
        <v>-179183025.714286</v>
      </c>
      <c r="H56" s="7" t="str">
        <f aca="false">IF(F56&gt;=0,A56,"")</f>
        <v/>
      </c>
      <c r="I56" s="7" t="n">
        <f aca="false">IF(F56&lt;0,A56,0)</f>
        <v>51</v>
      </c>
      <c r="J56" s="7" t="str">
        <f aca="false">IF(G56&gt;=0,A56,"")</f>
        <v/>
      </c>
      <c r="K56" s="7" t="n">
        <f aca="false">IF(G56&lt;0,A56,0)</f>
        <v>51</v>
      </c>
    </row>
    <row r="57" customFormat="false" ht="15" hidden="false" customHeight="false" outlineLevel="0" collapsed="false">
      <c r="A57" s="7" t="n">
        <f aca="false">A56+1</f>
        <v>52</v>
      </c>
      <c r="B57" s="7" t="n">
        <f aca="false">MAX('Giả định'!$B$9,ROUNDUP(A57/'Giả định'!$B$7,0)+'Giả định'!$B$8)</f>
        <v>15</v>
      </c>
      <c r="C57" s="25" t="n">
        <f aca="false">('Chi phí'!$C$76+'Chi phí'!$D$76*B57+'Chi phí'!$E$76*A57+'Giả định'!$B$15*('Chi phí'!$F$76+'Chi phí'!$G$76*B57+'Chi phí'!$H$76*A57))*(1+'Giả định'!$B$16)</f>
        <v>198205480</v>
      </c>
      <c r="D57" s="25" t="n">
        <f aca="false">('Chi phí'!$C$77+'Chi phí'!$D$77*B57+'Chi phí'!$E$77*A57+'Giả định'!$B$15*('Chi phí'!$F$77+'Chi phí'!$G$77*B57+'Chi phí'!$H$77*A57))*(1+'Giả định'!$B$16)</f>
        <v>341810480</v>
      </c>
      <c r="E57" s="25" t="n">
        <f aca="false">A57/'Giả định'!$B$19*'Giả định'!$B$20+A57*'Giả định'!$B$23+'Giả định'!$B$24</f>
        <v>19357983.1932773</v>
      </c>
      <c r="F57" s="25" t="n">
        <f aca="false">E57-D57</f>
        <v>-322452496.806723</v>
      </c>
      <c r="G57" s="25" t="n">
        <f aca="false">E57-C57</f>
        <v>-178847496.806723</v>
      </c>
      <c r="H57" s="7" t="str">
        <f aca="false">IF(F57&gt;=0,A57,"")</f>
        <v/>
      </c>
      <c r="I57" s="7" t="n">
        <f aca="false">IF(F57&lt;0,A57,0)</f>
        <v>52</v>
      </c>
      <c r="J57" s="7" t="str">
        <f aca="false">IF(G57&gt;=0,A57,"")</f>
        <v/>
      </c>
      <c r="K57" s="7" t="n">
        <f aca="false">IF(G57&lt;0,A57,0)</f>
        <v>52</v>
      </c>
    </row>
    <row r="58" customFormat="false" ht="15" hidden="false" customHeight="false" outlineLevel="0" collapsed="false">
      <c r="A58" s="7" t="n">
        <f aca="false">A57+1</f>
        <v>53</v>
      </c>
      <c r="B58" s="7" t="n">
        <f aca="false">MAX('Giả định'!$B$9,ROUNDUP(A58/'Giả định'!$B$7,0)+'Giả định'!$B$8)</f>
        <v>15</v>
      </c>
      <c r="C58" s="25" t="n">
        <f aca="false">('Chi phí'!$C$76+'Chi phí'!$D$76*B58+'Chi phí'!$E$76*A58+'Giả định'!$B$15*('Chi phí'!$F$76+'Chi phí'!$G$76*B58+'Chi phí'!$H$76*A58))*(1+'Giả định'!$B$16)</f>
        <v>198242220</v>
      </c>
      <c r="D58" s="25" t="n">
        <f aca="false">('Chi phí'!$C$77+'Chi phí'!$D$77*B58+'Chi phí'!$E$77*A58+'Giả định'!$B$15*('Chi phí'!$F$77+'Chi phí'!$G$77*B58+'Chi phí'!$H$77*A58))*(1+'Giả định'!$B$16)</f>
        <v>341847220</v>
      </c>
      <c r="E58" s="25" t="n">
        <f aca="false">A58/'Giả định'!$B$19*'Giả định'!$B$20+A58*'Giả định'!$B$23+'Giả định'!$B$24</f>
        <v>19730252.1008403</v>
      </c>
      <c r="F58" s="25" t="n">
        <f aca="false">E58-D58</f>
        <v>-322116967.89916</v>
      </c>
      <c r="G58" s="25" t="n">
        <f aca="false">E58-C58</f>
        <v>-178511967.89916</v>
      </c>
      <c r="H58" s="7" t="str">
        <f aca="false">IF(F58&gt;=0,A58,"")</f>
        <v/>
      </c>
      <c r="I58" s="7" t="n">
        <f aca="false">IF(F58&lt;0,A58,0)</f>
        <v>53</v>
      </c>
      <c r="J58" s="7" t="str">
        <f aca="false">IF(G58&gt;=0,A58,"")</f>
        <v/>
      </c>
      <c r="K58" s="7" t="n">
        <f aca="false">IF(G58&lt;0,A58,0)</f>
        <v>53</v>
      </c>
    </row>
    <row r="59" customFormat="false" ht="15" hidden="false" customHeight="false" outlineLevel="0" collapsed="false">
      <c r="A59" s="7" t="n">
        <f aca="false">A58+1</f>
        <v>54</v>
      </c>
      <c r="B59" s="7" t="n">
        <f aca="false">MAX('Giả định'!$B$9,ROUNDUP(A59/'Giả định'!$B$7,0)+'Giả định'!$B$8)</f>
        <v>15</v>
      </c>
      <c r="C59" s="25" t="n">
        <f aca="false">('Chi phí'!$C$76+'Chi phí'!$D$76*B59+'Chi phí'!$E$76*A59+'Giả định'!$B$15*('Chi phí'!$F$76+'Chi phí'!$G$76*B59+'Chi phí'!$H$76*A59))*(1+'Giả định'!$B$16)</f>
        <v>198278960</v>
      </c>
      <c r="D59" s="25" t="n">
        <f aca="false">('Chi phí'!$C$77+'Chi phí'!$D$77*B59+'Chi phí'!$E$77*A59+'Giả định'!$B$15*('Chi phí'!$F$77+'Chi phí'!$G$77*B59+'Chi phí'!$H$77*A59))*(1+'Giả định'!$B$16)</f>
        <v>341883960</v>
      </c>
      <c r="E59" s="25" t="n">
        <f aca="false">A59/'Giả định'!$B$19*'Giả định'!$B$20+A59*'Giả định'!$B$23+'Giả định'!$B$24</f>
        <v>20102521.0084034</v>
      </c>
      <c r="F59" s="25" t="n">
        <f aca="false">E59-D59</f>
        <v>-321781438.991597</v>
      </c>
      <c r="G59" s="25" t="n">
        <f aca="false">E59-C59</f>
        <v>-178176438.991597</v>
      </c>
      <c r="H59" s="7" t="str">
        <f aca="false">IF(F59&gt;=0,A59,"")</f>
        <v/>
      </c>
      <c r="I59" s="7" t="n">
        <f aca="false">IF(F59&lt;0,A59,0)</f>
        <v>54</v>
      </c>
      <c r="J59" s="7" t="str">
        <f aca="false">IF(G59&gt;=0,A59,"")</f>
        <v/>
      </c>
      <c r="K59" s="7" t="n">
        <f aca="false">IF(G59&lt;0,A59,0)</f>
        <v>54</v>
      </c>
    </row>
    <row r="60" customFormat="false" ht="15" hidden="false" customHeight="false" outlineLevel="0" collapsed="false">
      <c r="A60" s="7" t="n">
        <f aca="false">A59+1</f>
        <v>55</v>
      </c>
      <c r="B60" s="7" t="n">
        <f aca="false">MAX('Giả định'!$B$9,ROUNDUP(A60/'Giả định'!$B$7,0)+'Giả định'!$B$8)</f>
        <v>15</v>
      </c>
      <c r="C60" s="25" t="n">
        <f aca="false">('Chi phí'!$C$76+'Chi phí'!$D$76*B60+'Chi phí'!$E$76*A60+'Giả định'!$B$15*('Chi phí'!$F$76+'Chi phí'!$G$76*B60+'Chi phí'!$H$76*A60))*(1+'Giả định'!$B$16)</f>
        <v>198315700</v>
      </c>
      <c r="D60" s="25" t="n">
        <f aca="false">('Chi phí'!$C$77+'Chi phí'!$D$77*B60+'Chi phí'!$E$77*A60+'Giả định'!$B$15*('Chi phí'!$F$77+'Chi phí'!$G$77*B60+'Chi phí'!$H$77*A60))*(1+'Giả định'!$B$16)</f>
        <v>341920700</v>
      </c>
      <c r="E60" s="25" t="n">
        <f aca="false">A60/'Giả định'!$B$19*'Giả định'!$B$20+A60*'Giả định'!$B$23+'Giả định'!$B$24</f>
        <v>20474789.9159664</v>
      </c>
      <c r="F60" s="25" t="n">
        <f aca="false">E60-D60</f>
        <v>-321445910.084034</v>
      </c>
      <c r="G60" s="25" t="n">
        <f aca="false">E60-C60</f>
        <v>-177840910.084034</v>
      </c>
      <c r="H60" s="7" t="str">
        <f aca="false">IF(F60&gt;=0,A60,"")</f>
        <v/>
      </c>
      <c r="I60" s="7" t="n">
        <f aca="false">IF(F60&lt;0,A60,0)</f>
        <v>55</v>
      </c>
      <c r="J60" s="7" t="str">
        <f aca="false">IF(G60&gt;=0,A60,"")</f>
        <v/>
      </c>
      <c r="K60" s="7" t="n">
        <f aca="false">IF(G60&lt;0,A60,0)</f>
        <v>55</v>
      </c>
    </row>
    <row r="61" customFormat="false" ht="15" hidden="false" customHeight="false" outlineLevel="0" collapsed="false">
      <c r="A61" s="7" t="n">
        <f aca="false">A60+1</f>
        <v>56</v>
      </c>
      <c r="B61" s="7" t="n">
        <f aca="false">MAX('Giả định'!$B$9,ROUNDUP(A61/'Giả định'!$B$7,0)+'Giả định'!$B$8)</f>
        <v>15</v>
      </c>
      <c r="C61" s="25" t="n">
        <f aca="false">('Chi phí'!$C$76+'Chi phí'!$D$76*B61+'Chi phí'!$E$76*A61+'Giả định'!$B$15*('Chi phí'!$F$76+'Chi phí'!$G$76*B61+'Chi phí'!$H$76*A61))*(1+'Giả định'!$B$16)</f>
        <v>198352440</v>
      </c>
      <c r="D61" s="25" t="n">
        <f aca="false">('Chi phí'!$C$77+'Chi phí'!$D$77*B61+'Chi phí'!$E$77*A61+'Giả định'!$B$15*('Chi phí'!$F$77+'Chi phí'!$G$77*B61+'Chi phí'!$H$77*A61))*(1+'Giả định'!$B$16)</f>
        <v>341957440</v>
      </c>
      <c r="E61" s="25" t="n">
        <f aca="false">A61/'Giả định'!$B$19*'Giả định'!$B$20+A61*'Giả định'!$B$23+'Giả định'!$B$24</f>
        <v>20847058.8235294</v>
      </c>
      <c r="F61" s="25" t="n">
        <f aca="false">E61-D61</f>
        <v>-321110381.176471</v>
      </c>
      <c r="G61" s="25" t="n">
        <f aca="false">E61-C61</f>
        <v>-177505381.176471</v>
      </c>
      <c r="H61" s="7" t="str">
        <f aca="false">IF(F61&gt;=0,A61,"")</f>
        <v/>
      </c>
      <c r="I61" s="7" t="n">
        <f aca="false">IF(F61&lt;0,A61,0)</f>
        <v>56</v>
      </c>
      <c r="J61" s="7" t="str">
        <f aca="false">IF(G61&gt;=0,A61,"")</f>
        <v/>
      </c>
      <c r="K61" s="7" t="n">
        <f aca="false">IF(G61&lt;0,A61,0)</f>
        <v>56</v>
      </c>
    </row>
    <row r="62" customFormat="false" ht="15" hidden="false" customHeight="false" outlineLevel="0" collapsed="false">
      <c r="A62" s="7" t="n">
        <f aca="false">A61+1</f>
        <v>57</v>
      </c>
      <c r="B62" s="7" t="n">
        <f aca="false">MAX('Giả định'!$B$9,ROUNDUP(A62/'Giả định'!$B$7,0)+'Giả định'!$B$8)</f>
        <v>15</v>
      </c>
      <c r="C62" s="25" t="n">
        <f aca="false">('Chi phí'!$C$76+'Chi phí'!$D$76*B62+'Chi phí'!$E$76*A62+'Giả định'!$B$15*('Chi phí'!$F$76+'Chi phí'!$G$76*B62+'Chi phí'!$H$76*A62))*(1+'Giả định'!$B$16)</f>
        <v>198389180</v>
      </c>
      <c r="D62" s="25" t="n">
        <f aca="false">('Chi phí'!$C$77+'Chi phí'!$D$77*B62+'Chi phí'!$E$77*A62+'Giả định'!$B$15*('Chi phí'!$F$77+'Chi phí'!$G$77*B62+'Chi phí'!$H$77*A62))*(1+'Giả định'!$B$16)</f>
        <v>341994180</v>
      </c>
      <c r="E62" s="25" t="n">
        <f aca="false">A62/'Giả định'!$B$19*'Giả định'!$B$20+A62*'Giả định'!$B$23+'Giả định'!$B$24</f>
        <v>21219327.7310924</v>
      </c>
      <c r="F62" s="25" t="n">
        <f aca="false">E62-D62</f>
        <v>-320774852.268908</v>
      </c>
      <c r="G62" s="25" t="n">
        <f aca="false">E62-C62</f>
        <v>-177169852.268908</v>
      </c>
      <c r="H62" s="7" t="str">
        <f aca="false">IF(F62&gt;=0,A62,"")</f>
        <v/>
      </c>
      <c r="I62" s="7" t="n">
        <f aca="false">IF(F62&lt;0,A62,0)</f>
        <v>57</v>
      </c>
      <c r="J62" s="7" t="str">
        <f aca="false">IF(G62&gt;=0,A62,"")</f>
        <v/>
      </c>
      <c r="K62" s="7" t="n">
        <f aca="false">IF(G62&lt;0,A62,0)</f>
        <v>57</v>
      </c>
    </row>
    <row r="63" customFormat="false" ht="15" hidden="false" customHeight="false" outlineLevel="0" collapsed="false">
      <c r="A63" s="7" t="n">
        <f aca="false">A62+1</f>
        <v>58</v>
      </c>
      <c r="B63" s="7" t="n">
        <f aca="false">MAX('Giả định'!$B$9,ROUNDUP(A63/'Giả định'!$B$7,0)+'Giả định'!$B$8)</f>
        <v>15</v>
      </c>
      <c r="C63" s="25" t="n">
        <f aca="false">('Chi phí'!$C$76+'Chi phí'!$D$76*B63+'Chi phí'!$E$76*A63+'Giả định'!$B$15*('Chi phí'!$F$76+'Chi phí'!$G$76*B63+'Chi phí'!$H$76*A63))*(1+'Giả định'!$B$16)</f>
        <v>198425920</v>
      </c>
      <c r="D63" s="25" t="n">
        <f aca="false">('Chi phí'!$C$77+'Chi phí'!$D$77*B63+'Chi phí'!$E$77*A63+'Giả định'!$B$15*('Chi phí'!$F$77+'Chi phí'!$G$77*B63+'Chi phí'!$H$77*A63))*(1+'Giả định'!$B$16)</f>
        <v>342030920</v>
      </c>
      <c r="E63" s="25" t="n">
        <f aca="false">A63/'Giả định'!$B$19*'Giả định'!$B$20+A63*'Giả định'!$B$23+'Giả định'!$B$24</f>
        <v>21591596.6386555</v>
      </c>
      <c r="F63" s="25" t="n">
        <f aca="false">E63-D63</f>
        <v>-320439323.361345</v>
      </c>
      <c r="G63" s="25" t="n">
        <f aca="false">E63-C63</f>
        <v>-176834323.361345</v>
      </c>
      <c r="H63" s="7" t="str">
        <f aca="false">IF(F63&gt;=0,A63,"")</f>
        <v/>
      </c>
      <c r="I63" s="7" t="n">
        <f aca="false">IF(F63&lt;0,A63,0)</f>
        <v>58</v>
      </c>
      <c r="J63" s="7" t="str">
        <f aca="false">IF(G63&gt;=0,A63,"")</f>
        <v/>
      </c>
      <c r="K63" s="7" t="n">
        <f aca="false">IF(G63&lt;0,A63,0)</f>
        <v>58</v>
      </c>
    </row>
    <row r="64" customFormat="false" ht="15" hidden="false" customHeight="false" outlineLevel="0" collapsed="false">
      <c r="A64" s="7" t="n">
        <f aca="false">A63+1</f>
        <v>59</v>
      </c>
      <c r="B64" s="7" t="n">
        <f aca="false">MAX('Giả định'!$B$9,ROUNDUP(A64/'Giả định'!$B$7,0)+'Giả định'!$B$8)</f>
        <v>15</v>
      </c>
      <c r="C64" s="25" t="n">
        <f aca="false">('Chi phí'!$C$76+'Chi phí'!$D$76*B64+'Chi phí'!$E$76*A64+'Giả định'!$B$15*('Chi phí'!$F$76+'Chi phí'!$G$76*B64+'Chi phí'!$H$76*A64))*(1+'Giả định'!$B$16)</f>
        <v>198462660</v>
      </c>
      <c r="D64" s="25" t="n">
        <f aca="false">('Chi phí'!$C$77+'Chi phí'!$D$77*B64+'Chi phí'!$E$77*A64+'Giả định'!$B$15*('Chi phí'!$F$77+'Chi phí'!$G$77*B64+'Chi phí'!$H$77*A64))*(1+'Giả định'!$B$16)</f>
        <v>342067660</v>
      </c>
      <c r="E64" s="25" t="n">
        <f aca="false">A64/'Giả định'!$B$19*'Giả định'!$B$20+A64*'Giả định'!$B$23+'Giả định'!$B$24</f>
        <v>21963865.5462185</v>
      </c>
      <c r="F64" s="25" t="n">
        <f aca="false">E64-D64</f>
        <v>-320103794.453782</v>
      </c>
      <c r="G64" s="25" t="n">
        <f aca="false">E64-C64</f>
        <v>-176498794.453782</v>
      </c>
      <c r="H64" s="7" t="str">
        <f aca="false">IF(F64&gt;=0,A64,"")</f>
        <v/>
      </c>
      <c r="I64" s="7" t="n">
        <f aca="false">IF(F64&lt;0,A64,0)</f>
        <v>59</v>
      </c>
      <c r="J64" s="7" t="str">
        <f aca="false">IF(G64&gt;=0,A64,"")</f>
        <v/>
      </c>
      <c r="K64" s="7" t="n">
        <f aca="false">IF(G64&lt;0,A64,0)</f>
        <v>59</v>
      </c>
    </row>
    <row r="65" customFormat="false" ht="15" hidden="false" customHeight="false" outlineLevel="0" collapsed="false">
      <c r="A65" s="7" t="n">
        <f aca="false">A64+1</f>
        <v>60</v>
      </c>
      <c r="B65" s="7" t="n">
        <f aca="false">MAX('Giả định'!$B$9,ROUNDUP(A65/'Giả định'!$B$7,0)+'Giả định'!$B$8)</f>
        <v>15</v>
      </c>
      <c r="C65" s="25" t="n">
        <f aca="false">('Chi phí'!$C$76+'Chi phí'!$D$76*B65+'Chi phí'!$E$76*A65+'Giả định'!$B$15*('Chi phí'!$F$76+'Chi phí'!$G$76*B65+'Chi phí'!$H$76*A65))*(1+'Giả định'!$B$16)</f>
        <v>198499400</v>
      </c>
      <c r="D65" s="25" t="n">
        <f aca="false">('Chi phí'!$C$77+'Chi phí'!$D$77*B65+'Chi phí'!$E$77*A65+'Giả định'!$B$15*('Chi phí'!$F$77+'Chi phí'!$G$77*B65+'Chi phí'!$H$77*A65))*(1+'Giả định'!$B$16)</f>
        <v>342104400</v>
      </c>
      <c r="E65" s="25" t="n">
        <f aca="false">A65/'Giả định'!$B$19*'Giả định'!$B$20+A65*'Giả định'!$B$23+'Giả định'!$B$24</f>
        <v>22336134.4537815</v>
      </c>
      <c r="F65" s="25" t="n">
        <f aca="false">E65-D65</f>
        <v>-319768265.546219</v>
      </c>
      <c r="G65" s="25" t="n">
        <f aca="false">E65-C65</f>
        <v>-176163265.546219</v>
      </c>
      <c r="H65" s="7" t="str">
        <f aca="false">IF(F65&gt;=0,A65,"")</f>
        <v/>
      </c>
      <c r="I65" s="7" t="n">
        <f aca="false">IF(F65&lt;0,A65,0)</f>
        <v>60</v>
      </c>
      <c r="J65" s="7" t="str">
        <f aca="false">IF(G65&gt;=0,A65,"")</f>
        <v/>
      </c>
      <c r="K65" s="7" t="n">
        <f aca="false">IF(G65&lt;0,A65,0)</f>
        <v>60</v>
      </c>
    </row>
    <row r="66" customFormat="false" ht="15" hidden="false" customHeight="false" outlineLevel="0" collapsed="false">
      <c r="A66" s="7" t="n">
        <f aca="false">A65+1</f>
        <v>61</v>
      </c>
      <c r="B66" s="7" t="n">
        <f aca="false">MAX('Giả định'!$B$9,ROUNDUP(A66/'Giả định'!$B$7,0)+'Giả định'!$B$8)</f>
        <v>15</v>
      </c>
      <c r="C66" s="25" t="n">
        <f aca="false">('Chi phí'!$C$76+'Chi phí'!$D$76*B66+'Chi phí'!$E$76*A66+'Giả định'!$B$15*('Chi phí'!$F$76+'Chi phí'!$G$76*B66+'Chi phí'!$H$76*A66))*(1+'Giả định'!$B$16)</f>
        <v>198536140</v>
      </c>
      <c r="D66" s="25" t="n">
        <f aca="false">('Chi phí'!$C$77+'Chi phí'!$D$77*B66+'Chi phí'!$E$77*A66+'Giả định'!$B$15*('Chi phí'!$F$77+'Chi phí'!$G$77*B66+'Chi phí'!$H$77*A66))*(1+'Giả định'!$B$16)</f>
        <v>342141140</v>
      </c>
      <c r="E66" s="25" t="n">
        <f aca="false">A66/'Giả định'!$B$19*'Giả định'!$B$20+A66*'Giả định'!$B$23+'Giả định'!$B$24</f>
        <v>22708403.3613445</v>
      </c>
      <c r="F66" s="25" t="n">
        <f aca="false">E66-D66</f>
        <v>-319432736.638656</v>
      </c>
      <c r="G66" s="25" t="n">
        <f aca="false">E66-C66</f>
        <v>-175827736.638655</v>
      </c>
      <c r="H66" s="7" t="str">
        <f aca="false">IF(F66&gt;=0,A66,"")</f>
        <v/>
      </c>
      <c r="I66" s="7" t="n">
        <f aca="false">IF(F66&lt;0,A66,0)</f>
        <v>61</v>
      </c>
      <c r="J66" s="7" t="str">
        <f aca="false">IF(G66&gt;=0,A66,"")</f>
        <v/>
      </c>
      <c r="K66" s="7" t="n">
        <f aca="false">IF(G66&lt;0,A66,0)</f>
        <v>61</v>
      </c>
    </row>
    <row r="67" customFormat="false" ht="15" hidden="false" customHeight="false" outlineLevel="0" collapsed="false">
      <c r="A67" s="7" t="n">
        <f aca="false">A66+1</f>
        <v>62</v>
      </c>
      <c r="B67" s="7" t="n">
        <f aca="false">MAX('Giả định'!$B$9,ROUNDUP(A67/'Giả định'!$B$7,0)+'Giả định'!$B$8)</f>
        <v>15</v>
      </c>
      <c r="C67" s="25" t="n">
        <f aca="false">('Chi phí'!$C$76+'Chi phí'!$D$76*B67+'Chi phí'!$E$76*A67+'Giả định'!$B$15*('Chi phí'!$F$76+'Chi phí'!$G$76*B67+'Chi phí'!$H$76*A67))*(1+'Giả định'!$B$16)</f>
        <v>198572880</v>
      </c>
      <c r="D67" s="25" t="n">
        <f aca="false">('Chi phí'!$C$77+'Chi phí'!$D$77*B67+'Chi phí'!$E$77*A67+'Giả định'!$B$15*('Chi phí'!$F$77+'Chi phí'!$G$77*B67+'Chi phí'!$H$77*A67))*(1+'Giả định'!$B$16)</f>
        <v>342177880</v>
      </c>
      <c r="E67" s="25" t="n">
        <f aca="false">A67/'Giả định'!$B$19*'Giả định'!$B$20+A67*'Giả định'!$B$23+'Giả định'!$B$24</f>
        <v>23080672.2689076</v>
      </c>
      <c r="F67" s="25" t="n">
        <f aca="false">E67-D67</f>
        <v>-319097207.731092</v>
      </c>
      <c r="G67" s="25" t="n">
        <f aca="false">E67-C67</f>
        <v>-175492207.731092</v>
      </c>
      <c r="H67" s="7" t="str">
        <f aca="false">IF(F67&gt;=0,A67,"")</f>
        <v/>
      </c>
      <c r="I67" s="7" t="n">
        <f aca="false">IF(F67&lt;0,A67,0)</f>
        <v>62</v>
      </c>
      <c r="J67" s="7" t="str">
        <f aca="false">IF(G67&gt;=0,A67,"")</f>
        <v/>
      </c>
      <c r="K67" s="7" t="n">
        <f aca="false">IF(G67&lt;0,A67,0)</f>
        <v>62</v>
      </c>
    </row>
    <row r="68" customFormat="false" ht="15" hidden="false" customHeight="false" outlineLevel="0" collapsed="false">
      <c r="A68" s="7" t="n">
        <f aca="false">A67+1</f>
        <v>63</v>
      </c>
      <c r="B68" s="7" t="n">
        <f aca="false">MAX('Giả định'!$B$9,ROUNDUP(A68/'Giả định'!$B$7,0)+'Giả định'!$B$8)</f>
        <v>15</v>
      </c>
      <c r="C68" s="25" t="n">
        <f aca="false">('Chi phí'!$C$76+'Chi phí'!$D$76*B68+'Chi phí'!$E$76*A68+'Giả định'!$B$15*('Chi phí'!$F$76+'Chi phí'!$G$76*B68+'Chi phí'!$H$76*A68))*(1+'Giả định'!$B$16)</f>
        <v>198609620</v>
      </c>
      <c r="D68" s="25" t="n">
        <f aca="false">('Chi phí'!$C$77+'Chi phí'!$D$77*B68+'Chi phí'!$E$77*A68+'Giả định'!$B$15*('Chi phí'!$F$77+'Chi phí'!$G$77*B68+'Chi phí'!$H$77*A68))*(1+'Giả định'!$B$16)</f>
        <v>342214620</v>
      </c>
      <c r="E68" s="25" t="n">
        <f aca="false">A68/'Giả định'!$B$19*'Giả định'!$B$20+A68*'Giả định'!$B$23+'Giả định'!$B$24</f>
        <v>23452941.1764706</v>
      </c>
      <c r="F68" s="25" t="n">
        <f aca="false">E68-D68</f>
        <v>-318761678.823529</v>
      </c>
      <c r="G68" s="25" t="n">
        <f aca="false">E68-C68</f>
        <v>-175156678.823529</v>
      </c>
      <c r="H68" s="7" t="str">
        <f aca="false">IF(F68&gt;=0,A68,"")</f>
        <v/>
      </c>
      <c r="I68" s="7" t="n">
        <f aca="false">IF(F68&lt;0,A68,0)</f>
        <v>63</v>
      </c>
      <c r="J68" s="7" t="str">
        <f aca="false">IF(G68&gt;=0,A68,"")</f>
        <v/>
      </c>
      <c r="K68" s="7" t="n">
        <f aca="false">IF(G68&lt;0,A68,0)</f>
        <v>63</v>
      </c>
    </row>
    <row r="69" customFormat="false" ht="15" hidden="false" customHeight="false" outlineLevel="0" collapsed="false">
      <c r="A69" s="7" t="n">
        <f aca="false">A68+1</f>
        <v>64</v>
      </c>
      <c r="B69" s="7" t="n">
        <f aca="false">MAX('Giả định'!$B$9,ROUNDUP(A69/'Giả định'!$B$7,0)+'Giả định'!$B$8)</f>
        <v>15</v>
      </c>
      <c r="C69" s="25" t="n">
        <f aca="false">('Chi phí'!$C$76+'Chi phí'!$D$76*B69+'Chi phí'!$E$76*A69+'Giả định'!$B$15*('Chi phí'!$F$76+'Chi phí'!$G$76*B69+'Chi phí'!$H$76*A69))*(1+'Giả định'!$B$16)</f>
        <v>198646360</v>
      </c>
      <c r="D69" s="25" t="n">
        <f aca="false">('Chi phí'!$C$77+'Chi phí'!$D$77*B69+'Chi phí'!$E$77*A69+'Giả định'!$B$15*('Chi phí'!$F$77+'Chi phí'!$G$77*B69+'Chi phí'!$H$77*A69))*(1+'Giả định'!$B$16)</f>
        <v>342251360</v>
      </c>
      <c r="E69" s="25" t="n">
        <f aca="false">A69/'Giả định'!$B$19*'Giả định'!$B$20+A69*'Giả định'!$B$23+'Giả định'!$B$24</f>
        <v>23825210.0840336</v>
      </c>
      <c r="F69" s="25" t="n">
        <f aca="false">E69-D69</f>
        <v>-318426149.915966</v>
      </c>
      <c r="G69" s="25" t="n">
        <f aca="false">E69-C69</f>
        <v>-174821149.915966</v>
      </c>
      <c r="H69" s="7" t="str">
        <f aca="false">IF(F69&gt;=0,A69,"")</f>
        <v/>
      </c>
      <c r="I69" s="7" t="n">
        <f aca="false">IF(F69&lt;0,A69,0)</f>
        <v>64</v>
      </c>
      <c r="J69" s="7" t="str">
        <f aca="false">IF(G69&gt;=0,A69,"")</f>
        <v/>
      </c>
      <c r="K69" s="7" t="n">
        <f aca="false">IF(G69&lt;0,A69,0)</f>
        <v>64</v>
      </c>
    </row>
    <row r="70" customFormat="false" ht="15" hidden="false" customHeight="false" outlineLevel="0" collapsed="false">
      <c r="A70" s="7" t="n">
        <f aca="false">A69+1</f>
        <v>65</v>
      </c>
      <c r="B70" s="7" t="n">
        <f aca="false">MAX('Giả định'!$B$9,ROUNDUP(A70/'Giả định'!$B$7,0)+'Giả định'!$B$8)</f>
        <v>15</v>
      </c>
      <c r="C70" s="25" t="n">
        <f aca="false">('Chi phí'!$C$76+'Chi phí'!$D$76*B70+'Chi phí'!$E$76*A70+'Giả định'!$B$15*('Chi phí'!$F$76+'Chi phí'!$G$76*B70+'Chi phí'!$H$76*A70))*(1+'Giả định'!$B$16)</f>
        <v>198683100</v>
      </c>
      <c r="D70" s="25" t="n">
        <f aca="false">('Chi phí'!$C$77+'Chi phí'!$D$77*B70+'Chi phí'!$E$77*A70+'Giả định'!$B$15*('Chi phí'!$F$77+'Chi phí'!$G$77*B70+'Chi phí'!$H$77*A70))*(1+'Giả định'!$B$16)</f>
        <v>342288100</v>
      </c>
      <c r="E70" s="25" t="n">
        <f aca="false">A70/'Giả định'!$B$19*'Giả định'!$B$20+A70*'Giả định'!$B$23+'Giả định'!$B$24</f>
        <v>24197478.9915966</v>
      </c>
      <c r="F70" s="25" t="n">
        <f aca="false">E70-D70</f>
        <v>-318090621.008403</v>
      </c>
      <c r="G70" s="25" t="n">
        <f aca="false">E70-C70</f>
        <v>-174485621.008403</v>
      </c>
      <c r="H70" s="7" t="str">
        <f aca="false">IF(F70&gt;=0,A70,"")</f>
        <v/>
      </c>
      <c r="I70" s="7" t="n">
        <f aca="false">IF(F70&lt;0,A70,0)</f>
        <v>65</v>
      </c>
      <c r="J70" s="7" t="str">
        <f aca="false">IF(G70&gt;=0,A70,"")</f>
        <v/>
      </c>
      <c r="K70" s="7" t="n">
        <f aca="false">IF(G70&lt;0,A70,0)</f>
        <v>65</v>
      </c>
    </row>
    <row r="71" customFormat="false" ht="15" hidden="false" customHeight="false" outlineLevel="0" collapsed="false">
      <c r="A71" s="7" t="n">
        <f aca="false">A70+1</f>
        <v>66</v>
      </c>
      <c r="B71" s="7" t="n">
        <f aca="false">MAX('Giả định'!$B$9,ROUNDUP(A71/'Giả định'!$B$7,0)+'Giả định'!$B$8)</f>
        <v>15</v>
      </c>
      <c r="C71" s="25" t="n">
        <f aca="false">('Chi phí'!$C$76+'Chi phí'!$D$76*B71+'Chi phí'!$E$76*A71+'Giả định'!$B$15*('Chi phí'!$F$76+'Chi phí'!$G$76*B71+'Chi phí'!$H$76*A71))*(1+'Giả định'!$B$16)</f>
        <v>198719840</v>
      </c>
      <c r="D71" s="25" t="n">
        <f aca="false">('Chi phí'!$C$77+'Chi phí'!$D$77*B71+'Chi phí'!$E$77*A71+'Giả định'!$B$15*('Chi phí'!$F$77+'Chi phí'!$G$77*B71+'Chi phí'!$H$77*A71))*(1+'Giả định'!$B$16)</f>
        <v>342324840</v>
      </c>
      <c r="E71" s="25" t="n">
        <f aca="false">A71/'Giả định'!$B$19*'Giả định'!$B$20+A71*'Giả định'!$B$23+'Giả định'!$B$24</f>
        <v>24569747.8991597</v>
      </c>
      <c r="F71" s="25" t="n">
        <f aca="false">E71-D71</f>
        <v>-317755092.10084</v>
      </c>
      <c r="G71" s="25" t="n">
        <f aca="false">E71-C71</f>
        <v>-174150092.10084</v>
      </c>
      <c r="H71" s="7" t="str">
        <f aca="false">IF(F71&gt;=0,A71,"")</f>
        <v/>
      </c>
      <c r="I71" s="7" t="n">
        <f aca="false">IF(F71&lt;0,A71,0)</f>
        <v>66</v>
      </c>
      <c r="J71" s="7" t="str">
        <f aca="false">IF(G71&gt;=0,A71,"")</f>
        <v/>
      </c>
      <c r="K71" s="7" t="n">
        <f aca="false">IF(G71&lt;0,A71,0)</f>
        <v>66</v>
      </c>
    </row>
    <row r="72" customFormat="false" ht="15" hidden="false" customHeight="false" outlineLevel="0" collapsed="false">
      <c r="A72" s="7" t="n">
        <f aca="false">A71+1</f>
        <v>67</v>
      </c>
      <c r="B72" s="7" t="n">
        <f aca="false">MAX('Giả định'!$B$9,ROUNDUP(A72/'Giả định'!$B$7,0)+'Giả định'!$B$8)</f>
        <v>15</v>
      </c>
      <c r="C72" s="25" t="n">
        <f aca="false">('Chi phí'!$C$76+'Chi phí'!$D$76*B72+'Chi phí'!$E$76*A72+'Giả định'!$B$15*('Chi phí'!$F$76+'Chi phí'!$G$76*B72+'Chi phí'!$H$76*A72))*(1+'Giả định'!$B$16)</f>
        <v>198756580</v>
      </c>
      <c r="D72" s="25" t="n">
        <f aca="false">('Chi phí'!$C$77+'Chi phí'!$D$77*B72+'Chi phí'!$E$77*A72+'Giả định'!$B$15*('Chi phí'!$F$77+'Chi phí'!$G$77*B72+'Chi phí'!$H$77*A72))*(1+'Giả định'!$B$16)</f>
        <v>342361580</v>
      </c>
      <c r="E72" s="25" t="n">
        <f aca="false">A72/'Giả định'!$B$19*'Giả định'!$B$20+A72*'Giả định'!$B$23+'Giả định'!$B$24</f>
        <v>24942016.8067227</v>
      </c>
      <c r="F72" s="25" t="n">
        <f aca="false">E72-D72</f>
        <v>-317419563.193277</v>
      </c>
      <c r="G72" s="25" t="n">
        <f aca="false">E72-C72</f>
        <v>-173814563.193277</v>
      </c>
      <c r="H72" s="7" t="str">
        <f aca="false">IF(F72&gt;=0,A72,"")</f>
        <v/>
      </c>
      <c r="I72" s="7" t="n">
        <f aca="false">IF(F72&lt;0,A72,0)</f>
        <v>67</v>
      </c>
      <c r="J72" s="7" t="str">
        <f aca="false">IF(G72&gt;=0,A72,"")</f>
        <v/>
      </c>
      <c r="K72" s="7" t="n">
        <f aca="false">IF(G72&lt;0,A72,0)</f>
        <v>67</v>
      </c>
    </row>
    <row r="73" customFormat="false" ht="15" hidden="false" customHeight="false" outlineLevel="0" collapsed="false">
      <c r="A73" s="7" t="n">
        <f aca="false">A72+1</f>
        <v>68</v>
      </c>
      <c r="B73" s="7" t="n">
        <f aca="false">MAX('Giả định'!$B$9,ROUNDUP(A73/'Giả định'!$B$7,0)+'Giả định'!$B$8)</f>
        <v>15</v>
      </c>
      <c r="C73" s="25" t="n">
        <f aca="false">('Chi phí'!$C$76+'Chi phí'!$D$76*B73+'Chi phí'!$E$76*A73+'Giả định'!$B$15*('Chi phí'!$F$76+'Chi phí'!$G$76*B73+'Chi phí'!$H$76*A73))*(1+'Giả định'!$B$16)</f>
        <v>198793320</v>
      </c>
      <c r="D73" s="25" t="n">
        <f aca="false">('Chi phí'!$C$77+'Chi phí'!$D$77*B73+'Chi phí'!$E$77*A73+'Giả định'!$B$15*('Chi phí'!$F$77+'Chi phí'!$G$77*B73+'Chi phí'!$H$77*A73))*(1+'Giả định'!$B$16)</f>
        <v>342398320</v>
      </c>
      <c r="E73" s="25" t="n">
        <f aca="false">A73/'Giả định'!$B$19*'Giả định'!$B$20+A73*'Giả định'!$B$23+'Giả định'!$B$24</f>
        <v>25314285.7142857</v>
      </c>
      <c r="F73" s="25" t="n">
        <f aca="false">E73-D73</f>
        <v>-317084034.285714</v>
      </c>
      <c r="G73" s="25" t="n">
        <f aca="false">E73-C73</f>
        <v>-173479034.285714</v>
      </c>
      <c r="H73" s="7" t="str">
        <f aca="false">IF(F73&gt;=0,A73,"")</f>
        <v/>
      </c>
      <c r="I73" s="7" t="n">
        <f aca="false">IF(F73&lt;0,A73,0)</f>
        <v>68</v>
      </c>
      <c r="J73" s="7" t="str">
        <f aca="false">IF(G73&gt;=0,A73,"")</f>
        <v/>
      </c>
      <c r="K73" s="7" t="n">
        <f aca="false">IF(G73&lt;0,A73,0)</f>
        <v>68</v>
      </c>
    </row>
    <row r="74" customFormat="false" ht="15" hidden="false" customHeight="false" outlineLevel="0" collapsed="false">
      <c r="A74" s="7" t="n">
        <f aca="false">A73+1</f>
        <v>69</v>
      </c>
      <c r="B74" s="7" t="n">
        <f aca="false">MAX('Giả định'!$B$9,ROUNDUP(A74/'Giả định'!$B$7,0)+'Giả định'!$B$8)</f>
        <v>15</v>
      </c>
      <c r="C74" s="25" t="n">
        <f aca="false">('Chi phí'!$C$76+'Chi phí'!$D$76*B74+'Chi phí'!$E$76*A74+'Giả định'!$B$15*('Chi phí'!$F$76+'Chi phí'!$G$76*B74+'Chi phí'!$H$76*A74))*(1+'Giả định'!$B$16)</f>
        <v>198830060</v>
      </c>
      <c r="D74" s="25" t="n">
        <f aca="false">('Chi phí'!$C$77+'Chi phí'!$D$77*B74+'Chi phí'!$E$77*A74+'Giả định'!$B$15*('Chi phí'!$F$77+'Chi phí'!$G$77*B74+'Chi phí'!$H$77*A74))*(1+'Giả định'!$B$16)</f>
        <v>342435060</v>
      </c>
      <c r="E74" s="25" t="n">
        <f aca="false">A74/'Giả định'!$B$19*'Giả định'!$B$20+A74*'Giả định'!$B$23+'Giả định'!$B$24</f>
        <v>25686554.6218487</v>
      </c>
      <c r="F74" s="25" t="n">
        <f aca="false">E74-D74</f>
        <v>-316748505.378151</v>
      </c>
      <c r="G74" s="25" t="n">
        <f aca="false">E74-C74</f>
        <v>-173143505.378151</v>
      </c>
      <c r="H74" s="7" t="str">
        <f aca="false">IF(F74&gt;=0,A74,"")</f>
        <v/>
      </c>
      <c r="I74" s="7" t="n">
        <f aca="false">IF(F74&lt;0,A74,0)</f>
        <v>69</v>
      </c>
      <c r="J74" s="7" t="str">
        <f aca="false">IF(G74&gt;=0,A74,"")</f>
        <v/>
      </c>
      <c r="K74" s="7" t="n">
        <f aca="false">IF(G74&lt;0,A74,0)</f>
        <v>69</v>
      </c>
    </row>
    <row r="75" customFormat="false" ht="15" hidden="false" customHeight="false" outlineLevel="0" collapsed="false">
      <c r="A75" s="7" t="n">
        <f aca="false">A74+1</f>
        <v>70</v>
      </c>
      <c r="B75" s="7" t="n">
        <f aca="false">MAX('Giả định'!$B$9,ROUNDUP(A75/'Giả định'!$B$7,0)+'Giả định'!$B$8)</f>
        <v>15</v>
      </c>
      <c r="C75" s="25" t="n">
        <f aca="false">('Chi phí'!$C$76+'Chi phí'!$D$76*B75+'Chi phí'!$E$76*A75+'Giả định'!$B$15*('Chi phí'!$F$76+'Chi phí'!$G$76*B75+'Chi phí'!$H$76*A75))*(1+'Giả định'!$B$16)</f>
        <v>198866800</v>
      </c>
      <c r="D75" s="25" t="n">
        <f aca="false">('Chi phí'!$C$77+'Chi phí'!$D$77*B75+'Chi phí'!$E$77*A75+'Giả định'!$B$15*('Chi phí'!$F$77+'Chi phí'!$G$77*B75+'Chi phí'!$H$77*A75))*(1+'Giả định'!$B$16)</f>
        <v>342471800</v>
      </c>
      <c r="E75" s="25" t="n">
        <f aca="false">A75/'Giả định'!$B$19*'Giả định'!$B$20+A75*'Giả định'!$B$23+'Giả định'!$B$24</f>
        <v>26058823.5294118</v>
      </c>
      <c r="F75" s="25" t="n">
        <f aca="false">E75-D75</f>
        <v>-316412976.470588</v>
      </c>
      <c r="G75" s="25" t="n">
        <f aca="false">E75-C75</f>
        <v>-172807976.470588</v>
      </c>
      <c r="H75" s="7" t="str">
        <f aca="false">IF(F75&gt;=0,A75,"")</f>
        <v/>
      </c>
      <c r="I75" s="7" t="n">
        <f aca="false">IF(F75&lt;0,A75,0)</f>
        <v>70</v>
      </c>
      <c r="J75" s="7" t="str">
        <f aca="false">IF(G75&gt;=0,A75,"")</f>
        <v/>
      </c>
      <c r="K75" s="7" t="n">
        <f aca="false">IF(G75&lt;0,A75,0)</f>
        <v>70</v>
      </c>
    </row>
    <row r="76" customFormat="false" ht="15" hidden="false" customHeight="false" outlineLevel="0" collapsed="false">
      <c r="A76" s="7" t="n">
        <f aca="false">A75+1</f>
        <v>71</v>
      </c>
      <c r="B76" s="7" t="n">
        <f aca="false">MAX('Giả định'!$B$9,ROUNDUP(A76/'Giả định'!$B$7,0)+'Giả định'!$B$8)</f>
        <v>15</v>
      </c>
      <c r="C76" s="25" t="n">
        <f aca="false">('Chi phí'!$C$76+'Chi phí'!$D$76*B76+'Chi phí'!$E$76*A76+'Giả định'!$B$15*('Chi phí'!$F$76+'Chi phí'!$G$76*B76+'Chi phí'!$H$76*A76))*(1+'Giả định'!$B$16)</f>
        <v>198903540</v>
      </c>
      <c r="D76" s="25" t="n">
        <f aca="false">('Chi phí'!$C$77+'Chi phí'!$D$77*B76+'Chi phí'!$E$77*A76+'Giả định'!$B$15*('Chi phí'!$F$77+'Chi phí'!$G$77*B76+'Chi phí'!$H$77*A76))*(1+'Giả định'!$B$16)</f>
        <v>342508540</v>
      </c>
      <c r="E76" s="25" t="n">
        <f aca="false">A76/'Giả định'!$B$19*'Giả định'!$B$20+A76*'Giả định'!$B$23+'Giả định'!$B$24</f>
        <v>26431092.4369748</v>
      </c>
      <c r="F76" s="25" t="n">
        <f aca="false">E76-D76</f>
        <v>-316077447.563025</v>
      </c>
      <c r="G76" s="25" t="n">
        <f aca="false">E76-C76</f>
        <v>-172472447.563025</v>
      </c>
      <c r="H76" s="7" t="str">
        <f aca="false">IF(F76&gt;=0,A76,"")</f>
        <v/>
      </c>
      <c r="I76" s="7" t="n">
        <f aca="false">IF(F76&lt;0,A76,0)</f>
        <v>71</v>
      </c>
      <c r="J76" s="7" t="str">
        <f aca="false">IF(G76&gt;=0,A76,"")</f>
        <v/>
      </c>
      <c r="K76" s="7" t="n">
        <f aca="false">IF(G76&lt;0,A76,0)</f>
        <v>71</v>
      </c>
    </row>
    <row r="77" customFormat="false" ht="15" hidden="false" customHeight="false" outlineLevel="0" collapsed="false">
      <c r="A77" s="7" t="n">
        <f aca="false">A76+1</f>
        <v>72</v>
      </c>
      <c r="B77" s="7" t="n">
        <f aca="false">MAX('Giả định'!$B$9,ROUNDUP(A77/'Giả định'!$B$7,0)+'Giả định'!$B$8)</f>
        <v>15</v>
      </c>
      <c r="C77" s="25" t="n">
        <f aca="false">('Chi phí'!$C$76+'Chi phí'!$D$76*B77+'Chi phí'!$E$76*A77+'Giả định'!$B$15*('Chi phí'!$F$76+'Chi phí'!$G$76*B77+'Chi phí'!$H$76*A77))*(1+'Giả định'!$B$16)</f>
        <v>198940280</v>
      </c>
      <c r="D77" s="25" t="n">
        <f aca="false">('Chi phí'!$C$77+'Chi phí'!$D$77*B77+'Chi phí'!$E$77*A77+'Giả định'!$B$15*('Chi phí'!$F$77+'Chi phí'!$G$77*B77+'Chi phí'!$H$77*A77))*(1+'Giả định'!$B$16)</f>
        <v>342545280</v>
      </c>
      <c r="E77" s="25" t="n">
        <f aca="false">A77/'Giả định'!$B$19*'Giả định'!$B$20+A77*'Giả định'!$B$23+'Giả định'!$B$24</f>
        <v>26803361.3445378</v>
      </c>
      <c r="F77" s="25" t="n">
        <f aca="false">E77-D77</f>
        <v>-315741918.655462</v>
      </c>
      <c r="G77" s="25" t="n">
        <f aca="false">E77-C77</f>
        <v>-172136918.655462</v>
      </c>
      <c r="H77" s="7" t="str">
        <f aca="false">IF(F77&gt;=0,A77,"")</f>
        <v/>
      </c>
      <c r="I77" s="7" t="n">
        <f aca="false">IF(F77&lt;0,A77,0)</f>
        <v>72</v>
      </c>
      <c r="J77" s="7" t="str">
        <f aca="false">IF(G77&gt;=0,A77,"")</f>
        <v/>
      </c>
      <c r="K77" s="7" t="n">
        <f aca="false">IF(G77&lt;0,A77,0)</f>
        <v>72</v>
      </c>
    </row>
    <row r="78" customFormat="false" ht="15" hidden="false" customHeight="false" outlineLevel="0" collapsed="false">
      <c r="A78" s="7" t="n">
        <f aca="false">A77+1</f>
        <v>73</v>
      </c>
      <c r="B78" s="7" t="n">
        <f aca="false">MAX('Giả định'!$B$9,ROUNDUP(A78/'Giả định'!$B$7,0)+'Giả định'!$B$8)</f>
        <v>15</v>
      </c>
      <c r="C78" s="25" t="n">
        <f aca="false">('Chi phí'!$C$76+'Chi phí'!$D$76*B78+'Chi phí'!$E$76*A78+'Giả định'!$B$15*('Chi phí'!$F$76+'Chi phí'!$G$76*B78+'Chi phí'!$H$76*A78))*(1+'Giả định'!$B$16)</f>
        <v>198977020</v>
      </c>
      <c r="D78" s="25" t="n">
        <f aca="false">('Chi phí'!$C$77+'Chi phí'!$D$77*B78+'Chi phí'!$E$77*A78+'Giả định'!$B$15*('Chi phí'!$F$77+'Chi phí'!$G$77*B78+'Chi phí'!$H$77*A78))*(1+'Giả định'!$B$16)</f>
        <v>342582020</v>
      </c>
      <c r="E78" s="25" t="n">
        <f aca="false">A78/'Giả định'!$B$19*'Giả định'!$B$20+A78*'Giả định'!$B$23+'Giả định'!$B$24</f>
        <v>27175630.2521008</v>
      </c>
      <c r="F78" s="25" t="n">
        <f aca="false">E78-D78</f>
        <v>-315406389.747899</v>
      </c>
      <c r="G78" s="25" t="n">
        <f aca="false">E78-C78</f>
        <v>-171801389.747899</v>
      </c>
      <c r="H78" s="7" t="str">
        <f aca="false">IF(F78&gt;=0,A78,"")</f>
        <v/>
      </c>
      <c r="I78" s="7" t="n">
        <f aca="false">IF(F78&lt;0,A78,0)</f>
        <v>73</v>
      </c>
      <c r="J78" s="7" t="str">
        <f aca="false">IF(G78&gt;=0,A78,"")</f>
        <v/>
      </c>
      <c r="K78" s="7" t="n">
        <f aca="false">IF(G78&lt;0,A78,0)</f>
        <v>73</v>
      </c>
    </row>
    <row r="79" customFormat="false" ht="15" hidden="false" customHeight="false" outlineLevel="0" collapsed="false">
      <c r="A79" s="7" t="n">
        <f aca="false">A78+1</f>
        <v>74</v>
      </c>
      <c r="B79" s="7" t="n">
        <f aca="false">MAX('Giả định'!$B$9,ROUNDUP(A79/'Giả định'!$B$7,0)+'Giả định'!$B$8)</f>
        <v>15</v>
      </c>
      <c r="C79" s="25" t="n">
        <f aca="false">('Chi phí'!$C$76+'Chi phí'!$D$76*B79+'Chi phí'!$E$76*A79+'Giả định'!$B$15*('Chi phí'!$F$76+'Chi phí'!$G$76*B79+'Chi phí'!$H$76*A79))*(1+'Giả định'!$B$16)</f>
        <v>199013760</v>
      </c>
      <c r="D79" s="25" t="n">
        <f aca="false">('Chi phí'!$C$77+'Chi phí'!$D$77*B79+'Chi phí'!$E$77*A79+'Giả định'!$B$15*('Chi phí'!$F$77+'Chi phí'!$G$77*B79+'Chi phí'!$H$77*A79))*(1+'Giả định'!$B$16)</f>
        <v>342618760</v>
      </c>
      <c r="E79" s="25" t="n">
        <f aca="false">A79/'Giả định'!$B$19*'Giả định'!$B$20+A79*'Giả định'!$B$23+'Giả định'!$B$24</f>
        <v>27547899.1596639</v>
      </c>
      <c r="F79" s="25" t="n">
        <f aca="false">E79-D79</f>
        <v>-315070860.840336</v>
      </c>
      <c r="G79" s="25" t="n">
        <f aca="false">E79-C79</f>
        <v>-171465860.840336</v>
      </c>
      <c r="H79" s="7" t="str">
        <f aca="false">IF(F79&gt;=0,A79,"")</f>
        <v/>
      </c>
      <c r="I79" s="7" t="n">
        <f aca="false">IF(F79&lt;0,A79,0)</f>
        <v>74</v>
      </c>
      <c r="J79" s="7" t="str">
        <f aca="false">IF(G79&gt;=0,A79,"")</f>
        <v/>
      </c>
      <c r="K79" s="7" t="n">
        <f aca="false">IF(G79&lt;0,A79,0)</f>
        <v>74</v>
      </c>
    </row>
    <row r="80" customFormat="false" ht="15" hidden="false" customHeight="false" outlineLevel="0" collapsed="false">
      <c r="A80" s="7" t="n">
        <f aca="false">A79+1</f>
        <v>75</v>
      </c>
      <c r="B80" s="7" t="n">
        <f aca="false">MAX('Giả định'!$B$9,ROUNDUP(A80/'Giả định'!$B$7,0)+'Giả định'!$B$8)</f>
        <v>15</v>
      </c>
      <c r="C80" s="25" t="n">
        <f aca="false">('Chi phí'!$C$76+'Chi phí'!$D$76*B80+'Chi phí'!$E$76*A80+'Giả định'!$B$15*('Chi phí'!$F$76+'Chi phí'!$G$76*B80+'Chi phí'!$H$76*A80))*(1+'Giả định'!$B$16)</f>
        <v>199050500</v>
      </c>
      <c r="D80" s="25" t="n">
        <f aca="false">('Chi phí'!$C$77+'Chi phí'!$D$77*B80+'Chi phí'!$E$77*A80+'Giả định'!$B$15*('Chi phí'!$F$77+'Chi phí'!$G$77*B80+'Chi phí'!$H$77*A80))*(1+'Giả định'!$B$16)</f>
        <v>342655500</v>
      </c>
      <c r="E80" s="25" t="n">
        <f aca="false">A80/'Giả định'!$B$19*'Giả định'!$B$20+A80*'Giả định'!$B$23+'Giả định'!$B$24</f>
        <v>27920168.0672269</v>
      </c>
      <c r="F80" s="25" t="n">
        <f aca="false">E80-D80</f>
        <v>-314735331.932773</v>
      </c>
      <c r="G80" s="25" t="n">
        <f aca="false">E80-C80</f>
        <v>-171130331.932773</v>
      </c>
      <c r="H80" s="7" t="str">
        <f aca="false">IF(F80&gt;=0,A80,"")</f>
        <v/>
      </c>
      <c r="I80" s="7" t="n">
        <f aca="false">IF(F80&lt;0,A80,0)</f>
        <v>75</v>
      </c>
      <c r="J80" s="7" t="str">
        <f aca="false">IF(G80&gt;=0,A80,"")</f>
        <v/>
      </c>
      <c r="K80" s="7" t="n">
        <f aca="false">IF(G80&lt;0,A80,0)</f>
        <v>75</v>
      </c>
    </row>
    <row r="81" customFormat="false" ht="15" hidden="false" customHeight="false" outlineLevel="0" collapsed="false">
      <c r="A81" s="7" t="n">
        <f aca="false">A80+1</f>
        <v>76</v>
      </c>
      <c r="B81" s="7" t="n">
        <f aca="false">MAX('Giả định'!$B$9,ROUNDUP(A81/'Giả định'!$B$7,0)+'Giả định'!$B$8)</f>
        <v>15</v>
      </c>
      <c r="C81" s="25" t="n">
        <f aca="false">('Chi phí'!$C$76+'Chi phí'!$D$76*B81+'Chi phí'!$E$76*A81+'Giả định'!$B$15*('Chi phí'!$F$76+'Chi phí'!$G$76*B81+'Chi phí'!$H$76*A81))*(1+'Giả định'!$B$16)</f>
        <v>199087240</v>
      </c>
      <c r="D81" s="25" t="n">
        <f aca="false">('Chi phí'!$C$77+'Chi phí'!$D$77*B81+'Chi phí'!$E$77*A81+'Giả định'!$B$15*('Chi phí'!$F$77+'Chi phí'!$G$77*B81+'Chi phí'!$H$77*A81))*(1+'Giả định'!$B$16)</f>
        <v>342692240</v>
      </c>
      <c r="E81" s="25" t="n">
        <f aca="false">A81/'Giả định'!$B$19*'Giả định'!$B$20+A81*'Giả định'!$B$23+'Giả định'!$B$24</f>
        <v>28292436.9747899</v>
      </c>
      <c r="F81" s="25" t="n">
        <f aca="false">E81-D81</f>
        <v>-314399803.02521</v>
      </c>
      <c r="G81" s="25" t="n">
        <f aca="false">E81-C81</f>
        <v>-170794803.02521</v>
      </c>
      <c r="H81" s="7" t="str">
        <f aca="false">IF(F81&gt;=0,A81,"")</f>
        <v/>
      </c>
      <c r="I81" s="7" t="n">
        <f aca="false">IF(F81&lt;0,A81,0)</f>
        <v>76</v>
      </c>
      <c r="J81" s="7" t="str">
        <f aca="false">IF(G81&gt;=0,A81,"")</f>
        <v/>
      </c>
      <c r="K81" s="7" t="n">
        <f aca="false">IF(G81&lt;0,A81,0)</f>
        <v>76</v>
      </c>
    </row>
    <row r="82" customFormat="false" ht="15" hidden="false" customHeight="false" outlineLevel="0" collapsed="false">
      <c r="A82" s="7" t="n">
        <f aca="false">A81+1</f>
        <v>77</v>
      </c>
      <c r="B82" s="7" t="n">
        <f aca="false">MAX('Giả định'!$B$9,ROUNDUP(A82/'Giả định'!$B$7,0)+'Giả định'!$B$8)</f>
        <v>15</v>
      </c>
      <c r="C82" s="25" t="n">
        <f aca="false">('Chi phí'!$C$76+'Chi phí'!$D$76*B82+'Chi phí'!$E$76*A82+'Giả định'!$B$15*('Chi phí'!$F$76+'Chi phí'!$G$76*B82+'Chi phí'!$H$76*A82))*(1+'Giả định'!$B$16)</f>
        <v>199123980</v>
      </c>
      <c r="D82" s="25" t="n">
        <f aca="false">('Chi phí'!$C$77+'Chi phí'!$D$77*B82+'Chi phí'!$E$77*A82+'Giả định'!$B$15*('Chi phí'!$F$77+'Chi phí'!$G$77*B82+'Chi phí'!$H$77*A82))*(1+'Giả định'!$B$16)</f>
        <v>342728980</v>
      </c>
      <c r="E82" s="25" t="n">
        <f aca="false">A82/'Giả định'!$B$19*'Giả định'!$B$20+A82*'Giả định'!$B$23+'Giả định'!$B$24</f>
        <v>28664705.8823529</v>
      </c>
      <c r="F82" s="25" t="n">
        <f aca="false">E82-D82</f>
        <v>-314064274.117647</v>
      </c>
      <c r="G82" s="25" t="n">
        <f aca="false">E82-C82</f>
        <v>-170459274.117647</v>
      </c>
      <c r="H82" s="7" t="str">
        <f aca="false">IF(F82&gt;=0,A82,"")</f>
        <v/>
      </c>
      <c r="I82" s="7" t="n">
        <f aca="false">IF(F82&lt;0,A82,0)</f>
        <v>77</v>
      </c>
      <c r="J82" s="7" t="str">
        <f aca="false">IF(G82&gt;=0,A82,"")</f>
        <v/>
      </c>
      <c r="K82" s="7" t="n">
        <f aca="false">IF(G82&lt;0,A82,0)</f>
        <v>77</v>
      </c>
    </row>
    <row r="83" customFormat="false" ht="15" hidden="false" customHeight="false" outlineLevel="0" collapsed="false">
      <c r="A83" s="7" t="n">
        <f aca="false">A82+1</f>
        <v>78</v>
      </c>
      <c r="B83" s="7" t="n">
        <f aca="false">MAX('Giả định'!$B$9,ROUNDUP(A83/'Giả định'!$B$7,0)+'Giả định'!$B$8)</f>
        <v>15</v>
      </c>
      <c r="C83" s="25" t="n">
        <f aca="false">('Chi phí'!$C$76+'Chi phí'!$D$76*B83+'Chi phí'!$E$76*A83+'Giả định'!$B$15*('Chi phí'!$F$76+'Chi phí'!$G$76*B83+'Chi phí'!$H$76*A83))*(1+'Giả định'!$B$16)</f>
        <v>199160720</v>
      </c>
      <c r="D83" s="25" t="n">
        <f aca="false">('Chi phí'!$C$77+'Chi phí'!$D$77*B83+'Chi phí'!$E$77*A83+'Giả định'!$B$15*('Chi phí'!$F$77+'Chi phí'!$G$77*B83+'Chi phí'!$H$77*A83))*(1+'Giả định'!$B$16)</f>
        <v>342765720</v>
      </c>
      <c r="E83" s="25" t="n">
        <f aca="false">A83/'Giả định'!$B$19*'Giả định'!$B$20+A83*'Giả định'!$B$23+'Giả định'!$B$24</f>
        <v>29036974.789916</v>
      </c>
      <c r="F83" s="25" t="n">
        <f aca="false">E83-D83</f>
        <v>-313728745.210084</v>
      </c>
      <c r="G83" s="25" t="n">
        <f aca="false">E83-C83</f>
        <v>-170123745.210084</v>
      </c>
      <c r="H83" s="7" t="str">
        <f aca="false">IF(F83&gt;=0,A83,"")</f>
        <v/>
      </c>
      <c r="I83" s="7" t="n">
        <f aca="false">IF(F83&lt;0,A83,0)</f>
        <v>78</v>
      </c>
      <c r="J83" s="7" t="str">
        <f aca="false">IF(G83&gt;=0,A83,"")</f>
        <v/>
      </c>
      <c r="K83" s="7" t="n">
        <f aca="false">IF(G83&lt;0,A83,0)</f>
        <v>78</v>
      </c>
    </row>
    <row r="84" customFormat="false" ht="15" hidden="false" customHeight="false" outlineLevel="0" collapsed="false">
      <c r="A84" s="7" t="n">
        <f aca="false">A83+1</f>
        <v>79</v>
      </c>
      <c r="B84" s="7" t="n">
        <f aca="false">MAX('Giả định'!$B$9,ROUNDUP(A84/'Giả định'!$B$7,0)+'Giả định'!$B$8)</f>
        <v>15</v>
      </c>
      <c r="C84" s="25" t="n">
        <f aca="false">('Chi phí'!$C$76+'Chi phí'!$D$76*B84+'Chi phí'!$E$76*A84+'Giả định'!$B$15*('Chi phí'!$F$76+'Chi phí'!$G$76*B84+'Chi phí'!$H$76*A84))*(1+'Giả định'!$B$16)</f>
        <v>199197460</v>
      </c>
      <c r="D84" s="25" t="n">
        <f aca="false">('Chi phí'!$C$77+'Chi phí'!$D$77*B84+'Chi phí'!$E$77*A84+'Giả định'!$B$15*('Chi phí'!$F$77+'Chi phí'!$G$77*B84+'Chi phí'!$H$77*A84))*(1+'Giả định'!$B$16)</f>
        <v>342802460</v>
      </c>
      <c r="E84" s="25" t="n">
        <f aca="false">A84/'Giả định'!$B$19*'Giả định'!$B$20+A84*'Giả định'!$B$23+'Giả định'!$B$24</f>
        <v>29409243.697479</v>
      </c>
      <c r="F84" s="25" t="n">
        <f aca="false">E84-D84</f>
        <v>-313393216.302521</v>
      </c>
      <c r="G84" s="25" t="n">
        <f aca="false">E84-C84</f>
        <v>-169788216.302521</v>
      </c>
      <c r="H84" s="7" t="str">
        <f aca="false">IF(F84&gt;=0,A84,"")</f>
        <v/>
      </c>
      <c r="I84" s="7" t="n">
        <f aca="false">IF(F84&lt;0,A84,0)</f>
        <v>79</v>
      </c>
      <c r="J84" s="7" t="str">
        <f aca="false">IF(G84&gt;=0,A84,"")</f>
        <v/>
      </c>
      <c r="K84" s="7" t="n">
        <f aca="false">IF(G84&lt;0,A84,0)</f>
        <v>79</v>
      </c>
    </row>
    <row r="85" customFormat="false" ht="15" hidden="false" customHeight="false" outlineLevel="0" collapsed="false">
      <c r="A85" s="7" t="n">
        <f aca="false">A84+1</f>
        <v>80</v>
      </c>
      <c r="B85" s="7" t="n">
        <f aca="false">MAX('Giả định'!$B$9,ROUNDUP(A85/'Giả định'!$B$7,0)+'Giả định'!$B$8)</f>
        <v>15</v>
      </c>
      <c r="C85" s="25" t="n">
        <f aca="false">('Chi phí'!$C$76+'Chi phí'!$D$76*B85+'Chi phí'!$E$76*A85+'Giả định'!$B$15*('Chi phí'!$F$76+'Chi phí'!$G$76*B85+'Chi phí'!$H$76*A85))*(1+'Giả định'!$B$16)</f>
        <v>199234200</v>
      </c>
      <c r="D85" s="25" t="n">
        <f aca="false">('Chi phí'!$C$77+'Chi phí'!$D$77*B85+'Chi phí'!$E$77*A85+'Giả định'!$B$15*('Chi phí'!$F$77+'Chi phí'!$G$77*B85+'Chi phí'!$H$77*A85))*(1+'Giả định'!$B$16)</f>
        <v>342839200</v>
      </c>
      <c r="E85" s="25" t="n">
        <f aca="false">A85/'Giả định'!$B$19*'Giả định'!$B$20+A85*'Giả định'!$B$23+'Giả định'!$B$24</f>
        <v>29781512.605042</v>
      </c>
      <c r="F85" s="25" t="n">
        <f aca="false">E85-D85</f>
        <v>-313057687.394958</v>
      </c>
      <c r="G85" s="25" t="n">
        <f aca="false">E85-C85</f>
        <v>-169452687.394958</v>
      </c>
      <c r="H85" s="7" t="str">
        <f aca="false">IF(F85&gt;=0,A85,"")</f>
        <v/>
      </c>
      <c r="I85" s="7" t="n">
        <f aca="false">IF(F85&lt;0,A85,0)</f>
        <v>80</v>
      </c>
      <c r="J85" s="7" t="str">
        <f aca="false">IF(G85&gt;=0,A85,"")</f>
        <v/>
      </c>
      <c r="K85" s="7" t="n">
        <f aca="false">IF(G85&lt;0,A85,0)</f>
        <v>80</v>
      </c>
    </row>
    <row r="86" customFormat="false" ht="15" hidden="false" customHeight="false" outlineLevel="0" collapsed="false">
      <c r="A86" s="7" t="n">
        <f aca="false">A85+1</f>
        <v>81</v>
      </c>
      <c r="B86" s="7" t="n">
        <f aca="false">MAX('Giả định'!$B$9,ROUNDUP(A86/'Giả định'!$B$7,0)+'Giả định'!$B$8)</f>
        <v>15</v>
      </c>
      <c r="C86" s="25" t="n">
        <f aca="false">('Chi phí'!$C$76+'Chi phí'!$D$76*B86+'Chi phí'!$E$76*A86+'Giả định'!$B$15*('Chi phí'!$F$76+'Chi phí'!$G$76*B86+'Chi phí'!$H$76*A86))*(1+'Giả định'!$B$16)</f>
        <v>199270940</v>
      </c>
      <c r="D86" s="25" t="n">
        <f aca="false">('Chi phí'!$C$77+'Chi phí'!$D$77*B86+'Chi phí'!$E$77*A86+'Giả định'!$B$15*('Chi phí'!$F$77+'Chi phí'!$G$77*B86+'Chi phí'!$H$77*A86))*(1+'Giả định'!$B$16)</f>
        <v>342875940</v>
      </c>
      <c r="E86" s="25" t="n">
        <f aca="false">A86/'Giả định'!$B$19*'Giả định'!$B$20+A86*'Giả định'!$B$23+'Giả định'!$B$24</f>
        <v>30153781.512605</v>
      </c>
      <c r="F86" s="25" t="n">
        <f aca="false">E86-D86</f>
        <v>-312722158.487395</v>
      </c>
      <c r="G86" s="25" t="n">
        <f aca="false">E86-C86</f>
        <v>-169117158.487395</v>
      </c>
      <c r="H86" s="7" t="str">
        <f aca="false">IF(F86&gt;=0,A86,"")</f>
        <v/>
      </c>
      <c r="I86" s="7" t="n">
        <f aca="false">IF(F86&lt;0,A86,0)</f>
        <v>81</v>
      </c>
      <c r="J86" s="7" t="str">
        <f aca="false">IF(G86&gt;=0,A86,"")</f>
        <v/>
      </c>
      <c r="K86" s="7" t="n">
        <f aca="false">IF(G86&lt;0,A86,0)</f>
        <v>81</v>
      </c>
    </row>
    <row r="87" customFormat="false" ht="15" hidden="false" customHeight="false" outlineLevel="0" collapsed="false">
      <c r="A87" s="7" t="n">
        <f aca="false">A86+1</f>
        <v>82</v>
      </c>
      <c r="B87" s="7" t="n">
        <f aca="false">MAX('Giả định'!$B$9,ROUNDUP(A87/'Giả định'!$B$7,0)+'Giả định'!$B$8)</f>
        <v>15</v>
      </c>
      <c r="C87" s="25" t="n">
        <f aca="false">('Chi phí'!$C$76+'Chi phí'!$D$76*B87+'Chi phí'!$E$76*A87+'Giả định'!$B$15*('Chi phí'!$F$76+'Chi phí'!$G$76*B87+'Chi phí'!$H$76*A87))*(1+'Giả định'!$B$16)</f>
        <v>199307680</v>
      </c>
      <c r="D87" s="25" t="n">
        <f aca="false">('Chi phí'!$C$77+'Chi phí'!$D$77*B87+'Chi phí'!$E$77*A87+'Giả định'!$B$15*('Chi phí'!$F$77+'Chi phí'!$G$77*B87+'Chi phí'!$H$77*A87))*(1+'Giả định'!$B$16)</f>
        <v>342912680</v>
      </c>
      <c r="E87" s="25" t="n">
        <f aca="false">A87/'Giả định'!$B$19*'Giả định'!$B$20+A87*'Giả định'!$B$23+'Giả định'!$B$24</f>
        <v>30526050.4201681</v>
      </c>
      <c r="F87" s="25" t="n">
        <f aca="false">E87-D87</f>
        <v>-312386629.579832</v>
      </c>
      <c r="G87" s="25" t="n">
        <f aca="false">E87-C87</f>
        <v>-168781629.579832</v>
      </c>
      <c r="H87" s="7" t="str">
        <f aca="false">IF(F87&gt;=0,A87,"")</f>
        <v/>
      </c>
      <c r="I87" s="7" t="n">
        <f aca="false">IF(F87&lt;0,A87,0)</f>
        <v>82</v>
      </c>
      <c r="J87" s="7" t="str">
        <f aca="false">IF(G87&gt;=0,A87,"")</f>
        <v/>
      </c>
      <c r="K87" s="7" t="n">
        <f aca="false">IF(G87&lt;0,A87,0)</f>
        <v>82</v>
      </c>
    </row>
    <row r="88" customFormat="false" ht="15" hidden="false" customHeight="false" outlineLevel="0" collapsed="false">
      <c r="A88" s="7" t="n">
        <f aca="false">A87+1</f>
        <v>83</v>
      </c>
      <c r="B88" s="7" t="n">
        <f aca="false">MAX('Giả định'!$B$9,ROUNDUP(A88/'Giả định'!$B$7,0)+'Giả định'!$B$8)</f>
        <v>15</v>
      </c>
      <c r="C88" s="25" t="n">
        <f aca="false">('Chi phí'!$C$76+'Chi phí'!$D$76*B88+'Chi phí'!$E$76*A88+'Giả định'!$B$15*('Chi phí'!$F$76+'Chi phí'!$G$76*B88+'Chi phí'!$H$76*A88))*(1+'Giả định'!$B$16)</f>
        <v>199344420</v>
      </c>
      <c r="D88" s="25" t="n">
        <f aca="false">('Chi phí'!$C$77+'Chi phí'!$D$77*B88+'Chi phí'!$E$77*A88+'Giả định'!$B$15*('Chi phí'!$F$77+'Chi phí'!$G$77*B88+'Chi phí'!$H$77*A88))*(1+'Giả định'!$B$16)</f>
        <v>342949420</v>
      </c>
      <c r="E88" s="25" t="n">
        <f aca="false">A88/'Giả định'!$B$19*'Giả định'!$B$20+A88*'Giả định'!$B$23+'Giả định'!$B$24</f>
        <v>30898319.3277311</v>
      </c>
      <c r="F88" s="25" t="n">
        <f aca="false">E88-D88</f>
        <v>-312051100.672269</v>
      </c>
      <c r="G88" s="25" t="n">
        <f aca="false">E88-C88</f>
        <v>-168446100.672269</v>
      </c>
      <c r="H88" s="7" t="str">
        <f aca="false">IF(F88&gt;=0,A88,"")</f>
        <v/>
      </c>
      <c r="I88" s="7" t="n">
        <f aca="false">IF(F88&lt;0,A88,0)</f>
        <v>83</v>
      </c>
      <c r="J88" s="7" t="str">
        <f aca="false">IF(G88&gt;=0,A88,"")</f>
        <v/>
      </c>
      <c r="K88" s="7" t="n">
        <f aca="false">IF(G88&lt;0,A88,0)</f>
        <v>83</v>
      </c>
    </row>
    <row r="89" customFormat="false" ht="15" hidden="false" customHeight="false" outlineLevel="0" collapsed="false">
      <c r="A89" s="7" t="n">
        <f aca="false">A88+1</f>
        <v>84</v>
      </c>
      <c r="B89" s="7" t="n">
        <f aca="false">MAX('Giả định'!$B$9,ROUNDUP(A89/'Giả định'!$B$7,0)+'Giả định'!$B$8)</f>
        <v>15</v>
      </c>
      <c r="C89" s="25" t="n">
        <f aca="false">('Chi phí'!$C$76+'Chi phí'!$D$76*B89+'Chi phí'!$E$76*A89+'Giả định'!$B$15*('Chi phí'!$F$76+'Chi phí'!$G$76*B89+'Chi phí'!$H$76*A89))*(1+'Giả định'!$B$16)</f>
        <v>199381160</v>
      </c>
      <c r="D89" s="25" t="n">
        <f aca="false">('Chi phí'!$C$77+'Chi phí'!$D$77*B89+'Chi phí'!$E$77*A89+'Giả định'!$B$15*('Chi phí'!$F$77+'Chi phí'!$G$77*B89+'Chi phí'!$H$77*A89))*(1+'Giả định'!$B$16)</f>
        <v>342986160</v>
      </c>
      <c r="E89" s="25" t="n">
        <f aca="false">A89/'Giả định'!$B$19*'Giả định'!$B$20+A89*'Giả định'!$B$23+'Giả định'!$B$24</f>
        <v>31270588.2352941</v>
      </c>
      <c r="F89" s="25" t="n">
        <f aca="false">E89-D89</f>
        <v>-311715571.764706</v>
      </c>
      <c r="G89" s="25" t="n">
        <f aca="false">E89-C89</f>
        <v>-168110571.764706</v>
      </c>
      <c r="H89" s="7" t="str">
        <f aca="false">IF(F89&gt;=0,A89,"")</f>
        <v/>
      </c>
      <c r="I89" s="7" t="n">
        <f aca="false">IF(F89&lt;0,A89,0)</f>
        <v>84</v>
      </c>
      <c r="J89" s="7" t="str">
        <f aca="false">IF(G89&gt;=0,A89,"")</f>
        <v/>
      </c>
      <c r="K89" s="7" t="n">
        <f aca="false">IF(G89&lt;0,A89,0)</f>
        <v>84</v>
      </c>
    </row>
    <row r="90" customFormat="false" ht="15" hidden="false" customHeight="false" outlineLevel="0" collapsed="false">
      <c r="A90" s="7" t="n">
        <f aca="false">A89+1</f>
        <v>85</v>
      </c>
      <c r="B90" s="7" t="n">
        <f aca="false">MAX('Giả định'!$B$9,ROUNDUP(A90/'Giả định'!$B$7,0)+'Giả định'!$B$8)</f>
        <v>15</v>
      </c>
      <c r="C90" s="25" t="n">
        <f aca="false">('Chi phí'!$C$76+'Chi phí'!$D$76*B90+'Chi phí'!$E$76*A90+'Giả định'!$B$15*('Chi phí'!$F$76+'Chi phí'!$G$76*B90+'Chi phí'!$H$76*A90))*(1+'Giả định'!$B$16)</f>
        <v>199417900</v>
      </c>
      <c r="D90" s="25" t="n">
        <f aca="false">('Chi phí'!$C$77+'Chi phí'!$D$77*B90+'Chi phí'!$E$77*A90+'Giả định'!$B$15*('Chi phí'!$F$77+'Chi phí'!$G$77*B90+'Chi phí'!$H$77*A90))*(1+'Giả định'!$B$16)</f>
        <v>343022900</v>
      </c>
      <c r="E90" s="25" t="n">
        <f aca="false">A90/'Giả định'!$B$19*'Giả định'!$B$20+A90*'Giả định'!$B$23+'Giả định'!$B$24</f>
        <v>31642857.1428571</v>
      </c>
      <c r="F90" s="25" t="n">
        <f aca="false">E90-D90</f>
        <v>-311380042.857143</v>
      </c>
      <c r="G90" s="25" t="n">
        <f aca="false">E90-C90</f>
        <v>-167775042.857143</v>
      </c>
      <c r="H90" s="7" t="str">
        <f aca="false">IF(F90&gt;=0,A90,"")</f>
        <v/>
      </c>
      <c r="I90" s="7" t="n">
        <f aca="false">IF(F90&lt;0,A90,0)</f>
        <v>85</v>
      </c>
      <c r="J90" s="7" t="str">
        <f aca="false">IF(G90&gt;=0,A90,"")</f>
        <v/>
      </c>
      <c r="K90" s="7" t="n">
        <f aca="false">IF(G90&lt;0,A90,0)</f>
        <v>85</v>
      </c>
    </row>
    <row r="91" customFormat="false" ht="15" hidden="false" customHeight="false" outlineLevel="0" collapsed="false">
      <c r="A91" s="7" t="n">
        <f aca="false">A90+1</f>
        <v>86</v>
      </c>
      <c r="B91" s="7" t="n">
        <f aca="false">MAX('Giả định'!$B$9,ROUNDUP(A91/'Giả định'!$B$7,0)+'Giả định'!$B$8)</f>
        <v>15</v>
      </c>
      <c r="C91" s="25" t="n">
        <f aca="false">('Chi phí'!$C$76+'Chi phí'!$D$76*B91+'Chi phí'!$E$76*A91+'Giả định'!$B$15*('Chi phí'!$F$76+'Chi phí'!$G$76*B91+'Chi phí'!$H$76*A91))*(1+'Giả định'!$B$16)</f>
        <v>199454640</v>
      </c>
      <c r="D91" s="25" t="n">
        <f aca="false">('Chi phí'!$C$77+'Chi phí'!$D$77*B91+'Chi phí'!$E$77*A91+'Giả định'!$B$15*('Chi phí'!$F$77+'Chi phí'!$G$77*B91+'Chi phí'!$H$77*A91))*(1+'Giả định'!$B$16)</f>
        <v>343059640</v>
      </c>
      <c r="E91" s="25" t="n">
        <f aca="false">A91/'Giả định'!$B$19*'Giả định'!$B$20+A91*'Giả định'!$B$23+'Giả định'!$B$24</f>
        <v>32015126.0504202</v>
      </c>
      <c r="F91" s="25" t="n">
        <f aca="false">E91-D91</f>
        <v>-311044513.94958</v>
      </c>
      <c r="G91" s="25" t="n">
        <f aca="false">E91-C91</f>
        <v>-167439513.94958</v>
      </c>
      <c r="H91" s="7" t="str">
        <f aca="false">IF(F91&gt;=0,A91,"")</f>
        <v/>
      </c>
      <c r="I91" s="7" t="n">
        <f aca="false">IF(F91&lt;0,A91,0)</f>
        <v>86</v>
      </c>
      <c r="J91" s="7" t="str">
        <f aca="false">IF(G91&gt;=0,A91,"")</f>
        <v/>
      </c>
      <c r="K91" s="7" t="n">
        <f aca="false">IF(G91&lt;0,A91,0)</f>
        <v>86</v>
      </c>
    </row>
    <row r="92" customFormat="false" ht="15" hidden="false" customHeight="false" outlineLevel="0" collapsed="false">
      <c r="A92" s="7" t="n">
        <f aca="false">A91+1</f>
        <v>87</v>
      </c>
      <c r="B92" s="7" t="n">
        <f aca="false">MAX('Giả định'!$B$9,ROUNDUP(A92/'Giả định'!$B$7,0)+'Giả định'!$B$8)</f>
        <v>15</v>
      </c>
      <c r="C92" s="25" t="n">
        <f aca="false">('Chi phí'!$C$76+'Chi phí'!$D$76*B92+'Chi phí'!$E$76*A92+'Giả định'!$B$15*('Chi phí'!$F$76+'Chi phí'!$G$76*B92+'Chi phí'!$H$76*A92))*(1+'Giả định'!$B$16)</f>
        <v>199491380</v>
      </c>
      <c r="D92" s="25" t="n">
        <f aca="false">('Chi phí'!$C$77+'Chi phí'!$D$77*B92+'Chi phí'!$E$77*A92+'Giả định'!$B$15*('Chi phí'!$F$77+'Chi phí'!$G$77*B92+'Chi phí'!$H$77*A92))*(1+'Giả định'!$B$16)</f>
        <v>343096380</v>
      </c>
      <c r="E92" s="25" t="n">
        <f aca="false">A92/'Giả định'!$B$19*'Giả định'!$B$20+A92*'Giả định'!$B$23+'Giả định'!$B$24</f>
        <v>32387394.9579832</v>
      </c>
      <c r="F92" s="25" t="n">
        <f aca="false">E92-D92</f>
        <v>-310708985.042017</v>
      </c>
      <c r="G92" s="25" t="n">
        <f aca="false">E92-C92</f>
        <v>-167103985.042017</v>
      </c>
      <c r="H92" s="7" t="str">
        <f aca="false">IF(F92&gt;=0,A92,"")</f>
        <v/>
      </c>
      <c r="I92" s="7" t="n">
        <f aca="false">IF(F92&lt;0,A92,0)</f>
        <v>87</v>
      </c>
      <c r="J92" s="7" t="str">
        <f aca="false">IF(G92&gt;=0,A92,"")</f>
        <v/>
      </c>
      <c r="K92" s="7" t="n">
        <f aca="false">IF(G92&lt;0,A92,0)</f>
        <v>87</v>
      </c>
    </row>
    <row r="93" customFormat="false" ht="15" hidden="false" customHeight="false" outlineLevel="0" collapsed="false">
      <c r="A93" s="7" t="n">
        <f aca="false">A92+1</f>
        <v>88</v>
      </c>
      <c r="B93" s="7" t="n">
        <f aca="false">MAX('Giả định'!$B$9,ROUNDUP(A93/'Giả định'!$B$7,0)+'Giả định'!$B$8)</f>
        <v>15</v>
      </c>
      <c r="C93" s="25" t="n">
        <f aca="false">('Chi phí'!$C$76+'Chi phí'!$D$76*B93+'Chi phí'!$E$76*A93+'Giả định'!$B$15*('Chi phí'!$F$76+'Chi phí'!$G$76*B93+'Chi phí'!$H$76*A93))*(1+'Giả định'!$B$16)</f>
        <v>199528120</v>
      </c>
      <c r="D93" s="25" t="n">
        <f aca="false">('Chi phí'!$C$77+'Chi phí'!$D$77*B93+'Chi phí'!$E$77*A93+'Giả định'!$B$15*('Chi phí'!$F$77+'Chi phí'!$G$77*B93+'Chi phí'!$H$77*A93))*(1+'Giả định'!$B$16)</f>
        <v>343133120</v>
      </c>
      <c r="E93" s="25" t="n">
        <f aca="false">A93/'Giả định'!$B$19*'Giả định'!$B$20+A93*'Giả định'!$B$23+'Giả định'!$B$24</f>
        <v>32759663.8655462</v>
      </c>
      <c r="F93" s="25" t="n">
        <f aca="false">E93-D93</f>
        <v>-310373456.134454</v>
      </c>
      <c r="G93" s="25" t="n">
        <f aca="false">E93-C93</f>
        <v>-166768456.134454</v>
      </c>
      <c r="H93" s="7" t="str">
        <f aca="false">IF(F93&gt;=0,A93,"")</f>
        <v/>
      </c>
      <c r="I93" s="7" t="n">
        <f aca="false">IF(F93&lt;0,A93,0)</f>
        <v>88</v>
      </c>
      <c r="J93" s="7" t="str">
        <f aca="false">IF(G93&gt;=0,A93,"")</f>
        <v/>
      </c>
      <c r="K93" s="7" t="n">
        <f aca="false">IF(G93&lt;0,A93,0)</f>
        <v>88</v>
      </c>
    </row>
    <row r="94" customFormat="false" ht="15" hidden="false" customHeight="false" outlineLevel="0" collapsed="false">
      <c r="A94" s="7" t="n">
        <f aca="false">A93+1</f>
        <v>89</v>
      </c>
      <c r="B94" s="7" t="n">
        <f aca="false">MAX('Giả định'!$B$9,ROUNDUP(A94/'Giả định'!$B$7,0)+'Giả định'!$B$8)</f>
        <v>15</v>
      </c>
      <c r="C94" s="25" t="n">
        <f aca="false">('Chi phí'!$C$76+'Chi phí'!$D$76*B94+'Chi phí'!$E$76*A94+'Giả định'!$B$15*('Chi phí'!$F$76+'Chi phí'!$G$76*B94+'Chi phí'!$H$76*A94))*(1+'Giả định'!$B$16)</f>
        <v>199564860</v>
      </c>
      <c r="D94" s="25" t="n">
        <f aca="false">('Chi phí'!$C$77+'Chi phí'!$D$77*B94+'Chi phí'!$E$77*A94+'Giả định'!$B$15*('Chi phí'!$F$77+'Chi phí'!$G$77*B94+'Chi phí'!$H$77*A94))*(1+'Giả định'!$B$16)</f>
        <v>343169860</v>
      </c>
      <c r="E94" s="25" t="n">
        <f aca="false">A94/'Giả định'!$B$19*'Giả định'!$B$20+A94*'Giả định'!$B$23+'Giả định'!$B$24</f>
        <v>33131932.7731092</v>
      </c>
      <c r="F94" s="25" t="n">
        <f aca="false">E94-D94</f>
        <v>-310037927.226891</v>
      </c>
      <c r="G94" s="25" t="n">
        <f aca="false">E94-C94</f>
        <v>-166432927.226891</v>
      </c>
      <c r="H94" s="7" t="str">
        <f aca="false">IF(F94&gt;=0,A94,"")</f>
        <v/>
      </c>
      <c r="I94" s="7" t="n">
        <f aca="false">IF(F94&lt;0,A94,0)</f>
        <v>89</v>
      </c>
      <c r="J94" s="7" t="str">
        <f aca="false">IF(G94&gt;=0,A94,"")</f>
        <v/>
      </c>
      <c r="K94" s="7" t="n">
        <f aca="false">IF(G94&lt;0,A94,0)</f>
        <v>89</v>
      </c>
    </row>
    <row r="95" customFormat="false" ht="15" hidden="false" customHeight="false" outlineLevel="0" collapsed="false">
      <c r="A95" s="7" t="n">
        <f aca="false">A94+1</f>
        <v>90</v>
      </c>
      <c r="B95" s="7" t="n">
        <f aca="false">MAX('Giả định'!$B$9,ROUNDUP(A95/'Giả định'!$B$7,0)+'Giả định'!$B$8)</f>
        <v>15</v>
      </c>
      <c r="C95" s="25" t="n">
        <f aca="false">('Chi phí'!$C$76+'Chi phí'!$D$76*B95+'Chi phí'!$E$76*A95+'Giả định'!$B$15*('Chi phí'!$F$76+'Chi phí'!$G$76*B95+'Chi phí'!$H$76*A95))*(1+'Giả định'!$B$16)</f>
        <v>199601600</v>
      </c>
      <c r="D95" s="25" t="n">
        <f aca="false">('Chi phí'!$C$77+'Chi phí'!$D$77*B95+'Chi phí'!$E$77*A95+'Giả định'!$B$15*('Chi phí'!$F$77+'Chi phí'!$G$77*B95+'Chi phí'!$H$77*A95))*(1+'Giả định'!$B$16)</f>
        <v>343206600</v>
      </c>
      <c r="E95" s="25" t="n">
        <f aca="false">A95/'Giả định'!$B$19*'Giả định'!$B$20+A95*'Giả định'!$B$23+'Giả định'!$B$24</f>
        <v>33504201.6806723</v>
      </c>
      <c r="F95" s="25" t="n">
        <f aca="false">E95-D95</f>
        <v>-309702398.319328</v>
      </c>
      <c r="G95" s="25" t="n">
        <f aca="false">E95-C95</f>
        <v>-166097398.319328</v>
      </c>
      <c r="H95" s="7" t="str">
        <f aca="false">IF(F95&gt;=0,A95,"")</f>
        <v/>
      </c>
      <c r="I95" s="7" t="n">
        <f aca="false">IF(F95&lt;0,A95,0)</f>
        <v>90</v>
      </c>
      <c r="J95" s="7" t="str">
        <f aca="false">IF(G95&gt;=0,A95,"")</f>
        <v/>
      </c>
      <c r="K95" s="7" t="n">
        <f aca="false">IF(G95&lt;0,A95,0)</f>
        <v>90</v>
      </c>
    </row>
    <row r="96" customFormat="false" ht="15" hidden="false" customHeight="false" outlineLevel="0" collapsed="false">
      <c r="A96" s="7" t="n">
        <f aca="false">A95+1</f>
        <v>91</v>
      </c>
      <c r="B96" s="7" t="n">
        <f aca="false">MAX('Giả định'!$B$9,ROUNDUP(A96/'Giả định'!$B$7,0)+'Giả định'!$B$8)</f>
        <v>15</v>
      </c>
      <c r="C96" s="25" t="n">
        <f aca="false">('Chi phí'!$C$76+'Chi phí'!$D$76*B96+'Chi phí'!$E$76*A96+'Giả định'!$B$15*('Chi phí'!$F$76+'Chi phí'!$G$76*B96+'Chi phí'!$H$76*A96))*(1+'Giả định'!$B$16)</f>
        <v>199638340</v>
      </c>
      <c r="D96" s="25" t="n">
        <f aca="false">('Chi phí'!$C$77+'Chi phí'!$D$77*B96+'Chi phí'!$E$77*A96+'Giả định'!$B$15*('Chi phí'!$F$77+'Chi phí'!$G$77*B96+'Chi phí'!$H$77*A96))*(1+'Giả định'!$B$16)</f>
        <v>343243340</v>
      </c>
      <c r="E96" s="25" t="n">
        <f aca="false">A96/'Giả định'!$B$19*'Giả định'!$B$20+A96*'Giả định'!$B$23+'Giả định'!$B$24</f>
        <v>33876470.5882353</v>
      </c>
      <c r="F96" s="25" t="n">
        <f aca="false">E96-D96</f>
        <v>-309366869.411765</v>
      </c>
      <c r="G96" s="25" t="n">
        <f aca="false">E96-C96</f>
        <v>-165761869.411765</v>
      </c>
      <c r="H96" s="7" t="str">
        <f aca="false">IF(F96&gt;=0,A96,"")</f>
        <v/>
      </c>
      <c r="I96" s="7" t="n">
        <f aca="false">IF(F96&lt;0,A96,0)</f>
        <v>91</v>
      </c>
      <c r="J96" s="7" t="str">
        <f aca="false">IF(G96&gt;=0,A96,"")</f>
        <v/>
      </c>
      <c r="K96" s="7" t="n">
        <f aca="false">IF(G96&lt;0,A96,0)</f>
        <v>91</v>
      </c>
    </row>
    <row r="97" customFormat="false" ht="15" hidden="false" customHeight="false" outlineLevel="0" collapsed="false">
      <c r="A97" s="7" t="n">
        <f aca="false">A96+1</f>
        <v>92</v>
      </c>
      <c r="B97" s="7" t="n">
        <f aca="false">MAX('Giả định'!$B$9,ROUNDUP(A97/'Giả định'!$B$7,0)+'Giả định'!$B$8)</f>
        <v>15</v>
      </c>
      <c r="C97" s="25" t="n">
        <f aca="false">('Chi phí'!$C$76+'Chi phí'!$D$76*B97+'Chi phí'!$E$76*A97+'Giả định'!$B$15*('Chi phí'!$F$76+'Chi phí'!$G$76*B97+'Chi phí'!$H$76*A97))*(1+'Giả định'!$B$16)</f>
        <v>199675080</v>
      </c>
      <c r="D97" s="25" t="n">
        <f aca="false">('Chi phí'!$C$77+'Chi phí'!$D$77*B97+'Chi phí'!$E$77*A97+'Giả định'!$B$15*('Chi phí'!$F$77+'Chi phí'!$G$77*B97+'Chi phí'!$H$77*A97))*(1+'Giả định'!$B$16)</f>
        <v>343280080</v>
      </c>
      <c r="E97" s="25" t="n">
        <f aca="false">A97/'Giả định'!$B$19*'Giả định'!$B$20+A97*'Giả định'!$B$23+'Giả định'!$B$24</f>
        <v>34248739.4957983</v>
      </c>
      <c r="F97" s="25" t="n">
        <f aca="false">E97-D97</f>
        <v>-309031340.504202</v>
      </c>
      <c r="G97" s="25" t="n">
        <f aca="false">E97-C97</f>
        <v>-165426340.504202</v>
      </c>
      <c r="H97" s="7" t="str">
        <f aca="false">IF(F97&gt;=0,A97,"")</f>
        <v/>
      </c>
      <c r="I97" s="7" t="n">
        <f aca="false">IF(F97&lt;0,A97,0)</f>
        <v>92</v>
      </c>
      <c r="J97" s="7" t="str">
        <f aca="false">IF(G97&gt;=0,A97,"")</f>
        <v/>
      </c>
      <c r="K97" s="7" t="n">
        <f aca="false">IF(G97&lt;0,A97,0)</f>
        <v>92</v>
      </c>
    </row>
    <row r="98" customFormat="false" ht="15" hidden="false" customHeight="false" outlineLevel="0" collapsed="false">
      <c r="A98" s="7" t="n">
        <f aca="false">A97+1</f>
        <v>93</v>
      </c>
      <c r="B98" s="7" t="n">
        <f aca="false">MAX('Giả định'!$B$9,ROUNDUP(A98/'Giả định'!$B$7,0)+'Giả định'!$B$8)</f>
        <v>15</v>
      </c>
      <c r="C98" s="25" t="n">
        <f aca="false">('Chi phí'!$C$76+'Chi phí'!$D$76*B98+'Chi phí'!$E$76*A98+'Giả định'!$B$15*('Chi phí'!$F$76+'Chi phí'!$G$76*B98+'Chi phí'!$H$76*A98))*(1+'Giả định'!$B$16)</f>
        <v>199711820</v>
      </c>
      <c r="D98" s="25" t="n">
        <f aca="false">('Chi phí'!$C$77+'Chi phí'!$D$77*B98+'Chi phí'!$E$77*A98+'Giả định'!$B$15*('Chi phí'!$F$77+'Chi phí'!$G$77*B98+'Chi phí'!$H$77*A98))*(1+'Giả định'!$B$16)</f>
        <v>343316820</v>
      </c>
      <c r="E98" s="25" t="n">
        <f aca="false">A98/'Giả định'!$B$19*'Giả định'!$B$20+A98*'Giả định'!$B$23+'Giả định'!$B$24</f>
        <v>34621008.4033614</v>
      </c>
      <c r="F98" s="25" t="n">
        <f aca="false">E98-D98</f>
        <v>-308695811.596639</v>
      </c>
      <c r="G98" s="25" t="n">
        <f aca="false">E98-C98</f>
        <v>-165090811.596639</v>
      </c>
      <c r="H98" s="7" t="str">
        <f aca="false">IF(F98&gt;=0,A98,"")</f>
        <v/>
      </c>
      <c r="I98" s="7" t="n">
        <f aca="false">IF(F98&lt;0,A98,0)</f>
        <v>93</v>
      </c>
      <c r="J98" s="7" t="str">
        <f aca="false">IF(G98&gt;=0,A98,"")</f>
        <v/>
      </c>
      <c r="K98" s="7" t="n">
        <f aca="false">IF(G98&lt;0,A98,0)</f>
        <v>93</v>
      </c>
    </row>
    <row r="99" customFormat="false" ht="15" hidden="false" customHeight="false" outlineLevel="0" collapsed="false">
      <c r="A99" s="7" t="n">
        <f aca="false">A98+1</f>
        <v>94</v>
      </c>
      <c r="B99" s="7" t="n">
        <f aca="false">MAX('Giả định'!$B$9,ROUNDUP(A99/'Giả định'!$B$7,0)+'Giả định'!$B$8)</f>
        <v>15</v>
      </c>
      <c r="C99" s="25" t="n">
        <f aca="false">('Chi phí'!$C$76+'Chi phí'!$D$76*B99+'Chi phí'!$E$76*A99+'Giả định'!$B$15*('Chi phí'!$F$76+'Chi phí'!$G$76*B99+'Chi phí'!$H$76*A99))*(1+'Giả định'!$B$16)</f>
        <v>199748560</v>
      </c>
      <c r="D99" s="25" t="n">
        <f aca="false">('Chi phí'!$C$77+'Chi phí'!$D$77*B99+'Chi phí'!$E$77*A99+'Giả định'!$B$15*('Chi phí'!$F$77+'Chi phí'!$G$77*B99+'Chi phí'!$H$77*A99))*(1+'Giả định'!$B$16)</f>
        <v>343353560</v>
      </c>
      <c r="E99" s="25" t="n">
        <f aca="false">A99/'Giả định'!$B$19*'Giả định'!$B$20+A99*'Giả định'!$B$23+'Giả định'!$B$24</f>
        <v>34993277.3109244</v>
      </c>
      <c r="F99" s="25" t="n">
        <f aca="false">E99-D99</f>
        <v>-308360282.689076</v>
      </c>
      <c r="G99" s="25" t="n">
        <f aca="false">E99-C99</f>
        <v>-164755282.689076</v>
      </c>
      <c r="H99" s="7" t="str">
        <f aca="false">IF(F99&gt;=0,A99,"")</f>
        <v/>
      </c>
      <c r="I99" s="7" t="n">
        <f aca="false">IF(F99&lt;0,A99,0)</f>
        <v>94</v>
      </c>
      <c r="J99" s="7" t="str">
        <f aca="false">IF(G99&gt;=0,A99,"")</f>
        <v/>
      </c>
      <c r="K99" s="7" t="n">
        <f aca="false">IF(G99&lt;0,A99,0)</f>
        <v>94</v>
      </c>
    </row>
    <row r="100" customFormat="false" ht="15" hidden="false" customHeight="false" outlineLevel="0" collapsed="false">
      <c r="A100" s="7" t="n">
        <f aca="false">A99+1</f>
        <v>95</v>
      </c>
      <c r="B100" s="7" t="n">
        <f aca="false">MAX('Giả định'!$B$9,ROUNDUP(A100/'Giả định'!$B$7,0)+'Giả định'!$B$8)</f>
        <v>15</v>
      </c>
      <c r="C100" s="25" t="n">
        <f aca="false">('Chi phí'!$C$76+'Chi phí'!$D$76*B100+'Chi phí'!$E$76*A100+'Giả định'!$B$15*('Chi phí'!$F$76+'Chi phí'!$G$76*B100+'Chi phí'!$H$76*A100))*(1+'Giả định'!$B$16)</f>
        <v>199785300</v>
      </c>
      <c r="D100" s="25" t="n">
        <f aca="false">('Chi phí'!$C$77+'Chi phí'!$D$77*B100+'Chi phí'!$E$77*A100+'Giả định'!$B$15*('Chi phí'!$F$77+'Chi phí'!$G$77*B100+'Chi phí'!$H$77*A100))*(1+'Giả định'!$B$16)</f>
        <v>343390300</v>
      </c>
      <c r="E100" s="25" t="n">
        <f aca="false">A100/'Giả định'!$B$19*'Giả định'!$B$20+A100*'Giả định'!$B$23+'Giả định'!$B$24</f>
        <v>35365546.2184874</v>
      </c>
      <c r="F100" s="25" t="n">
        <f aca="false">E100-D100</f>
        <v>-308024753.781513</v>
      </c>
      <c r="G100" s="25" t="n">
        <f aca="false">E100-C100</f>
        <v>-164419753.781513</v>
      </c>
      <c r="H100" s="7" t="str">
        <f aca="false">IF(F100&gt;=0,A100,"")</f>
        <v/>
      </c>
      <c r="I100" s="7" t="n">
        <f aca="false">IF(F100&lt;0,A100,0)</f>
        <v>95</v>
      </c>
      <c r="J100" s="7" t="str">
        <f aca="false">IF(G100&gt;=0,A100,"")</f>
        <v/>
      </c>
      <c r="K100" s="7" t="n">
        <f aca="false">IF(G100&lt;0,A100,0)</f>
        <v>95</v>
      </c>
    </row>
    <row r="101" customFormat="false" ht="15" hidden="false" customHeight="false" outlineLevel="0" collapsed="false">
      <c r="A101" s="7" t="n">
        <f aca="false">A100+1</f>
        <v>96</v>
      </c>
      <c r="B101" s="7" t="n">
        <f aca="false">MAX('Giả định'!$B$9,ROUNDUP(A101/'Giả định'!$B$7,0)+'Giả định'!$B$8)</f>
        <v>15</v>
      </c>
      <c r="C101" s="25" t="n">
        <f aca="false">('Chi phí'!$C$76+'Chi phí'!$D$76*B101+'Chi phí'!$E$76*A101+'Giả định'!$B$15*('Chi phí'!$F$76+'Chi phí'!$G$76*B101+'Chi phí'!$H$76*A101))*(1+'Giả định'!$B$16)</f>
        <v>199822040</v>
      </c>
      <c r="D101" s="25" t="n">
        <f aca="false">('Chi phí'!$C$77+'Chi phí'!$D$77*B101+'Chi phí'!$E$77*A101+'Giả định'!$B$15*('Chi phí'!$F$77+'Chi phí'!$G$77*B101+'Chi phí'!$H$77*A101))*(1+'Giả định'!$B$16)</f>
        <v>343427040</v>
      </c>
      <c r="E101" s="25" t="n">
        <f aca="false">A101/'Giả định'!$B$19*'Giả định'!$B$20+A101*'Giả định'!$B$23+'Giả định'!$B$24</f>
        <v>35737815.1260504</v>
      </c>
      <c r="F101" s="25" t="n">
        <f aca="false">E101-D101</f>
        <v>-307689224.87395</v>
      </c>
      <c r="G101" s="25" t="n">
        <f aca="false">E101-C101</f>
        <v>-164084224.87395</v>
      </c>
      <c r="H101" s="7" t="str">
        <f aca="false">IF(F101&gt;=0,A101,"")</f>
        <v/>
      </c>
      <c r="I101" s="7" t="n">
        <f aca="false">IF(F101&lt;0,A101,0)</f>
        <v>96</v>
      </c>
      <c r="J101" s="7" t="str">
        <f aca="false">IF(G101&gt;=0,A101,"")</f>
        <v/>
      </c>
      <c r="K101" s="7" t="n">
        <f aca="false">IF(G101&lt;0,A101,0)</f>
        <v>96</v>
      </c>
    </row>
    <row r="102" customFormat="false" ht="15" hidden="false" customHeight="false" outlineLevel="0" collapsed="false">
      <c r="A102" s="7" t="n">
        <f aca="false">A101+1</f>
        <v>97</v>
      </c>
      <c r="B102" s="7" t="n">
        <f aca="false">MAX('Giả định'!$B$9,ROUNDUP(A102/'Giả định'!$B$7,0)+'Giả định'!$B$8)</f>
        <v>15</v>
      </c>
      <c r="C102" s="25" t="n">
        <f aca="false">('Chi phí'!$C$76+'Chi phí'!$D$76*B102+'Chi phí'!$E$76*A102+'Giả định'!$B$15*('Chi phí'!$F$76+'Chi phí'!$G$76*B102+'Chi phí'!$H$76*A102))*(1+'Giả định'!$B$16)</f>
        <v>199858780</v>
      </c>
      <c r="D102" s="25" t="n">
        <f aca="false">('Chi phí'!$C$77+'Chi phí'!$D$77*B102+'Chi phí'!$E$77*A102+'Giả định'!$B$15*('Chi phí'!$F$77+'Chi phí'!$G$77*B102+'Chi phí'!$H$77*A102))*(1+'Giả định'!$B$16)</f>
        <v>343463780</v>
      </c>
      <c r="E102" s="25" t="n">
        <f aca="false">A102/'Giả định'!$B$19*'Giả định'!$B$20+A102*'Giả định'!$B$23+'Giả định'!$B$24</f>
        <v>36110084.0336135</v>
      </c>
      <c r="F102" s="25" t="n">
        <f aca="false">E102-D102</f>
        <v>-307353695.966387</v>
      </c>
      <c r="G102" s="25" t="n">
        <f aca="false">E102-C102</f>
        <v>-163748695.966387</v>
      </c>
      <c r="H102" s="7" t="str">
        <f aca="false">IF(F102&gt;=0,A102,"")</f>
        <v/>
      </c>
      <c r="I102" s="7" t="n">
        <f aca="false">IF(F102&lt;0,A102,0)</f>
        <v>97</v>
      </c>
      <c r="J102" s="7" t="str">
        <f aca="false">IF(G102&gt;=0,A102,"")</f>
        <v/>
      </c>
      <c r="K102" s="7" t="n">
        <f aca="false">IF(G102&lt;0,A102,0)</f>
        <v>97</v>
      </c>
    </row>
    <row r="103" customFormat="false" ht="15" hidden="false" customHeight="false" outlineLevel="0" collapsed="false">
      <c r="A103" s="7" t="n">
        <f aca="false">A102+1</f>
        <v>98</v>
      </c>
      <c r="B103" s="7" t="n">
        <f aca="false">MAX('Giả định'!$B$9,ROUNDUP(A103/'Giả định'!$B$7,0)+'Giả định'!$B$8)</f>
        <v>15</v>
      </c>
      <c r="C103" s="25" t="n">
        <f aca="false">('Chi phí'!$C$76+'Chi phí'!$D$76*B103+'Chi phí'!$E$76*A103+'Giả định'!$B$15*('Chi phí'!$F$76+'Chi phí'!$G$76*B103+'Chi phí'!$H$76*A103))*(1+'Giả định'!$B$16)</f>
        <v>199895520</v>
      </c>
      <c r="D103" s="25" t="n">
        <f aca="false">('Chi phí'!$C$77+'Chi phí'!$D$77*B103+'Chi phí'!$E$77*A103+'Giả định'!$B$15*('Chi phí'!$F$77+'Chi phí'!$G$77*B103+'Chi phí'!$H$77*A103))*(1+'Giả định'!$B$16)</f>
        <v>343500520</v>
      </c>
      <c r="E103" s="25" t="n">
        <f aca="false">A103/'Giả định'!$B$19*'Giả định'!$B$20+A103*'Giả định'!$B$23+'Giả định'!$B$24</f>
        <v>36482352.9411765</v>
      </c>
      <c r="F103" s="25" t="n">
        <f aca="false">E103-D103</f>
        <v>-307018167.058824</v>
      </c>
      <c r="G103" s="25" t="n">
        <f aca="false">E103-C103</f>
        <v>-163413167.058824</v>
      </c>
      <c r="H103" s="7" t="str">
        <f aca="false">IF(F103&gt;=0,A103,"")</f>
        <v/>
      </c>
      <c r="I103" s="7" t="n">
        <f aca="false">IF(F103&lt;0,A103,0)</f>
        <v>98</v>
      </c>
      <c r="J103" s="7" t="str">
        <f aca="false">IF(G103&gt;=0,A103,"")</f>
        <v/>
      </c>
      <c r="K103" s="7" t="n">
        <f aca="false">IF(G103&lt;0,A103,0)</f>
        <v>98</v>
      </c>
    </row>
    <row r="104" customFormat="false" ht="15" hidden="false" customHeight="false" outlineLevel="0" collapsed="false">
      <c r="A104" s="7" t="n">
        <f aca="false">A103+1</f>
        <v>99</v>
      </c>
      <c r="B104" s="7" t="n">
        <f aca="false">MAX('Giả định'!$B$9,ROUNDUP(A104/'Giả định'!$B$7,0)+'Giả định'!$B$8)</f>
        <v>15</v>
      </c>
      <c r="C104" s="25" t="n">
        <f aca="false">('Chi phí'!$C$76+'Chi phí'!$D$76*B104+'Chi phí'!$E$76*A104+'Giả định'!$B$15*('Chi phí'!$F$76+'Chi phí'!$G$76*B104+'Chi phí'!$H$76*A104))*(1+'Giả định'!$B$16)</f>
        <v>199932260</v>
      </c>
      <c r="D104" s="25" t="n">
        <f aca="false">('Chi phí'!$C$77+'Chi phí'!$D$77*B104+'Chi phí'!$E$77*A104+'Giả định'!$B$15*('Chi phí'!$F$77+'Chi phí'!$G$77*B104+'Chi phí'!$H$77*A104))*(1+'Giả định'!$B$16)</f>
        <v>343537260</v>
      </c>
      <c r="E104" s="25" t="n">
        <f aca="false">A104/'Giả định'!$B$19*'Giả định'!$B$20+A104*'Giả định'!$B$23+'Giả định'!$B$24</f>
        <v>36854621.8487395</v>
      </c>
      <c r="F104" s="25" t="n">
        <f aca="false">E104-D104</f>
        <v>-306682638.151261</v>
      </c>
      <c r="G104" s="25" t="n">
        <f aca="false">E104-C104</f>
        <v>-163077638.151261</v>
      </c>
      <c r="H104" s="7" t="str">
        <f aca="false">IF(F104&gt;=0,A104,"")</f>
        <v/>
      </c>
      <c r="I104" s="7" t="n">
        <f aca="false">IF(F104&lt;0,A104,0)</f>
        <v>99</v>
      </c>
      <c r="J104" s="7" t="str">
        <f aca="false">IF(G104&gt;=0,A104,"")</f>
        <v/>
      </c>
      <c r="K104" s="7" t="n">
        <f aca="false">IF(G104&lt;0,A104,0)</f>
        <v>99</v>
      </c>
    </row>
    <row r="105" customFormat="false" ht="15" hidden="false" customHeight="false" outlineLevel="0" collapsed="false">
      <c r="A105" s="7" t="n">
        <f aca="false">A104+1</f>
        <v>100</v>
      </c>
      <c r="B105" s="7" t="n">
        <f aca="false">MAX('Giả định'!$B$9,ROUNDUP(A105/'Giả định'!$B$7,0)+'Giả định'!$B$8)</f>
        <v>15</v>
      </c>
      <c r="C105" s="25" t="n">
        <f aca="false">('Chi phí'!$C$76+'Chi phí'!$D$76*B105+'Chi phí'!$E$76*A105+'Giả định'!$B$15*('Chi phí'!$F$76+'Chi phí'!$G$76*B105+'Chi phí'!$H$76*A105))*(1+'Giả định'!$B$16)</f>
        <v>199969000</v>
      </c>
      <c r="D105" s="25" t="n">
        <f aca="false">('Chi phí'!$C$77+'Chi phí'!$D$77*B105+'Chi phí'!$E$77*A105+'Giả định'!$B$15*('Chi phí'!$F$77+'Chi phí'!$G$77*B105+'Chi phí'!$H$77*A105))*(1+'Giả định'!$B$16)</f>
        <v>343574000</v>
      </c>
      <c r="E105" s="25" t="n">
        <f aca="false">A105/'Giả định'!$B$19*'Giả định'!$B$20+A105*'Giả định'!$B$23+'Giả định'!$B$24</f>
        <v>37226890.7563025</v>
      </c>
      <c r="F105" s="25" t="n">
        <f aca="false">E105-D105</f>
        <v>-306347109.243697</v>
      </c>
      <c r="G105" s="25" t="n">
        <f aca="false">E105-C105</f>
        <v>-162742109.243698</v>
      </c>
      <c r="H105" s="7" t="str">
        <f aca="false">IF(F105&gt;=0,A105,"")</f>
        <v/>
      </c>
      <c r="I105" s="7" t="n">
        <f aca="false">IF(F105&lt;0,A105,0)</f>
        <v>100</v>
      </c>
      <c r="J105" s="7" t="str">
        <f aca="false">IF(G105&gt;=0,A105,"")</f>
        <v/>
      </c>
      <c r="K105" s="7" t="n">
        <f aca="false">IF(G105&lt;0,A105,0)</f>
        <v>100</v>
      </c>
    </row>
    <row r="106" customFormat="false" ht="15" hidden="false" customHeight="false" outlineLevel="0" collapsed="false">
      <c r="A106" s="7" t="n">
        <f aca="false">A105+1</f>
        <v>101</v>
      </c>
      <c r="B106" s="7" t="n">
        <f aca="false">MAX('Giả định'!$B$9,ROUNDUP(A106/'Giả định'!$B$7,0)+'Giả định'!$B$8)</f>
        <v>15</v>
      </c>
      <c r="C106" s="25" t="n">
        <f aca="false">('Chi phí'!$C$76+'Chi phí'!$D$76*B106+'Chi phí'!$E$76*A106+'Giả định'!$B$15*('Chi phí'!$F$76+'Chi phí'!$G$76*B106+'Chi phí'!$H$76*A106))*(1+'Giả định'!$B$16)</f>
        <v>200005740</v>
      </c>
      <c r="D106" s="25" t="n">
        <f aca="false">('Chi phí'!$C$77+'Chi phí'!$D$77*B106+'Chi phí'!$E$77*A106+'Giả định'!$B$15*('Chi phí'!$F$77+'Chi phí'!$G$77*B106+'Chi phí'!$H$77*A106))*(1+'Giả định'!$B$16)</f>
        <v>343610740</v>
      </c>
      <c r="E106" s="25" t="n">
        <f aca="false">A106/'Giả định'!$B$19*'Giả định'!$B$20+A106*'Giả định'!$B$23+'Giả định'!$B$24</f>
        <v>37599159.6638656</v>
      </c>
      <c r="F106" s="25" t="n">
        <f aca="false">E106-D106</f>
        <v>-306011580.336134</v>
      </c>
      <c r="G106" s="25" t="n">
        <f aca="false">E106-C106</f>
        <v>-162406580.336135</v>
      </c>
      <c r="H106" s="7" t="str">
        <f aca="false">IF(F106&gt;=0,A106,"")</f>
        <v/>
      </c>
      <c r="I106" s="7" t="n">
        <f aca="false">IF(F106&lt;0,A106,0)</f>
        <v>101</v>
      </c>
      <c r="J106" s="7" t="str">
        <f aca="false">IF(G106&gt;=0,A106,"")</f>
        <v/>
      </c>
      <c r="K106" s="7" t="n">
        <f aca="false">IF(G106&lt;0,A106,0)</f>
        <v>101</v>
      </c>
    </row>
    <row r="107" customFormat="false" ht="15" hidden="false" customHeight="false" outlineLevel="0" collapsed="false">
      <c r="A107" s="7" t="n">
        <f aca="false">A106+1</f>
        <v>102</v>
      </c>
      <c r="B107" s="7" t="n">
        <f aca="false">MAX('Giả định'!$B$9,ROUNDUP(A107/'Giả định'!$B$7,0)+'Giả định'!$B$8)</f>
        <v>15</v>
      </c>
      <c r="C107" s="25" t="n">
        <f aca="false">('Chi phí'!$C$76+'Chi phí'!$D$76*B107+'Chi phí'!$E$76*A107+'Giả định'!$B$15*('Chi phí'!$F$76+'Chi phí'!$G$76*B107+'Chi phí'!$H$76*A107))*(1+'Giả định'!$B$16)</f>
        <v>200042480</v>
      </c>
      <c r="D107" s="25" t="n">
        <f aca="false">('Chi phí'!$C$77+'Chi phí'!$D$77*B107+'Chi phí'!$E$77*A107+'Giả định'!$B$15*('Chi phí'!$F$77+'Chi phí'!$G$77*B107+'Chi phí'!$H$77*A107))*(1+'Giả định'!$B$16)</f>
        <v>343647480</v>
      </c>
      <c r="E107" s="25" t="n">
        <f aca="false">A107/'Giả định'!$B$19*'Giả định'!$B$20+A107*'Giả định'!$B$23+'Giả định'!$B$24</f>
        <v>37971428.5714286</v>
      </c>
      <c r="F107" s="25" t="n">
        <f aca="false">E107-D107</f>
        <v>-305676051.428571</v>
      </c>
      <c r="G107" s="25" t="n">
        <f aca="false">E107-C107</f>
        <v>-162071051.428571</v>
      </c>
      <c r="H107" s="7" t="str">
        <f aca="false">IF(F107&gt;=0,A107,"")</f>
        <v/>
      </c>
      <c r="I107" s="7" t="n">
        <f aca="false">IF(F107&lt;0,A107,0)</f>
        <v>102</v>
      </c>
      <c r="J107" s="7" t="str">
        <f aca="false">IF(G107&gt;=0,A107,"")</f>
        <v/>
      </c>
      <c r="K107" s="7" t="n">
        <f aca="false">IF(G107&lt;0,A107,0)</f>
        <v>102</v>
      </c>
    </row>
    <row r="108" customFormat="false" ht="15" hidden="false" customHeight="false" outlineLevel="0" collapsed="false">
      <c r="A108" s="7" t="n">
        <f aca="false">A107+1</f>
        <v>103</v>
      </c>
      <c r="B108" s="7" t="n">
        <f aca="false">MAX('Giả định'!$B$9,ROUNDUP(A108/'Giả định'!$B$7,0)+'Giả định'!$B$8)</f>
        <v>15</v>
      </c>
      <c r="C108" s="25" t="n">
        <f aca="false">('Chi phí'!$C$76+'Chi phí'!$D$76*B108+'Chi phí'!$E$76*A108+'Giả định'!$B$15*('Chi phí'!$F$76+'Chi phí'!$G$76*B108+'Chi phí'!$H$76*A108))*(1+'Giả định'!$B$16)</f>
        <v>200079220</v>
      </c>
      <c r="D108" s="25" t="n">
        <f aca="false">('Chi phí'!$C$77+'Chi phí'!$D$77*B108+'Chi phí'!$E$77*A108+'Giả định'!$B$15*('Chi phí'!$F$77+'Chi phí'!$G$77*B108+'Chi phí'!$H$77*A108))*(1+'Giả định'!$B$16)</f>
        <v>343684220</v>
      </c>
      <c r="E108" s="25" t="n">
        <f aca="false">A108/'Giả định'!$B$19*'Giả định'!$B$20+A108*'Giả định'!$B$23+'Giả định'!$B$24</f>
        <v>38343697.4789916</v>
      </c>
      <c r="F108" s="25" t="n">
        <f aca="false">E108-D108</f>
        <v>-305340522.521008</v>
      </c>
      <c r="G108" s="25" t="n">
        <f aca="false">E108-C108</f>
        <v>-161735522.521008</v>
      </c>
      <c r="H108" s="7" t="str">
        <f aca="false">IF(F108&gt;=0,A108,"")</f>
        <v/>
      </c>
      <c r="I108" s="7" t="n">
        <f aca="false">IF(F108&lt;0,A108,0)</f>
        <v>103</v>
      </c>
      <c r="J108" s="7" t="str">
        <f aca="false">IF(G108&gt;=0,A108,"")</f>
        <v/>
      </c>
      <c r="K108" s="7" t="n">
        <f aca="false">IF(G108&lt;0,A108,0)</f>
        <v>103</v>
      </c>
    </row>
    <row r="109" customFormat="false" ht="15" hidden="false" customHeight="false" outlineLevel="0" collapsed="false">
      <c r="A109" s="7" t="n">
        <f aca="false">A108+1</f>
        <v>104</v>
      </c>
      <c r="B109" s="7" t="n">
        <f aca="false">MAX('Giả định'!$B$9,ROUNDUP(A109/'Giả định'!$B$7,0)+'Giả định'!$B$8)</f>
        <v>15</v>
      </c>
      <c r="C109" s="25" t="n">
        <f aca="false">('Chi phí'!$C$76+'Chi phí'!$D$76*B109+'Chi phí'!$E$76*A109+'Giả định'!$B$15*('Chi phí'!$F$76+'Chi phí'!$G$76*B109+'Chi phí'!$H$76*A109))*(1+'Giả định'!$B$16)</f>
        <v>200115960</v>
      </c>
      <c r="D109" s="25" t="n">
        <f aca="false">('Chi phí'!$C$77+'Chi phí'!$D$77*B109+'Chi phí'!$E$77*A109+'Giả định'!$B$15*('Chi phí'!$F$77+'Chi phí'!$G$77*B109+'Chi phí'!$H$77*A109))*(1+'Giả định'!$B$16)</f>
        <v>343720960</v>
      </c>
      <c r="E109" s="25" t="n">
        <f aca="false">A109/'Giả định'!$B$19*'Giả định'!$B$20+A109*'Giả định'!$B$23+'Giả định'!$B$24</f>
        <v>38715966.3865546</v>
      </c>
      <c r="F109" s="25" t="n">
        <f aca="false">E109-D109</f>
        <v>-305004993.613445</v>
      </c>
      <c r="G109" s="25" t="n">
        <f aca="false">E109-C109</f>
        <v>-161399993.613445</v>
      </c>
      <c r="H109" s="7" t="str">
        <f aca="false">IF(F109&gt;=0,A109,"")</f>
        <v/>
      </c>
      <c r="I109" s="7" t="n">
        <f aca="false">IF(F109&lt;0,A109,0)</f>
        <v>104</v>
      </c>
      <c r="J109" s="7" t="str">
        <f aca="false">IF(G109&gt;=0,A109,"")</f>
        <v/>
      </c>
      <c r="K109" s="7" t="n">
        <f aca="false">IF(G109&lt;0,A109,0)</f>
        <v>104</v>
      </c>
    </row>
    <row r="110" customFormat="false" ht="15" hidden="false" customHeight="false" outlineLevel="0" collapsed="false">
      <c r="A110" s="7" t="n">
        <f aca="false">A109+1</f>
        <v>105</v>
      </c>
      <c r="B110" s="7" t="n">
        <f aca="false">MAX('Giả định'!$B$9,ROUNDUP(A110/'Giả định'!$B$7,0)+'Giả định'!$B$8)</f>
        <v>15</v>
      </c>
      <c r="C110" s="25" t="n">
        <f aca="false">('Chi phí'!$C$76+'Chi phí'!$D$76*B110+'Chi phí'!$E$76*A110+'Giả định'!$B$15*('Chi phí'!$F$76+'Chi phí'!$G$76*B110+'Chi phí'!$H$76*A110))*(1+'Giả định'!$B$16)</f>
        <v>200152700</v>
      </c>
      <c r="D110" s="25" t="n">
        <f aca="false">('Chi phí'!$C$77+'Chi phí'!$D$77*B110+'Chi phí'!$E$77*A110+'Giả định'!$B$15*('Chi phí'!$F$77+'Chi phí'!$G$77*B110+'Chi phí'!$H$77*A110))*(1+'Giả định'!$B$16)</f>
        <v>343757700</v>
      </c>
      <c r="E110" s="25" t="n">
        <f aca="false">A110/'Giả định'!$B$19*'Giả định'!$B$20+A110*'Giả định'!$B$23+'Giả định'!$B$24</f>
        <v>39088235.2941176</v>
      </c>
      <c r="F110" s="25" t="n">
        <f aca="false">E110-D110</f>
        <v>-304669464.705882</v>
      </c>
      <c r="G110" s="25" t="n">
        <f aca="false">E110-C110</f>
        <v>-161064464.705882</v>
      </c>
      <c r="H110" s="7" t="str">
        <f aca="false">IF(F110&gt;=0,A110,"")</f>
        <v/>
      </c>
      <c r="I110" s="7" t="n">
        <f aca="false">IF(F110&lt;0,A110,0)</f>
        <v>105</v>
      </c>
      <c r="J110" s="7" t="str">
        <f aca="false">IF(G110&gt;=0,A110,"")</f>
        <v/>
      </c>
      <c r="K110" s="7" t="n">
        <f aca="false">IF(G110&lt;0,A110,0)</f>
        <v>105</v>
      </c>
    </row>
    <row r="111" customFormat="false" ht="15" hidden="false" customHeight="false" outlineLevel="0" collapsed="false">
      <c r="A111" s="7" t="n">
        <f aca="false">A110+1</f>
        <v>106</v>
      </c>
      <c r="B111" s="7" t="n">
        <f aca="false">MAX('Giả định'!$B$9,ROUNDUP(A111/'Giả định'!$B$7,0)+'Giả định'!$B$8)</f>
        <v>15</v>
      </c>
      <c r="C111" s="25" t="n">
        <f aca="false">('Chi phí'!$C$76+'Chi phí'!$D$76*B111+'Chi phí'!$E$76*A111+'Giả định'!$B$15*('Chi phí'!$F$76+'Chi phí'!$G$76*B111+'Chi phí'!$H$76*A111))*(1+'Giả định'!$B$16)</f>
        <v>200189440</v>
      </c>
      <c r="D111" s="25" t="n">
        <f aca="false">('Chi phí'!$C$77+'Chi phí'!$D$77*B111+'Chi phí'!$E$77*A111+'Giả định'!$B$15*('Chi phí'!$F$77+'Chi phí'!$G$77*B111+'Chi phí'!$H$77*A111))*(1+'Giả định'!$B$16)</f>
        <v>343794440</v>
      </c>
      <c r="E111" s="25" t="n">
        <f aca="false">A111/'Giả định'!$B$19*'Giả định'!$B$20+A111*'Giả định'!$B$23+'Giả định'!$B$24</f>
        <v>39460504.2016807</v>
      </c>
      <c r="F111" s="25" t="n">
        <f aca="false">E111-D111</f>
        <v>-304333935.798319</v>
      </c>
      <c r="G111" s="25" t="n">
        <f aca="false">E111-C111</f>
        <v>-160728935.798319</v>
      </c>
      <c r="H111" s="7" t="str">
        <f aca="false">IF(F111&gt;=0,A111,"")</f>
        <v/>
      </c>
      <c r="I111" s="7" t="n">
        <f aca="false">IF(F111&lt;0,A111,0)</f>
        <v>106</v>
      </c>
      <c r="J111" s="7" t="str">
        <f aca="false">IF(G111&gt;=0,A111,"")</f>
        <v/>
      </c>
      <c r="K111" s="7" t="n">
        <f aca="false">IF(G111&lt;0,A111,0)</f>
        <v>106</v>
      </c>
    </row>
    <row r="112" customFormat="false" ht="15" hidden="false" customHeight="false" outlineLevel="0" collapsed="false">
      <c r="A112" s="7" t="n">
        <f aca="false">A111+1</f>
        <v>107</v>
      </c>
      <c r="B112" s="7" t="n">
        <f aca="false">MAX('Giả định'!$B$9,ROUNDUP(A112/'Giả định'!$B$7,0)+'Giả định'!$B$8)</f>
        <v>15</v>
      </c>
      <c r="C112" s="25" t="n">
        <f aca="false">('Chi phí'!$C$76+'Chi phí'!$D$76*B112+'Chi phí'!$E$76*A112+'Giả định'!$B$15*('Chi phí'!$F$76+'Chi phí'!$G$76*B112+'Chi phí'!$H$76*A112))*(1+'Giả định'!$B$16)</f>
        <v>200226180</v>
      </c>
      <c r="D112" s="25" t="n">
        <f aca="false">('Chi phí'!$C$77+'Chi phí'!$D$77*B112+'Chi phí'!$E$77*A112+'Giả định'!$B$15*('Chi phí'!$F$77+'Chi phí'!$G$77*B112+'Chi phí'!$H$77*A112))*(1+'Giả định'!$B$16)</f>
        <v>343831180</v>
      </c>
      <c r="E112" s="25" t="n">
        <f aca="false">A112/'Giả định'!$B$19*'Giả định'!$B$20+A112*'Giả định'!$B$23+'Giả định'!$B$24</f>
        <v>39832773.1092437</v>
      </c>
      <c r="F112" s="25" t="n">
        <f aca="false">E112-D112</f>
        <v>-303998406.890756</v>
      </c>
      <c r="G112" s="25" t="n">
        <f aca="false">E112-C112</f>
        <v>-160393406.890756</v>
      </c>
      <c r="H112" s="7" t="str">
        <f aca="false">IF(F112&gt;=0,A112,"")</f>
        <v/>
      </c>
      <c r="I112" s="7" t="n">
        <f aca="false">IF(F112&lt;0,A112,0)</f>
        <v>107</v>
      </c>
      <c r="J112" s="7" t="str">
        <f aca="false">IF(G112&gt;=0,A112,"")</f>
        <v/>
      </c>
      <c r="K112" s="7" t="n">
        <f aca="false">IF(G112&lt;0,A112,0)</f>
        <v>107</v>
      </c>
    </row>
    <row r="113" customFormat="false" ht="15" hidden="false" customHeight="false" outlineLevel="0" collapsed="false">
      <c r="A113" s="7" t="n">
        <f aca="false">A112+1</f>
        <v>108</v>
      </c>
      <c r="B113" s="7" t="n">
        <f aca="false">MAX('Giả định'!$B$9,ROUNDUP(A113/'Giả định'!$B$7,0)+'Giả định'!$B$8)</f>
        <v>15</v>
      </c>
      <c r="C113" s="25" t="n">
        <f aca="false">('Chi phí'!$C$76+'Chi phí'!$D$76*B113+'Chi phí'!$E$76*A113+'Giả định'!$B$15*('Chi phí'!$F$76+'Chi phí'!$G$76*B113+'Chi phí'!$H$76*A113))*(1+'Giả định'!$B$16)</f>
        <v>200262920</v>
      </c>
      <c r="D113" s="25" t="n">
        <f aca="false">('Chi phí'!$C$77+'Chi phí'!$D$77*B113+'Chi phí'!$E$77*A113+'Giả định'!$B$15*('Chi phí'!$F$77+'Chi phí'!$G$77*B113+'Chi phí'!$H$77*A113))*(1+'Giả định'!$B$16)</f>
        <v>343867920</v>
      </c>
      <c r="E113" s="25" t="n">
        <f aca="false">A113/'Giả định'!$B$19*'Giả định'!$B$20+A113*'Giả định'!$B$23+'Giả định'!$B$24</f>
        <v>40205042.0168067</v>
      </c>
      <c r="F113" s="25" t="n">
        <f aca="false">E113-D113</f>
        <v>-303662877.983193</v>
      </c>
      <c r="G113" s="25" t="n">
        <f aca="false">E113-C113</f>
        <v>-160057877.983193</v>
      </c>
      <c r="H113" s="7" t="str">
        <f aca="false">IF(F113&gt;=0,A113,"")</f>
        <v/>
      </c>
      <c r="I113" s="7" t="n">
        <f aca="false">IF(F113&lt;0,A113,0)</f>
        <v>108</v>
      </c>
      <c r="J113" s="7" t="str">
        <f aca="false">IF(G113&gt;=0,A113,"")</f>
        <v/>
      </c>
      <c r="K113" s="7" t="n">
        <f aca="false">IF(G113&lt;0,A113,0)</f>
        <v>108</v>
      </c>
    </row>
    <row r="114" customFormat="false" ht="15" hidden="false" customHeight="false" outlineLevel="0" collapsed="false">
      <c r="A114" s="7" t="n">
        <f aca="false">A113+1</f>
        <v>109</v>
      </c>
      <c r="B114" s="7" t="n">
        <f aca="false">MAX('Giả định'!$B$9,ROUNDUP(A114/'Giả định'!$B$7,0)+'Giả định'!$B$8)</f>
        <v>15</v>
      </c>
      <c r="C114" s="25" t="n">
        <f aca="false">('Chi phí'!$C$76+'Chi phí'!$D$76*B114+'Chi phí'!$E$76*A114+'Giả định'!$B$15*('Chi phí'!$F$76+'Chi phí'!$G$76*B114+'Chi phí'!$H$76*A114))*(1+'Giả định'!$B$16)</f>
        <v>200299660</v>
      </c>
      <c r="D114" s="25" t="n">
        <f aca="false">('Chi phí'!$C$77+'Chi phí'!$D$77*B114+'Chi phí'!$E$77*A114+'Giả định'!$B$15*('Chi phí'!$F$77+'Chi phí'!$G$77*B114+'Chi phí'!$H$77*A114))*(1+'Giả định'!$B$16)</f>
        <v>343904660</v>
      </c>
      <c r="E114" s="25" t="n">
        <f aca="false">A114/'Giả định'!$B$19*'Giả định'!$B$20+A114*'Giả định'!$B$23+'Giả định'!$B$24</f>
        <v>40577310.9243698</v>
      </c>
      <c r="F114" s="25" t="n">
        <f aca="false">E114-D114</f>
        <v>-303327349.07563</v>
      </c>
      <c r="G114" s="25" t="n">
        <f aca="false">E114-C114</f>
        <v>-159722349.07563</v>
      </c>
      <c r="H114" s="7" t="str">
        <f aca="false">IF(F114&gt;=0,A114,"")</f>
        <v/>
      </c>
      <c r="I114" s="7" t="n">
        <f aca="false">IF(F114&lt;0,A114,0)</f>
        <v>109</v>
      </c>
      <c r="J114" s="7" t="str">
        <f aca="false">IF(G114&gt;=0,A114,"")</f>
        <v/>
      </c>
      <c r="K114" s="7" t="n">
        <f aca="false">IF(G114&lt;0,A114,0)</f>
        <v>109</v>
      </c>
    </row>
    <row r="115" customFormat="false" ht="15" hidden="false" customHeight="false" outlineLevel="0" collapsed="false">
      <c r="A115" s="7" t="n">
        <f aca="false">A114+1</f>
        <v>110</v>
      </c>
      <c r="B115" s="7" t="n">
        <f aca="false">MAX('Giả định'!$B$9,ROUNDUP(A115/'Giả định'!$B$7,0)+'Giả định'!$B$8)</f>
        <v>15</v>
      </c>
      <c r="C115" s="25" t="n">
        <f aca="false">('Chi phí'!$C$76+'Chi phí'!$D$76*B115+'Chi phí'!$E$76*A115+'Giả định'!$B$15*('Chi phí'!$F$76+'Chi phí'!$G$76*B115+'Chi phí'!$H$76*A115))*(1+'Giả định'!$B$16)</f>
        <v>200336400</v>
      </c>
      <c r="D115" s="25" t="n">
        <f aca="false">('Chi phí'!$C$77+'Chi phí'!$D$77*B115+'Chi phí'!$E$77*A115+'Giả định'!$B$15*('Chi phí'!$F$77+'Chi phí'!$G$77*B115+'Chi phí'!$H$77*A115))*(1+'Giả định'!$B$16)</f>
        <v>343941400</v>
      </c>
      <c r="E115" s="25" t="n">
        <f aca="false">A115/'Giả định'!$B$19*'Giả định'!$B$20+A115*'Giả định'!$B$23+'Giả định'!$B$24</f>
        <v>40949579.8319328</v>
      </c>
      <c r="F115" s="25" t="n">
        <f aca="false">E115-D115</f>
        <v>-302991820.168067</v>
      </c>
      <c r="G115" s="25" t="n">
        <f aca="false">E115-C115</f>
        <v>-159386820.168067</v>
      </c>
      <c r="H115" s="7" t="str">
        <f aca="false">IF(F115&gt;=0,A115,"")</f>
        <v/>
      </c>
      <c r="I115" s="7" t="n">
        <f aca="false">IF(F115&lt;0,A115,0)</f>
        <v>110</v>
      </c>
      <c r="J115" s="7" t="str">
        <f aca="false">IF(G115&gt;=0,A115,"")</f>
        <v/>
      </c>
      <c r="K115" s="7" t="n">
        <f aca="false">IF(G115&lt;0,A115,0)</f>
        <v>110</v>
      </c>
    </row>
    <row r="116" customFormat="false" ht="15" hidden="false" customHeight="false" outlineLevel="0" collapsed="false">
      <c r="A116" s="7" t="n">
        <f aca="false">A115+1</f>
        <v>111</v>
      </c>
      <c r="B116" s="7" t="n">
        <f aca="false">MAX('Giả định'!$B$9,ROUNDUP(A116/'Giả định'!$B$7,0)+'Giả định'!$B$8)</f>
        <v>15</v>
      </c>
      <c r="C116" s="25" t="n">
        <f aca="false">('Chi phí'!$C$76+'Chi phí'!$D$76*B116+'Chi phí'!$E$76*A116+'Giả định'!$B$15*('Chi phí'!$F$76+'Chi phí'!$G$76*B116+'Chi phí'!$H$76*A116))*(1+'Giả định'!$B$16)</f>
        <v>200373140</v>
      </c>
      <c r="D116" s="25" t="n">
        <f aca="false">('Chi phí'!$C$77+'Chi phí'!$D$77*B116+'Chi phí'!$E$77*A116+'Giả định'!$B$15*('Chi phí'!$F$77+'Chi phí'!$G$77*B116+'Chi phí'!$H$77*A116))*(1+'Giả định'!$B$16)</f>
        <v>343978140</v>
      </c>
      <c r="E116" s="25" t="n">
        <f aca="false">A116/'Giả định'!$B$19*'Giả định'!$B$20+A116*'Giả định'!$B$23+'Giả định'!$B$24</f>
        <v>41321848.7394958</v>
      </c>
      <c r="F116" s="25" t="n">
        <f aca="false">E116-D116</f>
        <v>-302656291.260504</v>
      </c>
      <c r="G116" s="25" t="n">
        <f aca="false">E116-C116</f>
        <v>-159051291.260504</v>
      </c>
      <c r="H116" s="7" t="str">
        <f aca="false">IF(F116&gt;=0,A116,"")</f>
        <v/>
      </c>
      <c r="I116" s="7" t="n">
        <f aca="false">IF(F116&lt;0,A116,0)</f>
        <v>111</v>
      </c>
      <c r="J116" s="7" t="str">
        <f aca="false">IF(G116&gt;=0,A116,"")</f>
        <v/>
      </c>
      <c r="K116" s="7" t="n">
        <f aca="false">IF(G116&lt;0,A116,0)</f>
        <v>111</v>
      </c>
    </row>
    <row r="117" customFormat="false" ht="15" hidden="false" customHeight="false" outlineLevel="0" collapsed="false">
      <c r="A117" s="7" t="n">
        <f aca="false">A116+1</f>
        <v>112</v>
      </c>
      <c r="B117" s="7" t="n">
        <f aca="false">MAX('Giả định'!$B$9,ROUNDUP(A117/'Giả định'!$B$7,0)+'Giả định'!$B$8)</f>
        <v>15</v>
      </c>
      <c r="C117" s="25" t="n">
        <f aca="false">('Chi phí'!$C$76+'Chi phí'!$D$76*B117+'Chi phí'!$E$76*A117+'Giả định'!$B$15*('Chi phí'!$F$76+'Chi phí'!$G$76*B117+'Chi phí'!$H$76*A117))*(1+'Giả định'!$B$16)</f>
        <v>200409880</v>
      </c>
      <c r="D117" s="25" t="n">
        <f aca="false">('Chi phí'!$C$77+'Chi phí'!$D$77*B117+'Chi phí'!$E$77*A117+'Giả định'!$B$15*('Chi phí'!$F$77+'Chi phí'!$G$77*B117+'Chi phí'!$H$77*A117))*(1+'Giả định'!$B$16)</f>
        <v>344014880</v>
      </c>
      <c r="E117" s="25" t="n">
        <f aca="false">A117/'Giả định'!$B$19*'Giả định'!$B$20+A117*'Giả định'!$B$23+'Giả định'!$B$24</f>
        <v>41694117.6470588</v>
      </c>
      <c r="F117" s="25" t="n">
        <f aca="false">E117-D117</f>
        <v>-302320762.352941</v>
      </c>
      <c r="G117" s="25" t="n">
        <f aca="false">E117-C117</f>
        <v>-158715762.352941</v>
      </c>
      <c r="H117" s="7" t="str">
        <f aca="false">IF(F117&gt;=0,A117,"")</f>
        <v/>
      </c>
      <c r="I117" s="7" t="n">
        <f aca="false">IF(F117&lt;0,A117,0)</f>
        <v>112</v>
      </c>
      <c r="J117" s="7" t="str">
        <f aca="false">IF(G117&gt;=0,A117,"")</f>
        <v/>
      </c>
      <c r="K117" s="7" t="n">
        <f aca="false">IF(G117&lt;0,A117,0)</f>
        <v>112</v>
      </c>
    </row>
    <row r="118" customFormat="false" ht="15" hidden="false" customHeight="false" outlineLevel="0" collapsed="false">
      <c r="A118" s="7" t="n">
        <f aca="false">A117+1</f>
        <v>113</v>
      </c>
      <c r="B118" s="7" t="n">
        <f aca="false">MAX('Giả định'!$B$9,ROUNDUP(A118/'Giả định'!$B$7,0)+'Giả định'!$B$8)</f>
        <v>15</v>
      </c>
      <c r="C118" s="25" t="n">
        <f aca="false">('Chi phí'!$C$76+'Chi phí'!$D$76*B118+'Chi phí'!$E$76*A118+'Giả định'!$B$15*('Chi phí'!$F$76+'Chi phí'!$G$76*B118+'Chi phí'!$H$76*A118))*(1+'Giả định'!$B$16)</f>
        <v>200446620</v>
      </c>
      <c r="D118" s="25" t="n">
        <f aca="false">('Chi phí'!$C$77+'Chi phí'!$D$77*B118+'Chi phí'!$E$77*A118+'Giả định'!$B$15*('Chi phí'!$F$77+'Chi phí'!$G$77*B118+'Chi phí'!$H$77*A118))*(1+'Giả định'!$B$16)</f>
        <v>344051620</v>
      </c>
      <c r="E118" s="25" t="n">
        <f aca="false">A118/'Giả định'!$B$19*'Giả định'!$B$20+A118*'Giả định'!$B$23+'Giả định'!$B$24</f>
        <v>42066386.5546219</v>
      </c>
      <c r="F118" s="25" t="n">
        <f aca="false">E118-D118</f>
        <v>-301985233.445378</v>
      </c>
      <c r="G118" s="25" t="n">
        <f aca="false">E118-C118</f>
        <v>-158380233.445378</v>
      </c>
      <c r="H118" s="7" t="str">
        <f aca="false">IF(F118&gt;=0,A118,"")</f>
        <v/>
      </c>
      <c r="I118" s="7" t="n">
        <f aca="false">IF(F118&lt;0,A118,0)</f>
        <v>113</v>
      </c>
      <c r="J118" s="7" t="str">
        <f aca="false">IF(G118&gt;=0,A118,"")</f>
        <v/>
      </c>
      <c r="K118" s="7" t="n">
        <f aca="false">IF(G118&lt;0,A118,0)</f>
        <v>113</v>
      </c>
    </row>
    <row r="119" customFormat="false" ht="15" hidden="false" customHeight="false" outlineLevel="0" collapsed="false">
      <c r="A119" s="7" t="n">
        <f aca="false">A118+1</f>
        <v>114</v>
      </c>
      <c r="B119" s="7" t="n">
        <f aca="false">MAX('Giả định'!$B$9,ROUNDUP(A119/'Giả định'!$B$7,0)+'Giả định'!$B$8)</f>
        <v>15</v>
      </c>
      <c r="C119" s="25" t="n">
        <f aca="false">('Chi phí'!$C$76+'Chi phí'!$D$76*B119+'Chi phí'!$E$76*A119+'Giả định'!$B$15*('Chi phí'!$F$76+'Chi phí'!$G$76*B119+'Chi phí'!$H$76*A119))*(1+'Giả định'!$B$16)</f>
        <v>200483360</v>
      </c>
      <c r="D119" s="25" t="n">
        <f aca="false">('Chi phí'!$C$77+'Chi phí'!$D$77*B119+'Chi phí'!$E$77*A119+'Giả định'!$B$15*('Chi phí'!$F$77+'Chi phí'!$G$77*B119+'Chi phí'!$H$77*A119))*(1+'Giả định'!$B$16)</f>
        <v>344088360</v>
      </c>
      <c r="E119" s="25" t="n">
        <f aca="false">A119/'Giả định'!$B$19*'Giả định'!$B$20+A119*'Giả định'!$B$23+'Giả định'!$B$24</f>
        <v>42438655.4621849</v>
      </c>
      <c r="F119" s="25" t="n">
        <f aca="false">E119-D119</f>
        <v>-301649704.537815</v>
      </c>
      <c r="G119" s="25" t="n">
        <f aca="false">E119-C119</f>
        <v>-158044704.537815</v>
      </c>
      <c r="H119" s="7" t="str">
        <f aca="false">IF(F119&gt;=0,A119,"")</f>
        <v/>
      </c>
      <c r="I119" s="7" t="n">
        <f aca="false">IF(F119&lt;0,A119,0)</f>
        <v>114</v>
      </c>
      <c r="J119" s="7" t="str">
        <f aca="false">IF(G119&gt;=0,A119,"")</f>
        <v/>
      </c>
      <c r="K119" s="7" t="n">
        <f aca="false">IF(G119&lt;0,A119,0)</f>
        <v>114</v>
      </c>
    </row>
    <row r="120" customFormat="false" ht="15" hidden="false" customHeight="false" outlineLevel="0" collapsed="false">
      <c r="A120" s="7" t="n">
        <f aca="false">A119+1</f>
        <v>115</v>
      </c>
      <c r="B120" s="7" t="n">
        <f aca="false">MAX('Giả định'!$B$9,ROUNDUP(A120/'Giả định'!$B$7,0)+'Giả định'!$B$8)</f>
        <v>15</v>
      </c>
      <c r="C120" s="25" t="n">
        <f aca="false">('Chi phí'!$C$76+'Chi phí'!$D$76*B120+'Chi phí'!$E$76*A120+'Giả định'!$B$15*('Chi phí'!$F$76+'Chi phí'!$G$76*B120+'Chi phí'!$H$76*A120))*(1+'Giả định'!$B$16)</f>
        <v>200520100</v>
      </c>
      <c r="D120" s="25" t="n">
        <f aca="false">('Chi phí'!$C$77+'Chi phí'!$D$77*B120+'Chi phí'!$E$77*A120+'Giả định'!$B$15*('Chi phí'!$F$77+'Chi phí'!$G$77*B120+'Chi phí'!$H$77*A120))*(1+'Giả định'!$B$16)</f>
        <v>344125100</v>
      </c>
      <c r="E120" s="25" t="n">
        <f aca="false">A120/'Giả định'!$B$19*'Giả định'!$B$20+A120*'Giả định'!$B$23+'Giả định'!$B$24</f>
        <v>42810924.3697479</v>
      </c>
      <c r="F120" s="25" t="n">
        <f aca="false">E120-D120</f>
        <v>-301314175.630252</v>
      </c>
      <c r="G120" s="25" t="n">
        <f aca="false">E120-C120</f>
        <v>-157709175.630252</v>
      </c>
      <c r="H120" s="7" t="str">
        <f aca="false">IF(F120&gt;=0,A120,"")</f>
        <v/>
      </c>
      <c r="I120" s="7" t="n">
        <f aca="false">IF(F120&lt;0,A120,0)</f>
        <v>115</v>
      </c>
      <c r="J120" s="7" t="str">
        <f aca="false">IF(G120&gt;=0,A120,"")</f>
        <v/>
      </c>
      <c r="K120" s="7" t="n">
        <f aca="false">IF(G120&lt;0,A120,0)</f>
        <v>115</v>
      </c>
    </row>
    <row r="121" customFormat="false" ht="15" hidden="false" customHeight="false" outlineLevel="0" collapsed="false">
      <c r="A121" s="7" t="n">
        <f aca="false">A120+1</f>
        <v>116</v>
      </c>
      <c r="B121" s="7" t="n">
        <f aca="false">MAX('Giả định'!$B$9,ROUNDUP(A121/'Giả định'!$B$7,0)+'Giả định'!$B$8)</f>
        <v>15</v>
      </c>
      <c r="C121" s="25" t="n">
        <f aca="false">('Chi phí'!$C$76+'Chi phí'!$D$76*B121+'Chi phí'!$E$76*A121+'Giả định'!$B$15*('Chi phí'!$F$76+'Chi phí'!$G$76*B121+'Chi phí'!$H$76*A121))*(1+'Giả định'!$B$16)</f>
        <v>200556840</v>
      </c>
      <c r="D121" s="25" t="n">
        <f aca="false">('Chi phí'!$C$77+'Chi phí'!$D$77*B121+'Chi phí'!$E$77*A121+'Giả định'!$B$15*('Chi phí'!$F$77+'Chi phí'!$G$77*B121+'Chi phí'!$H$77*A121))*(1+'Giả định'!$B$16)</f>
        <v>344161840</v>
      </c>
      <c r="E121" s="25" t="n">
        <f aca="false">A121/'Giả định'!$B$19*'Giả định'!$B$20+A121*'Giả định'!$B$23+'Giả định'!$B$24</f>
        <v>43183193.2773109</v>
      </c>
      <c r="F121" s="25" t="n">
        <f aca="false">E121-D121</f>
        <v>-300978646.722689</v>
      </c>
      <c r="G121" s="25" t="n">
        <f aca="false">E121-C121</f>
        <v>-157373646.722689</v>
      </c>
      <c r="H121" s="7" t="str">
        <f aca="false">IF(F121&gt;=0,A121,"")</f>
        <v/>
      </c>
      <c r="I121" s="7" t="n">
        <f aca="false">IF(F121&lt;0,A121,0)</f>
        <v>116</v>
      </c>
      <c r="J121" s="7" t="str">
        <f aca="false">IF(G121&gt;=0,A121,"")</f>
        <v/>
      </c>
      <c r="K121" s="7" t="n">
        <f aca="false">IF(G121&lt;0,A121,0)</f>
        <v>116</v>
      </c>
    </row>
    <row r="122" customFormat="false" ht="15" hidden="false" customHeight="false" outlineLevel="0" collapsed="false">
      <c r="A122" s="7" t="n">
        <f aca="false">A121+1</f>
        <v>117</v>
      </c>
      <c r="B122" s="7" t="n">
        <f aca="false">MAX('Giả định'!$B$9,ROUNDUP(A122/'Giả định'!$B$7,0)+'Giả định'!$B$8)</f>
        <v>15</v>
      </c>
      <c r="C122" s="25" t="n">
        <f aca="false">('Chi phí'!$C$76+'Chi phí'!$D$76*B122+'Chi phí'!$E$76*A122+'Giả định'!$B$15*('Chi phí'!$F$76+'Chi phí'!$G$76*B122+'Chi phí'!$H$76*A122))*(1+'Giả định'!$B$16)</f>
        <v>200593580</v>
      </c>
      <c r="D122" s="25" t="n">
        <f aca="false">('Chi phí'!$C$77+'Chi phí'!$D$77*B122+'Chi phí'!$E$77*A122+'Giả định'!$B$15*('Chi phí'!$F$77+'Chi phí'!$G$77*B122+'Chi phí'!$H$77*A122))*(1+'Giả định'!$B$16)</f>
        <v>344198580</v>
      </c>
      <c r="E122" s="25" t="n">
        <f aca="false">A122/'Giả định'!$B$19*'Giả định'!$B$20+A122*'Giả định'!$B$23+'Giả định'!$B$24</f>
        <v>43555462.184874</v>
      </c>
      <c r="F122" s="25" t="n">
        <f aca="false">E122-D122</f>
        <v>-300643117.815126</v>
      </c>
      <c r="G122" s="25" t="n">
        <f aca="false">E122-C122</f>
        <v>-157038117.815126</v>
      </c>
      <c r="H122" s="7" t="str">
        <f aca="false">IF(F122&gt;=0,A122,"")</f>
        <v/>
      </c>
      <c r="I122" s="7" t="n">
        <f aca="false">IF(F122&lt;0,A122,0)</f>
        <v>117</v>
      </c>
      <c r="J122" s="7" t="str">
        <f aca="false">IF(G122&gt;=0,A122,"")</f>
        <v/>
      </c>
      <c r="K122" s="7" t="n">
        <f aca="false">IF(G122&lt;0,A122,0)</f>
        <v>117</v>
      </c>
    </row>
    <row r="123" customFormat="false" ht="15" hidden="false" customHeight="false" outlineLevel="0" collapsed="false">
      <c r="A123" s="7" t="n">
        <f aca="false">A122+1</f>
        <v>118</v>
      </c>
      <c r="B123" s="7" t="n">
        <f aca="false">MAX('Giả định'!$B$9,ROUNDUP(A123/'Giả định'!$B$7,0)+'Giả định'!$B$8)</f>
        <v>15</v>
      </c>
      <c r="C123" s="25" t="n">
        <f aca="false">('Chi phí'!$C$76+'Chi phí'!$D$76*B123+'Chi phí'!$E$76*A123+'Giả định'!$B$15*('Chi phí'!$F$76+'Chi phí'!$G$76*B123+'Chi phí'!$H$76*A123))*(1+'Giả định'!$B$16)</f>
        <v>200630320</v>
      </c>
      <c r="D123" s="25" t="n">
        <f aca="false">('Chi phí'!$C$77+'Chi phí'!$D$77*B123+'Chi phí'!$E$77*A123+'Giả định'!$B$15*('Chi phí'!$F$77+'Chi phí'!$G$77*B123+'Chi phí'!$H$77*A123))*(1+'Giả định'!$B$16)</f>
        <v>344235320</v>
      </c>
      <c r="E123" s="25" t="n">
        <f aca="false">A123/'Giả định'!$B$19*'Giả định'!$B$20+A123*'Giả định'!$B$23+'Giả định'!$B$24</f>
        <v>43927731.092437</v>
      </c>
      <c r="F123" s="25" t="n">
        <f aca="false">E123-D123</f>
        <v>-300307588.907563</v>
      </c>
      <c r="G123" s="25" t="n">
        <f aca="false">E123-C123</f>
        <v>-156702588.907563</v>
      </c>
      <c r="H123" s="7" t="str">
        <f aca="false">IF(F123&gt;=0,A123,"")</f>
        <v/>
      </c>
      <c r="I123" s="7" t="n">
        <f aca="false">IF(F123&lt;0,A123,0)</f>
        <v>118</v>
      </c>
      <c r="J123" s="7" t="str">
        <f aca="false">IF(G123&gt;=0,A123,"")</f>
        <v/>
      </c>
      <c r="K123" s="7" t="n">
        <f aca="false">IF(G123&lt;0,A123,0)</f>
        <v>118</v>
      </c>
    </row>
    <row r="124" customFormat="false" ht="15" hidden="false" customHeight="false" outlineLevel="0" collapsed="false">
      <c r="A124" s="7" t="n">
        <f aca="false">A123+1</f>
        <v>119</v>
      </c>
      <c r="B124" s="7" t="n">
        <f aca="false">MAX('Giả định'!$B$9,ROUNDUP(A124/'Giả định'!$B$7,0)+'Giả định'!$B$8)</f>
        <v>15</v>
      </c>
      <c r="C124" s="25" t="n">
        <f aca="false">('Chi phí'!$C$76+'Chi phí'!$D$76*B124+'Chi phí'!$E$76*A124+'Giả định'!$B$15*('Chi phí'!$F$76+'Chi phí'!$G$76*B124+'Chi phí'!$H$76*A124))*(1+'Giả định'!$B$16)</f>
        <v>200667060</v>
      </c>
      <c r="D124" s="25" t="n">
        <f aca="false">('Chi phí'!$C$77+'Chi phí'!$D$77*B124+'Chi phí'!$E$77*A124+'Giả định'!$B$15*('Chi phí'!$F$77+'Chi phí'!$G$77*B124+'Chi phí'!$H$77*A124))*(1+'Giả định'!$B$16)</f>
        <v>344272060</v>
      </c>
      <c r="E124" s="25" t="n">
        <f aca="false">A124/'Giả định'!$B$19*'Giả định'!$B$20+A124*'Giả định'!$B$23+'Giả định'!$B$24</f>
        <v>44300000</v>
      </c>
      <c r="F124" s="25" t="n">
        <f aca="false">E124-D124</f>
        <v>-299972060</v>
      </c>
      <c r="G124" s="25" t="n">
        <f aca="false">E124-C124</f>
        <v>-156367060</v>
      </c>
      <c r="H124" s="7" t="str">
        <f aca="false">IF(F124&gt;=0,A124,"")</f>
        <v/>
      </c>
      <c r="I124" s="7" t="n">
        <f aca="false">IF(F124&lt;0,A124,0)</f>
        <v>119</v>
      </c>
      <c r="J124" s="7" t="str">
        <f aca="false">IF(G124&gt;=0,A124,"")</f>
        <v/>
      </c>
      <c r="K124" s="7" t="n">
        <f aca="false">IF(G124&lt;0,A124,0)</f>
        <v>119</v>
      </c>
    </row>
    <row r="125" customFormat="false" ht="15" hidden="false" customHeight="false" outlineLevel="0" collapsed="false">
      <c r="A125" s="7" t="n">
        <f aca="false">A124+1</f>
        <v>120</v>
      </c>
      <c r="B125" s="7" t="n">
        <f aca="false">MAX('Giả định'!$B$9,ROUNDUP(A125/'Giả định'!$B$7,0)+'Giả định'!$B$8)</f>
        <v>15</v>
      </c>
      <c r="C125" s="25" t="n">
        <f aca="false">('Chi phí'!$C$76+'Chi phí'!$D$76*B125+'Chi phí'!$E$76*A125+'Giả định'!$B$15*('Chi phí'!$F$76+'Chi phí'!$G$76*B125+'Chi phí'!$H$76*A125))*(1+'Giả định'!$B$16)</f>
        <v>200703800</v>
      </c>
      <c r="D125" s="25" t="n">
        <f aca="false">('Chi phí'!$C$77+'Chi phí'!$D$77*B125+'Chi phí'!$E$77*A125+'Giả định'!$B$15*('Chi phí'!$F$77+'Chi phí'!$G$77*B125+'Chi phí'!$H$77*A125))*(1+'Giả định'!$B$16)</f>
        <v>344308800</v>
      </c>
      <c r="E125" s="25" t="n">
        <f aca="false">A125/'Giả định'!$B$19*'Giả định'!$B$20+A125*'Giả định'!$B$23+'Giả định'!$B$24</f>
        <v>44672268.907563</v>
      </c>
      <c r="F125" s="25" t="n">
        <f aca="false">E125-D125</f>
        <v>-299636531.092437</v>
      </c>
      <c r="G125" s="25" t="n">
        <f aca="false">E125-C125</f>
        <v>-156031531.092437</v>
      </c>
      <c r="H125" s="7" t="str">
        <f aca="false">IF(F125&gt;=0,A125,"")</f>
        <v/>
      </c>
      <c r="I125" s="7" t="n">
        <f aca="false">IF(F125&lt;0,A125,0)</f>
        <v>120</v>
      </c>
      <c r="J125" s="7" t="str">
        <f aca="false">IF(G125&gt;=0,A125,"")</f>
        <v/>
      </c>
      <c r="K125" s="7" t="n">
        <f aca="false">IF(G125&lt;0,A125,0)</f>
        <v>120</v>
      </c>
    </row>
    <row r="126" customFormat="false" ht="15" hidden="false" customHeight="false" outlineLevel="0" collapsed="false">
      <c r="A126" s="7" t="n">
        <f aca="false">A125+1</f>
        <v>121</v>
      </c>
      <c r="B126" s="7" t="n">
        <f aca="false">MAX('Giả định'!$B$9,ROUNDUP(A126/'Giả định'!$B$7,0)+'Giả định'!$B$8)</f>
        <v>15</v>
      </c>
      <c r="C126" s="25" t="n">
        <f aca="false">('Chi phí'!$C$76+'Chi phí'!$D$76*B126+'Chi phí'!$E$76*A126+'Giả định'!$B$15*('Chi phí'!$F$76+'Chi phí'!$G$76*B126+'Chi phí'!$H$76*A126))*(1+'Giả định'!$B$16)</f>
        <v>200740540</v>
      </c>
      <c r="D126" s="25" t="n">
        <f aca="false">('Chi phí'!$C$77+'Chi phí'!$D$77*B126+'Chi phí'!$E$77*A126+'Giả định'!$B$15*('Chi phí'!$F$77+'Chi phí'!$G$77*B126+'Chi phí'!$H$77*A126))*(1+'Giả định'!$B$16)</f>
        <v>344345540</v>
      </c>
      <c r="E126" s="25" t="n">
        <f aca="false">A126/'Giả định'!$B$19*'Giả định'!$B$20+A126*'Giả định'!$B$23+'Giả định'!$B$24</f>
        <v>45044537.8151261</v>
      </c>
      <c r="F126" s="25" t="n">
        <f aca="false">E126-D126</f>
        <v>-299301002.184874</v>
      </c>
      <c r="G126" s="25" t="n">
        <f aca="false">E126-C126</f>
        <v>-155696002.184874</v>
      </c>
      <c r="H126" s="7" t="str">
        <f aca="false">IF(F126&gt;=0,A126,"")</f>
        <v/>
      </c>
      <c r="I126" s="7" t="n">
        <f aca="false">IF(F126&lt;0,A126,0)</f>
        <v>121</v>
      </c>
      <c r="J126" s="7" t="str">
        <f aca="false">IF(G126&gt;=0,A126,"")</f>
        <v/>
      </c>
      <c r="K126" s="7" t="n">
        <f aca="false">IF(G126&lt;0,A126,0)</f>
        <v>121</v>
      </c>
    </row>
    <row r="127" customFormat="false" ht="15" hidden="false" customHeight="false" outlineLevel="0" collapsed="false">
      <c r="A127" s="7" t="n">
        <f aca="false">A126+1</f>
        <v>122</v>
      </c>
      <c r="B127" s="7" t="n">
        <f aca="false">MAX('Giả định'!$B$9,ROUNDUP(A127/'Giả định'!$B$7,0)+'Giả định'!$B$8)</f>
        <v>15</v>
      </c>
      <c r="C127" s="25" t="n">
        <f aca="false">('Chi phí'!$C$76+'Chi phí'!$D$76*B127+'Chi phí'!$E$76*A127+'Giả định'!$B$15*('Chi phí'!$F$76+'Chi phí'!$G$76*B127+'Chi phí'!$H$76*A127))*(1+'Giả định'!$B$16)</f>
        <v>200777280</v>
      </c>
      <c r="D127" s="25" t="n">
        <f aca="false">('Chi phí'!$C$77+'Chi phí'!$D$77*B127+'Chi phí'!$E$77*A127+'Giả định'!$B$15*('Chi phí'!$F$77+'Chi phí'!$G$77*B127+'Chi phí'!$H$77*A127))*(1+'Giả định'!$B$16)</f>
        <v>344382280</v>
      </c>
      <c r="E127" s="25" t="n">
        <f aca="false">A127/'Giả định'!$B$19*'Giả định'!$B$20+A127*'Giả định'!$B$23+'Giả định'!$B$24</f>
        <v>45416806.7226891</v>
      </c>
      <c r="F127" s="25" t="n">
        <f aca="false">E127-D127</f>
        <v>-298965473.277311</v>
      </c>
      <c r="G127" s="25" t="n">
        <f aca="false">E127-C127</f>
        <v>-155360473.277311</v>
      </c>
      <c r="H127" s="7" t="str">
        <f aca="false">IF(F127&gt;=0,A127,"")</f>
        <v/>
      </c>
      <c r="I127" s="7" t="n">
        <f aca="false">IF(F127&lt;0,A127,0)</f>
        <v>122</v>
      </c>
      <c r="J127" s="7" t="str">
        <f aca="false">IF(G127&gt;=0,A127,"")</f>
        <v/>
      </c>
      <c r="K127" s="7" t="n">
        <f aca="false">IF(G127&lt;0,A127,0)</f>
        <v>122</v>
      </c>
    </row>
    <row r="128" customFormat="false" ht="15" hidden="false" customHeight="false" outlineLevel="0" collapsed="false">
      <c r="A128" s="7" t="n">
        <f aca="false">A127+1</f>
        <v>123</v>
      </c>
      <c r="B128" s="7" t="n">
        <f aca="false">MAX('Giả định'!$B$9,ROUNDUP(A128/'Giả định'!$B$7,0)+'Giả định'!$B$8)</f>
        <v>15</v>
      </c>
      <c r="C128" s="25" t="n">
        <f aca="false">('Chi phí'!$C$76+'Chi phí'!$D$76*B128+'Chi phí'!$E$76*A128+'Giả định'!$B$15*('Chi phí'!$F$76+'Chi phí'!$G$76*B128+'Chi phí'!$H$76*A128))*(1+'Giả định'!$B$16)</f>
        <v>200814020</v>
      </c>
      <c r="D128" s="25" t="n">
        <f aca="false">('Chi phí'!$C$77+'Chi phí'!$D$77*B128+'Chi phí'!$E$77*A128+'Giả định'!$B$15*('Chi phí'!$F$77+'Chi phí'!$G$77*B128+'Chi phí'!$H$77*A128))*(1+'Giả định'!$B$16)</f>
        <v>344419020</v>
      </c>
      <c r="E128" s="25" t="n">
        <f aca="false">A128/'Giả định'!$B$19*'Giả định'!$B$20+A128*'Giả định'!$B$23+'Giả định'!$B$24</f>
        <v>45789075.6302521</v>
      </c>
      <c r="F128" s="25" t="n">
        <f aca="false">E128-D128</f>
        <v>-298629944.369748</v>
      </c>
      <c r="G128" s="25" t="n">
        <f aca="false">E128-C128</f>
        <v>-155024944.369748</v>
      </c>
      <c r="H128" s="7" t="str">
        <f aca="false">IF(F128&gt;=0,A128,"")</f>
        <v/>
      </c>
      <c r="I128" s="7" t="n">
        <f aca="false">IF(F128&lt;0,A128,0)</f>
        <v>123</v>
      </c>
      <c r="J128" s="7" t="str">
        <f aca="false">IF(G128&gt;=0,A128,"")</f>
        <v/>
      </c>
      <c r="K128" s="7" t="n">
        <f aca="false">IF(G128&lt;0,A128,0)</f>
        <v>123</v>
      </c>
    </row>
    <row r="129" customFormat="false" ht="15" hidden="false" customHeight="false" outlineLevel="0" collapsed="false">
      <c r="A129" s="7" t="n">
        <f aca="false">A128+1</f>
        <v>124</v>
      </c>
      <c r="B129" s="7" t="n">
        <f aca="false">MAX('Giả định'!$B$9,ROUNDUP(A129/'Giả định'!$B$7,0)+'Giả định'!$B$8)</f>
        <v>15</v>
      </c>
      <c r="C129" s="25" t="n">
        <f aca="false">('Chi phí'!$C$76+'Chi phí'!$D$76*B129+'Chi phí'!$E$76*A129+'Giả định'!$B$15*('Chi phí'!$F$76+'Chi phí'!$G$76*B129+'Chi phí'!$H$76*A129))*(1+'Giả định'!$B$16)</f>
        <v>200850760</v>
      </c>
      <c r="D129" s="25" t="n">
        <f aca="false">('Chi phí'!$C$77+'Chi phí'!$D$77*B129+'Chi phí'!$E$77*A129+'Giả định'!$B$15*('Chi phí'!$F$77+'Chi phí'!$G$77*B129+'Chi phí'!$H$77*A129))*(1+'Giả định'!$B$16)</f>
        <v>344455760</v>
      </c>
      <c r="E129" s="25" t="n">
        <f aca="false">A129/'Giả định'!$B$19*'Giả định'!$B$20+A129*'Giả định'!$B$23+'Giả định'!$B$24</f>
        <v>46161344.5378151</v>
      </c>
      <c r="F129" s="25" t="n">
        <f aca="false">E129-D129</f>
        <v>-298294415.462185</v>
      </c>
      <c r="G129" s="25" t="n">
        <f aca="false">E129-C129</f>
        <v>-154689415.462185</v>
      </c>
      <c r="H129" s="7" t="str">
        <f aca="false">IF(F129&gt;=0,A129,"")</f>
        <v/>
      </c>
      <c r="I129" s="7" t="n">
        <f aca="false">IF(F129&lt;0,A129,0)</f>
        <v>124</v>
      </c>
      <c r="J129" s="7" t="str">
        <f aca="false">IF(G129&gt;=0,A129,"")</f>
        <v/>
      </c>
      <c r="K129" s="7" t="n">
        <f aca="false">IF(G129&lt;0,A129,0)</f>
        <v>124</v>
      </c>
    </row>
    <row r="130" customFormat="false" ht="15" hidden="false" customHeight="false" outlineLevel="0" collapsed="false">
      <c r="A130" s="7" t="n">
        <f aca="false">A129+1</f>
        <v>125</v>
      </c>
      <c r="B130" s="7" t="n">
        <f aca="false">MAX('Giả định'!$B$9,ROUNDUP(A130/'Giả định'!$B$7,0)+'Giả định'!$B$8)</f>
        <v>15</v>
      </c>
      <c r="C130" s="25" t="n">
        <f aca="false">('Chi phí'!$C$76+'Chi phí'!$D$76*B130+'Chi phí'!$E$76*A130+'Giả định'!$B$15*('Chi phí'!$F$76+'Chi phí'!$G$76*B130+'Chi phí'!$H$76*A130))*(1+'Giả định'!$B$16)</f>
        <v>200887500</v>
      </c>
      <c r="D130" s="25" t="n">
        <f aca="false">('Chi phí'!$C$77+'Chi phí'!$D$77*B130+'Chi phí'!$E$77*A130+'Giả định'!$B$15*('Chi phí'!$F$77+'Chi phí'!$G$77*B130+'Chi phí'!$H$77*A130))*(1+'Giả định'!$B$16)</f>
        <v>344492500</v>
      </c>
      <c r="E130" s="25" t="n">
        <f aca="false">A130/'Giả định'!$B$19*'Giả định'!$B$20+A130*'Giả định'!$B$23+'Giả định'!$B$24</f>
        <v>46533613.4453782</v>
      </c>
      <c r="F130" s="25" t="n">
        <f aca="false">E130-D130</f>
        <v>-297958886.554622</v>
      </c>
      <c r="G130" s="25" t="n">
        <f aca="false">E130-C130</f>
        <v>-154353886.554622</v>
      </c>
      <c r="H130" s="7" t="str">
        <f aca="false">IF(F130&gt;=0,A130,"")</f>
        <v/>
      </c>
      <c r="I130" s="7" t="n">
        <f aca="false">IF(F130&lt;0,A130,0)</f>
        <v>125</v>
      </c>
      <c r="J130" s="7" t="str">
        <f aca="false">IF(G130&gt;=0,A130,"")</f>
        <v/>
      </c>
      <c r="K130" s="7" t="n">
        <f aca="false">IF(G130&lt;0,A130,0)</f>
        <v>125</v>
      </c>
    </row>
    <row r="131" customFormat="false" ht="15" hidden="false" customHeight="false" outlineLevel="0" collapsed="false">
      <c r="A131" s="7" t="n">
        <f aca="false">A130+1</f>
        <v>126</v>
      </c>
      <c r="B131" s="7" t="n">
        <f aca="false">MAX('Giả định'!$B$9,ROUNDUP(A131/'Giả định'!$B$7,0)+'Giả định'!$B$8)</f>
        <v>15</v>
      </c>
      <c r="C131" s="25" t="n">
        <f aca="false">('Chi phí'!$C$76+'Chi phí'!$D$76*B131+'Chi phí'!$E$76*A131+'Giả định'!$B$15*('Chi phí'!$F$76+'Chi phí'!$G$76*B131+'Chi phí'!$H$76*A131))*(1+'Giả định'!$B$16)</f>
        <v>200924240</v>
      </c>
      <c r="D131" s="25" t="n">
        <f aca="false">('Chi phí'!$C$77+'Chi phí'!$D$77*B131+'Chi phí'!$E$77*A131+'Giả định'!$B$15*('Chi phí'!$F$77+'Chi phí'!$G$77*B131+'Chi phí'!$H$77*A131))*(1+'Giả định'!$B$16)</f>
        <v>344529240</v>
      </c>
      <c r="E131" s="25" t="n">
        <f aca="false">A131/'Giả định'!$B$19*'Giả định'!$B$20+A131*'Giả định'!$B$23+'Giả định'!$B$24</f>
        <v>46905882.3529412</v>
      </c>
      <c r="F131" s="25" t="n">
        <f aca="false">E131-D131</f>
        <v>-297623357.647059</v>
      </c>
      <c r="G131" s="25" t="n">
        <f aca="false">E131-C131</f>
        <v>-154018357.647059</v>
      </c>
      <c r="H131" s="7" t="str">
        <f aca="false">IF(F131&gt;=0,A131,"")</f>
        <v/>
      </c>
      <c r="I131" s="7" t="n">
        <f aca="false">IF(F131&lt;0,A131,0)</f>
        <v>126</v>
      </c>
      <c r="J131" s="7" t="str">
        <f aca="false">IF(G131&gt;=0,A131,"")</f>
        <v/>
      </c>
      <c r="K131" s="7" t="n">
        <f aca="false">IF(G131&lt;0,A131,0)</f>
        <v>126</v>
      </c>
    </row>
    <row r="132" customFormat="false" ht="15" hidden="false" customHeight="false" outlineLevel="0" collapsed="false">
      <c r="A132" s="7" t="n">
        <f aca="false">A131+1</f>
        <v>127</v>
      </c>
      <c r="B132" s="7" t="n">
        <f aca="false">MAX('Giả định'!$B$9,ROUNDUP(A132/'Giả định'!$B$7,0)+'Giả định'!$B$8)</f>
        <v>15</v>
      </c>
      <c r="C132" s="25" t="n">
        <f aca="false">('Chi phí'!$C$76+'Chi phí'!$D$76*B132+'Chi phí'!$E$76*A132+'Giả định'!$B$15*('Chi phí'!$F$76+'Chi phí'!$G$76*B132+'Chi phí'!$H$76*A132))*(1+'Giả định'!$B$16)</f>
        <v>200960980</v>
      </c>
      <c r="D132" s="25" t="n">
        <f aca="false">('Chi phí'!$C$77+'Chi phí'!$D$77*B132+'Chi phí'!$E$77*A132+'Giả định'!$B$15*('Chi phí'!$F$77+'Chi phí'!$G$77*B132+'Chi phí'!$H$77*A132))*(1+'Giả định'!$B$16)</f>
        <v>344565980</v>
      </c>
      <c r="E132" s="25" t="n">
        <f aca="false">A132/'Giả định'!$B$19*'Giả định'!$B$20+A132*'Giả định'!$B$23+'Giả định'!$B$24</f>
        <v>47278151.2605042</v>
      </c>
      <c r="F132" s="25" t="n">
        <f aca="false">E132-D132</f>
        <v>-297287828.739496</v>
      </c>
      <c r="G132" s="25" t="n">
        <f aca="false">E132-C132</f>
        <v>-153682828.739496</v>
      </c>
      <c r="H132" s="7" t="str">
        <f aca="false">IF(F132&gt;=0,A132,"")</f>
        <v/>
      </c>
      <c r="I132" s="7" t="n">
        <f aca="false">IF(F132&lt;0,A132,0)</f>
        <v>127</v>
      </c>
      <c r="J132" s="7" t="str">
        <f aca="false">IF(G132&gt;=0,A132,"")</f>
        <v/>
      </c>
      <c r="K132" s="7" t="n">
        <f aca="false">IF(G132&lt;0,A132,0)</f>
        <v>127</v>
      </c>
    </row>
    <row r="133" customFormat="false" ht="15" hidden="false" customHeight="false" outlineLevel="0" collapsed="false">
      <c r="A133" s="7" t="n">
        <f aca="false">A132+1</f>
        <v>128</v>
      </c>
      <c r="B133" s="7" t="n">
        <f aca="false">MAX('Giả định'!$B$9,ROUNDUP(A133/'Giả định'!$B$7,0)+'Giả định'!$B$8)</f>
        <v>15</v>
      </c>
      <c r="C133" s="25" t="n">
        <f aca="false">('Chi phí'!$C$76+'Chi phí'!$D$76*B133+'Chi phí'!$E$76*A133+'Giả định'!$B$15*('Chi phí'!$F$76+'Chi phí'!$G$76*B133+'Chi phí'!$H$76*A133))*(1+'Giả định'!$B$16)</f>
        <v>200997720</v>
      </c>
      <c r="D133" s="25" t="n">
        <f aca="false">('Chi phí'!$C$77+'Chi phí'!$D$77*B133+'Chi phí'!$E$77*A133+'Giả định'!$B$15*('Chi phí'!$F$77+'Chi phí'!$G$77*B133+'Chi phí'!$H$77*A133))*(1+'Giả định'!$B$16)</f>
        <v>344602720</v>
      </c>
      <c r="E133" s="25" t="n">
        <f aca="false">A133/'Giả định'!$B$19*'Giả định'!$B$20+A133*'Giả định'!$B$23+'Giả định'!$B$24</f>
        <v>47650420.1680672</v>
      </c>
      <c r="F133" s="25" t="n">
        <f aca="false">E133-D133</f>
        <v>-296952299.831933</v>
      </c>
      <c r="G133" s="25" t="n">
        <f aca="false">E133-C133</f>
        <v>-153347299.831933</v>
      </c>
      <c r="H133" s="7" t="str">
        <f aca="false">IF(F133&gt;=0,A133,"")</f>
        <v/>
      </c>
      <c r="I133" s="7" t="n">
        <f aca="false">IF(F133&lt;0,A133,0)</f>
        <v>128</v>
      </c>
      <c r="J133" s="7" t="str">
        <f aca="false">IF(G133&gt;=0,A133,"")</f>
        <v/>
      </c>
      <c r="K133" s="7" t="n">
        <f aca="false">IF(G133&lt;0,A133,0)</f>
        <v>128</v>
      </c>
    </row>
    <row r="134" customFormat="false" ht="15" hidden="false" customHeight="false" outlineLevel="0" collapsed="false">
      <c r="A134" s="7" t="n">
        <f aca="false">A133+1</f>
        <v>129</v>
      </c>
      <c r="B134" s="7" t="n">
        <f aca="false">MAX('Giả định'!$B$9,ROUNDUP(A134/'Giả định'!$B$7,0)+'Giả định'!$B$8)</f>
        <v>15</v>
      </c>
      <c r="C134" s="25" t="n">
        <f aca="false">('Chi phí'!$C$76+'Chi phí'!$D$76*B134+'Chi phí'!$E$76*A134+'Giả định'!$B$15*('Chi phí'!$F$76+'Chi phí'!$G$76*B134+'Chi phí'!$H$76*A134))*(1+'Giả định'!$B$16)</f>
        <v>201034460</v>
      </c>
      <c r="D134" s="25" t="n">
        <f aca="false">('Chi phí'!$C$77+'Chi phí'!$D$77*B134+'Chi phí'!$E$77*A134+'Giả định'!$B$15*('Chi phí'!$F$77+'Chi phí'!$G$77*B134+'Chi phí'!$H$77*A134))*(1+'Giả định'!$B$16)</f>
        <v>344639460</v>
      </c>
      <c r="E134" s="25" t="n">
        <f aca="false">A134/'Giả định'!$B$19*'Giả định'!$B$20+A134*'Giả định'!$B$23+'Giả định'!$B$24</f>
        <v>48022689.0756303</v>
      </c>
      <c r="F134" s="25" t="n">
        <f aca="false">E134-D134</f>
        <v>-296616770.92437</v>
      </c>
      <c r="G134" s="25" t="n">
        <f aca="false">E134-C134</f>
        <v>-153011770.92437</v>
      </c>
      <c r="H134" s="7" t="str">
        <f aca="false">IF(F134&gt;=0,A134,"")</f>
        <v/>
      </c>
      <c r="I134" s="7" t="n">
        <f aca="false">IF(F134&lt;0,A134,0)</f>
        <v>129</v>
      </c>
      <c r="J134" s="7" t="str">
        <f aca="false">IF(G134&gt;=0,A134,"")</f>
        <v/>
      </c>
      <c r="K134" s="7" t="n">
        <f aca="false">IF(G134&lt;0,A134,0)</f>
        <v>129</v>
      </c>
    </row>
    <row r="135" customFormat="false" ht="15" hidden="false" customHeight="false" outlineLevel="0" collapsed="false">
      <c r="A135" s="7" t="n">
        <f aca="false">A134+1</f>
        <v>130</v>
      </c>
      <c r="B135" s="7" t="n">
        <f aca="false">MAX('Giả định'!$B$9,ROUNDUP(A135/'Giả định'!$B$7,0)+'Giả định'!$B$8)</f>
        <v>15</v>
      </c>
      <c r="C135" s="25" t="n">
        <f aca="false">('Chi phí'!$C$76+'Chi phí'!$D$76*B135+'Chi phí'!$E$76*A135+'Giả định'!$B$15*('Chi phí'!$F$76+'Chi phí'!$G$76*B135+'Chi phí'!$H$76*A135))*(1+'Giả định'!$B$16)</f>
        <v>201071200</v>
      </c>
      <c r="D135" s="25" t="n">
        <f aca="false">('Chi phí'!$C$77+'Chi phí'!$D$77*B135+'Chi phí'!$E$77*A135+'Giả định'!$B$15*('Chi phí'!$F$77+'Chi phí'!$G$77*B135+'Chi phí'!$H$77*A135))*(1+'Giả định'!$B$16)</f>
        <v>344676200</v>
      </c>
      <c r="E135" s="25" t="n">
        <f aca="false">A135/'Giả định'!$B$19*'Giả định'!$B$20+A135*'Giả định'!$B$23+'Giả định'!$B$24</f>
        <v>48394957.9831933</v>
      </c>
      <c r="F135" s="25" t="n">
        <f aca="false">E135-D135</f>
        <v>-296281242.016807</v>
      </c>
      <c r="G135" s="25" t="n">
        <f aca="false">E135-C135</f>
        <v>-152676242.016807</v>
      </c>
      <c r="H135" s="7" t="str">
        <f aca="false">IF(F135&gt;=0,A135,"")</f>
        <v/>
      </c>
      <c r="I135" s="7" t="n">
        <f aca="false">IF(F135&lt;0,A135,0)</f>
        <v>130</v>
      </c>
      <c r="J135" s="7" t="str">
        <f aca="false">IF(G135&gt;=0,A135,"")</f>
        <v/>
      </c>
      <c r="K135" s="7" t="n">
        <f aca="false">IF(G135&lt;0,A135,0)</f>
        <v>130</v>
      </c>
    </row>
    <row r="136" customFormat="false" ht="15" hidden="false" customHeight="false" outlineLevel="0" collapsed="false">
      <c r="A136" s="7" t="n">
        <f aca="false">A135+1</f>
        <v>131</v>
      </c>
      <c r="B136" s="7" t="n">
        <f aca="false">MAX('Giả định'!$B$9,ROUNDUP(A136/'Giả định'!$B$7,0)+'Giả định'!$B$8)</f>
        <v>15</v>
      </c>
      <c r="C136" s="25" t="n">
        <f aca="false">('Chi phí'!$C$76+'Chi phí'!$D$76*B136+'Chi phí'!$E$76*A136+'Giả định'!$B$15*('Chi phí'!$F$76+'Chi phí'!$G$76*B136+'Chi phí'!$H$76*A136))*(1+'Giả định'!$B$16)</f>
        <v>201107940</v>
      </c>
      <c r="D136" s="25" t="n">
        <f aca="false">('Chi phí'!$C$77+'Chi phí'!$D$77*B136+'Chi phí'!$E$77*A136+'Giả định'!$B$15*('Chi phí'!$F$77+'Chi phí'!$G$77*B136+'Chi phí'!$H$77*A136))*(1+'Giả định'!$B$16)</f>
        <v>344712940</v>
      </c>
      <c r="E136" s="25" t="n">
        <f aca="false">A136/'Giả định'!$B$19*'Giả định'!$B$20+A136*'Giả định'!$B$23+'Giả định'!$B$24</f>
        <v>48767226.8907563</v>
      </c>
      <c r="F136" s="25" t="n">
        <f aca="false">E136-D136</f>
        <v>-295945713.109244</v>
      </c>
      <c r="G136" s="25" t="n">
        <f aca="false">E136-C136</f>
        <v>-152340713.109244</v>
      </c>
      <c r="H136" s="7" t="str">
        <f aca="false">IF(F136&gt;=0,A136,"")</f>
        <v/>
      </c>
      <c r="I136" s="7" t="n">
        <f aca="false">IF(F136&lt;0,A136,0)</f>
        <v>131</v>
      </c>
      <c r="J136" s="7" t="str">
        <f aca="false">IF(G136&gt;=0,A136,"")</f>
        <v/>
      </c>
      <c r="K136" s="7" t="n">
        <f aca="false">IF(G136&lt;0,A136,0)</f>
        <v>131</v>
      </c>
    </row>
    <row r="137" customFormat="false" ht="15" hidden="false" customHeight="false" outlineLevel="0" collapsed="false">
      <c r="A137" s="7" t="n">
        <f aca="false">A136+1</f>
        <v>132</v>
      </c>
      <c r="B137" s="7" t="n">
        <f aca="false">MAX('Giả định'!$B$9,ROUNDUP(A137/'Giả định'!$B$7,0)+'Giả định'!$B$8)</f>
        <v>15</v>
      </c>
      <c r="C137" s="25" t="n">
        <f aca="false">('Chi phí'!$C$76+'Chi phí'!$D$76*B137+'Chi phí'!$E$76*A137+'Giả định'!$B$15*('Chi phí'!$F$76+'Chi phí'!$G$76*B137+'Chi phí'!$H$76*A137))*(1+'Giả định'!$B$16)</f>
        <v>201144680</v>
      </c>
      <c r="D137" s="25" t="n">
        <f aca="false">('Chi phí'!$C$77+'Chi phí'!$D$77*B137+'Chi phí'!$E$77*A137+'Giả định'!$B$15*('Chi phí'!$F$77+'Chi phí'!$G$77*B137+'Chi phí'!$H$77*A137))*(1+'Giả định'!$B$16)</f>
        <v>344749680</v>
      </c>
      <c r="E137" s="25" t="n">
        <f aca="false">A137/'Giả định'!$B$19*'Giả định'!$B$20+A137*'Giả định'!$B$23+'Giả định'!$B$24</f>
        <v>49139495.7983193</v>
      </c>
      <c r="F137" s="25" t="n">
        <f aca="false">E137-D137</f>
        <v>-295610184.201681</v>
      </c>
      <c r="G137" s="25" t="n">
        <f aca="false">E137-C137</f>
        <v>-152005184.201681</v>
      </c>
      <c r="H137" s="7" t="str">
        <f aca="false">IF(F137&gt;=0,A137,"")</f>
        <v/>
      </c>
      <c r="I137" s="7" t="n">
        <f aca="false">IF(F137&lt;0,A137,0)</f>
        <v>132</v>
      </c>
      <c r="J137" s="7" t="str">
        <f aca="false">IF(G137&gt;=0,A137,"")</f>
        <v/>
      </c>
      <c r="K137" s="7" t="n">
        <f aca="false">IF(G137&lt;0,A137,0)</f>
        <v>132</v>
      </c>
    </row>
    <row r="138" customFormat="false" ht="15" hidden="false" customHeight="false" outlineLevel="0" collapsed="false">
      <c r="A138" s="7" t="n">
        <f aca="false">A137+1</f>
        <v>133</v>
      </c>
      <c r="B138" s="7" t="n">
        <f aca="false">MAX('Giả định'!$B$9,ROUNDUP(A138/'Giả định'!$B$7,0)+'Giả định'!$B$8)</f>
        <v>15</v>
      </c>
      <c r="C138" s="25" t="n">
        <f aca="false">('Chi phí'!$C$76+'Chi phí'!$D$76*B138+'Chi phí'!$E$76*A138+'Giả định'!$B$15*('Chi phí'!$F$76+'Chi phí'!$G$76*B138+'Chi phí'!$H$76*A138))*(1+'Giả định'!$B$16)</f>
        <v>201181420</v>
      </c>
      <c r="D138" s="25" t="n">
        <f aca="false">('Chi phí'!$C$77+'Chi phí'!$D$77*B138+'Chi phí'!$E$77*A138+'Giả định'!$B$15*('Chi phí'!$F$77+'Chi phí'!$G$77*B138+'Chi phí'!$H$77*A138))*(1+'Giả định'!$B$16)</f>
        <v>344786420</v>
      </c>
      <c r="E138" s="25" t="n">
        <f aca="false">A138/'Giả định'!$B$19*'Giả định'!$B$20+A138*'Giả định'!$B$23+'Giả định'!$B$24</f>
        <v>49511764.7058824</v>
      </c>
      <c r="F138" s="25" t="n">
        <f aca="false">E138-D138</f>
        <v>-295274655.294118</v>
      </c>
      <c r="G138" s="25" t="n">
        <f aca="false">E138-C138</f>
        <v>-151669655.294118</v>
      </c>
      <c r="H138" s="7" t="str">
        <f aca="false">IF(F138&gt;=0,A138,"")</f>
        <v/>
      </c>
      <c r="I138" s="7" t="n">
        <f aca="false">IF(F138&lt;0,A138,0)</f>
        <v>133</v>
      </c>
      <c r="J138" s="7" t="str">
        <f aca="false">IF(G138&gt;=0,A138,"")</f>
        <v/>
      </c>
      <c r="K138" s="7" t="n">
        <f aca="false">IF(G138&lt;0,A138,0)</f>
        <v>133</v>
      </c>
    </row>
    <row r="139" customFormat="false" ht="15" hidden="false" customHeight="false" outlineLevel="0" collapsed="false">
      <c r="A139" s="7" t="n">
        <f aca="false">A138+1</f>
        <v>134</v>
      </c>
      <c r="B139" s="7" t="n">
        <f aca="false">MAX('Giả định'!$B$9,ROUNDUP(A139/'Giả định'!$B$7,0)+'Giả định'!$B$8)</f>
        <v>15</v>
      </c>
      <c r="C139" s="25" t="n">
        <f aca="false">('Chi phí'!$C$76+'Chi phí'!$D$76*B139+'Chi phí'!$E$76*A139+'Giả định'!$B$15*('Chi phí'!$F$76+'Chi phí'!$G$76*B139+'Chi phí'!$H$76*A139))*(1+'Giả định'!$B$16)</f>
        <v>201218160</v>
      </c>
      <c r="D139" s="25" t="n">
        <f aca="false">('Chi phí'!$C$77+'Chi phí'!$D$77*B139+'Chi phí'!$E$77*A139+'Giả định'!$B$15*('Chi phí'!$F$77+'Chi phí'!$G$77*B139+'Chi phí'!$H$77*A139))*(1+'Giả định'!$B$16)</f>
        <v>344823160</v>
      </c>
      <c r="E139" s="25" t="n">
        <f aca="false">A139/'Giả định'!$B$19*'Giả định'!$B$20+A139*'Giả định'!$B$23+'Giả định'!$B$24</f>
        <v>49884033.6134454</v>
      </c>
      <c r="F139" s="25" t="n">
        <f aca="false">E139-D139</f>
        <v>-294939126.386555</v>
      </c>
      <c r="G139" s="25" t="n">
        <f aca="false">E139-C139</f>
        <v>-151334126.386555</v>
      </c>
      <c r="H139" s="7" t="str">
        <f aca="false">IF(F139&gt;=0,A139,"")</f>
        <v/>
      </c>
      <c r="I139" s="7" t="n">
        <f aca="false">IF(F139&lt;0,A139,0)</f>
        <v>134</v>
      </c>
      <c r="J139" s="7" t="str">
        <f aca="false">IF(G139&gt;=0,A139,"")</f>
        <v/>
      </c>
      <c r="K139" s="7" t="n">
        <f aca="false">IF(G139&lt;0,A139,0)</f>
        <v>134</v>
      </c>
    </row>
    <row r="140" customFormat="false" ht="15" hidden="false" customHeight="false" outlineLevel="0" collapsed="false">
      <c r="A140" s="7" t="n">
        <f aca="false">A139+1</f>
        <v>135</v>
      </c>
      <c r="B140" s="7" t="n">
        <f aca="false">MAX('Giả định'!$B$9,ROUNDUP(A140/'Giả định'!$B$7,0)+'Giả định'!$B$8)</f>
        <v>15</v>
      </c>
      <c r="C140" s="25" t="n">
        <f aca="false">('Chi phí'!$C$76+'Chi phí'!$D$76*B140+'Chi phí'!$E$76*A140+'Giả định'!$B$15*('Chi phí'!$F$76+'Chi phí'!$G$76*B140+'Chi phí'!$H$76*A140))*(1+'Giả định'!$B$16)</f>
        <v>201254900</v>
      </c>
      <c r="D140" s="25" t="n">
        <f aca="false">('Chi phí'!$C$77+'Chi phí'!$D$77*B140+'Chi phí'!$E$77*A140+'Giả định'!$B$15*('Chi phí'!$F$77+'Chi phí'!$G$77*B140+'Chi phí'!$H$77*A140))*(1+'Giả định'!$B$16)</f>
        <v>344859900</v>
      </c>
      <c r="E140" s="25" t="n">
        <f aca="false">A140/'Giả định'!$B$19*'Giả định'!$B$20+A140*'Giả định'!$B$23+'Giả định'!$B$24</f>
        <v>50256302.5210084</v>
      </c>
      <c r="F140" s="25" t="n">
        <f aca="false">E140-D140</f>
        <v>-294603597.478992</v>
      </c>
      <c r="G140" s="25" t="n">
        <f aca="false">E140-C140</f>
        <v>-150998597.478992</v>
      </c>
      <c r="H140" s="7" t="str">
        <f aca="false">IF(F140&gt;=0,A140,"")</f>
        <v/>
      </c>
      <c r="I140" s="7" t="n">
        <f aca="false">IF(F140&lt;0,A140,0)</f>
        <v>135</v>
      </c>
      <c r="J140" s="7" t="str">
        <f aca="false">IF(G140&gt;=0,A140,"")</f>
        <v/>
      </c>
      <c r="K140" s="7" t="n">
        <f aca="false">IF(G140&lt;0,A140,0)</f>
        <v>135</v>
      </c>
    </row>
    <row r="141" customFormat="false" ht="15" hidden="false" customHeight="false" outlineLevel="0" collapsed="false">
      <c r="A141" s="7" t="n">
        <f aca="false">A140+1</f>
        <v>136</v>
      </c>
      <c r="B141" s="7" t="n">
        <f aca="false">MAX('Giả định'!$B$9,ROUNDUP(A141/'Giả định'!$B$7,0)+'Giả định'!$B$8)</f>
        <v>15</v>
      </c>
      <c r="C141" s="25" t="n">
        <f aca="false">('Chi phí'!$C$76+'Chi phí'!$D$76*B141+'Chi phí'!$E$76*A141+'Giả định'!$B$15*('Chi phí'!$F$76+'Chi phí'!$G$76*B141+'Chi phí'!$H$76*A141))*(1+'Giả định'!$B$16)</f>
        <v>201291640</v>
      </c>
      <c r="D141" s="25" t="n">
        <f aca="false">('Chi phí'!$C$77+'Chi phí'!$D$77*B141+'Chi phí'!$E$77*A141+'Giả định'!$B$15*('Chi phí'!$F$77+'Chi phí'!$G$77*B141+'Chi phí'!$H$77*A141))*(1+'Giả định'!$B$16)</f>
        <v>344896640</v>
      </c>
      <c r="E141" s="25" t="n">
        <f aca="false">A141/'Giả định'!$B$19*'Giả định'!$B$20+A141*'Giả định'!$B$23+'Giả định'!$B$24</f>
        <v>50628571.4285714</v>
      </c>
      <c r="F141" s="25" t="n">
        <f aca="false">E141-D141</f>
        <v>-294268068.571429</v>
      </c>
      <c r="G141" s="25" t="n">
        <f aca="false">E141-C141</f>
        <v>-150663068.571429</v>
      </c>
      <c r="H141" s="7" t="str">
        <f aca="false">IF(F141&gt;=0,A141,"")</f>
        <v/>
      </c>
      <c r="I141" s="7" t="n">
        <f aca="false">IF(F141&lt;0,A141,0)</f>
        <v>136</v>
      </c>
      <c r="J141" s="7" t="str">
        <f aca="false">IF(G141&gt;=0,A141,"")</f>
        <v/>
      </c>
      <c r="K141" s="7" t="n">
        <f aca="false">IF(G141&lt;0,A141,0)</f>
        <v>136</v>
      </c>
    </row>
    <row r="142" customFormat="false" ht="15" hidden="false" customHeight="false" outlineLevel="0" collapsed="false">
      <c r="A142" s="7" t="n">
        <f aca="false">A141+1</f>
        <v>137</v>
      </c>
      <c r="B142" s="7" t="n">
        <f aca="false">MAX('Giả định'!$B$9,ROUNDUP(A142/'Giả định'!$B$7,0)+'Giả định'!$B$8)</f>
        <v>15</v>
      </c>
      <c r="C142" s="25" t="n">
        <f aca="false">('Chi phí'!$C$76+'Chi phí'!$D$76*B142+'Chi phí'!$E$76*A142+'Giả định'!$B$15*('Chi phí'!$F$76+'Chi phí'!$G$76*B142+'Chi phí'!$H$76*A142))*(1+'Giả định'!$B$16)</f>
        <v>201328380</v>
      </c>
      <c r="D142" s="25" t="n">
        <f aca="false">('Chi phí'!$C$77+'Chi phí'!$D$77*B142+'Chi phí'!$E$77*A142+'Giả định'!$B$15*('Chi phí'!$F$77+'Chi phí'!$G$77*B142+'Chi phí'!$H$77*A142))*(1+'Giả định'!$B$16)</f>
        <v>344933380</v>
      </c>
      <c r="E142" s="25" t="n">
        <f aca="false">A142/'Giả định'!$B$19*'Giả định'!$B$20+A142*'Giả định'!$B$23+'Giả định'!$B$24</f>
        <v>51000840.3361345</v>
      </c>
      <c r="F142" s="25" t="n">
        <f aca="false">E142-D142</f>
        <v>-293932539.663866</v>
      </c>
      <c r="G142" s="25" t="n">
        <f aca="false">E142-C142</f>
        <v>-150327539.663866</v>
      </c>
      <c r="H142" s="7" t="str">
        <f aca="false">IF(F142&gt;=0,A142,"")</f>
        <v/>
      </c>
      <c r="I142" s="7" t="n">
        <f aca="false">IF(F142&lt;0,A142,0)</f>
        <v>137</v>
      </c>
      <c r="J142" s="7" t="str">
        <f aca="false">IF(G142&gt;=0,A142,"")</f>
        <v/>
      </c>
      <c r="K142" s="7" t="n">
        <f aca="false">IF(G142&lt;0,A142,0)</f>
        <v>137</v>
      </c>
    </row>
    <row r="143" customFormat="false" ht="15" hidden="false" customHeight="false" outlineLevel="0" collapsed="false">
      <c r="A143" s="7" t="n">
        <f aca="false">A142+1</f>
        <v>138</v>
      </c>
      <c r="B143" s="7" t="n">
        <f aca="false">MAX('Giả định'!$B$9,ROUNDUP(A143/'Giả định'!$B$7,0)+'Giả định'!$B$8)</f>
        <v>15</v>
      </c>
      <c r="C143" s="25" t="n">
        <f aca="false">('Chi phí'!$C$76+'Chi phí'!$D$76*B143+'Chi phí'!$E$76*A143+'Giả định'!$B$15*('Chi phí'!$F$76+'Chi phí'!$G$76*B143+'Chi phí'!$H$76*A143))*(1+'Giả định'!$B$16)</f>
        <v>201365120</v>
      </c>
      <c r="D143" s="25" t="n">
        <f aca="false">('Chi phí'!$C$77+'Chi phí'!$D$77*B143+'Chi phí'!$E$77*A143+'Giả định'!$B$15*('Chi phí'!$F$77+'Chi phí'!$G$77*B143+'Chi phí'!$H$77*A143))*(1+'Giả định'!$B$16)</f>
        <v>344970120</v>
      </c>
      <c r="E143" s="25" t="n">
        <f aca="false">A143/'Giả định'!$B$19*'Giả định'!$B$20+A143*'Giả định'!$B$23+'Giả định'!$B$24</f>
        <v>51373109.2436975</v>
      </c>
      <c r="F143" s="25" t="n">
        <f aca="false">E143-D143</f>
        <v>-293597010.756303</v>
      </c>
      <c r="G143" s="25" t="n">
        <f aca="false">E143-C143</f>
        <v>-149992010.756303</v>
      </c>
      <c r="H143" s="7" t="str">
        <f aca="false">IF(F143&gt;=0,A143,"")</f>
        <v/>
      </c>
      <c r="I143" s="7" t="n">
        <f aca="false">IF(F143&lt;0,A143,0)</f>
        <v>138</v>
      </c>
      <c r="J143" s="7" t="str">
        <f aca="false">IF(G143&gt;=0,A143,"")</f>
        <v/>
      </c>
      <c r="K143" s="7" t="n">
        <f aca="false">IF(G143&lt;0,A143,0)</f>
        <v>138</v>
      </c>
    </row>
    <row r="144" customFormat="false" ht="15" hidden="false" customHeight="false" outlineLevel="0" collapsed="false">
      <c r="A144" s="7" t="n">
        <f aca="false">A143+1</f>
        <v>139</v>
      </c>
      <c r="B144" s="7" t="n">
        <f aca="false">MAX('Giả định'!$B$9,ROUNDUP(A144/'Giả định'!$B$7,0)+'Giả định'!$B$8)</f>
        <v>15</v>
      </c>
      <c r="C144" s="25" t="n">
        <f aca="false">('Chi phí'!$C$76+'Chi phí'!$D$76*B144+'Chi phí'!$E$76*A144+'Giả định'!$B$15*('Chi phí'!$F$76+'Chi phí'!$G$76*B144+'Chi phí'!$H$76*A144))*(1+'Giả định'!$B$16)</f>
        <v>201401860</v>
      </c>
      <c r="D144" s="25" t="n">
        <f aca="false">('Chi phí'!$C$77+'Chi phí'!$D$77*B144+'Chi phí'!$E$77*A144+'Giả định'!$B$15*('Chi phí'!$F$77+'Chi phí'!$G$77*B144+'Chi phí'!$H$77*A144))*(1+'Giả định'!$B$16)</f>
        <v>345006860</v>
      </c>
      <c r="E144" s="25" t="n">
        <f aca="false">A144/'Giả định'!$B$19*'Giả định'!$B$20+A144*'Giả định'!$B$23+'Giả định'!$B$24</f>
        <v>51745378.1512605</v>
      </c>
      <c r="F144" s="25" t="n">
        <f aca="false">E144-D144</f>
        <v>-293261481.84874</v>
      </c>
      <c r="G144" s="25" t="n">
        <f aca="false">E144-C144</f>
        <v>-149656481.84874</v>
      </c>
      <c r="H144" s="7" t="str">
        <f aca="false">IF(F144&gt;=0,A144,"")</f>
        <v/>
      </c>
      <c r="I144" s="7" t="n">
        <f aca="false">IF(F144&lt;0,A144,0)</f>
        <v>139</v>
      </c>
      <c r="J144" s="7" t="str">
        <f aca="false">IF(G144&gt;=0,A144,"")</f>
        <v/>
      </c>
      <c r="K144" s="7" t="n">
        <f aca="false">IF(G144&lt;0,A144,0)</f>
        <v>139</v>
      </c>
    </row>
    <row r="145" customFormat="false" ht="15" hidden="false" customHeight="false" outlineLevel="0" collapsed="false">
      <c r="A145" s="7" t="n">
        <f aca="false">A144+1</f>
        <v>140</v>
      </c>
      <c r="B145" s="7" t="n">
        <f aca="false">MAX('Giả định'!$B$9,ROUNDUP(A145/'Giả định'!$B$7,0)+'Giả định'!$B$8)</f>
        <v>15</v>
      </c>
      <c r="C145" s="25" t="n">
        <f aca="false">('Chi phí'!$C$76+'Chi phí'!$D$76*B145+'Chi phí'!$E$76*A145+'Giả định'!$B$15*('Chi phí'!$F$76+'Chi phí'!$G$76*B145+'Chi phí'!$H$76*A145))*(1+'Giả định'!$B$16)</f>
        <v>201438600</v>
      </c>
      <c r="D145" s="25" t="n">
        <f aca="false">('Chi phí'!$C$77+'Chi phí'!$D$77*B145+'Chi phí'!$E$77*A145+'Giả định'!$B$15*('Chi phí'!$F$77+'Chi phí'!$G$77*B145+'Chi phí'!$H$77*A145))*(1+'Giả định'!$B$16)</f>
        <v>345043600</v>
      </c>
      <c r="E145" s="25" t="n">
        <f aca="false">A145/'Giả định'!$B$19*'Giả định'!$B$20+A145*'Giả định'!$B$23+'Giả định'!$B$24</f>
        <v>52117647.0588235</v>
      </c>
      <c r="F145" s="25" t="n">
        <f aca="false">E145-D145</f>
        <v>-292925952.941177</v>
      </c>
      <c r="G145" s="25" t="n">
        <f aca="false">E145-C145</f>
        <v>-149320952.941177</v>
      </c>
      <c r="H145" s="7" t="str">
        <f aca="false">IF(F145&gt;=0,A145,"")</f>
        <v/>
      </c>
      <c r="I145" s="7" t="n">
        <f aca="false">IF(F145&lt;0,A145,0)</f>
        <v>140</v>
      </c>
      <c r="J145" s="7" t="str">
        <f aca="false">IF(G145&gt;=0,A145,"")</f>
        <v/>
      </c>
      <c r="K145" s="7" t="n">
        <f aca="false">IF(G145&lt;0,A145,0)</f>
        <v>140</v>
      </c>
    </row>
    <row r="146" customFormat="false" ht="15" hidden="false" customHeight="false" outlineLevel="0" collapsed="false">
      <c r="A146" s="7" t="n">
        <f aca="false">A145+1</f>
        <v>141</v>
      </c>
      <c r="B146" s="7" t="n">
        <f aca="false">MAX('Giả định'!$B$9,ROUNDUP(A146/'Giả định'!$B$7,0)+'Giả định'!$B$8)</f>
        <v>16</v>
      </c>
      <c r="C146" s="25" t="n">
        <f aca="false">('Chi phí'!$C$76+'Chi phí'!$D$76*B146+'Chi phí'!$E$76*A146+'Giả định'!$B$15*('Chi phí'!$F$76+'Chi phí'!$G$76*B146+'Chi phí'!$H$76*A146))*(1+'Giả định'!$B$16)</f>
        <v>210649340</v>
      </c>
      <c r="D146" s="25" t="n">
        <f aca="false">('Chi phí'!$C$77+'Chi phí'!$D$77*B146+'Chi phí'!$E$77*A146+'Giả định'!$B$15*('Chi phí'!$F$77+'Chi phí'!$G$77*B146+'Chi phí'!$H$77*A146))*(1+'Giả định'!$B$16)</f>
        <v>354254340</v>
      </c>
      <c r="E146" s="25" t="n">
        <f aca="false">A146/'Giả định'!$B$19*'Giả định'!$B$20+A146*'Giả định'!$B$23+'Giả định'!$B$24</f>
        <v>52489915.9663866</v>
      </c>
      <c r="F146" s="25" t="n">
        <f aca="false">E146-D146</f>
        <v>-301764424.033613</v>
      </c>
      <c r="G146" s="25" t="n">
        <f aca="false">E146-C146</f>
        <v>-158159424.033613</v>
      </c>
      <c r="H146" s="7" t="str">
        <f aca="false">IF(F146&gt;=0,A146,"")</f>
        <v/>
      </c>
      <c r="I146" s="7" t="n">
        <f aca="false">IF(F146&lt;0,A146,0)</f>
        <v>141</v>
      </c>
      <c r="J146" s="7" t="str">
        <f aca="false">IF(G146&gt;=0,A146,"")</f>
        <v/>
      </c>
      <c r="K146" s="7" t="n">
        <f aca="false">IF(G146&lt;0,A146,0)</f>
        <v>141</v>
      </c>
    </row>
    <row r="147" customFormat="false" ht="15" hidden="false" customHeight="false" outlineLevel="0" collapsed="false">
      <c r="A147" s="7" t="n">
        <f aca="false">A146+1</f>
        <v>142</v>
      </c>
      <c r="B147" s="7" t="n">
        <f aca="false">MAX('Giả định'!$B$9,ROUNDUP(A147/'Giả định'!$B$7,0)+'Giả định'!$B$8)</f>
        <v>16</v>
      </c>
      <c r="C147" s="25" t="n">
        <f aca="false">('Chi phí'!$C$76+'Chi phí'!$D$76*B147+'Chi phí'!$E$76*A147+'Giả định'!$B$15*('Chi phí'!$F$76+'Chi phí'!$G$76*B147+'Chi phí'!$H$76*A147))*(1+'Giả định'!$B$16)</f>
        <v>210686080</v>
      </c>
      <c r="D147" s="25" t="n">
        <f aca="false">('Chi phí'!$C$77+'Chi phí'!$D$77*B147+'Chi phí'!$E$77*A147+'Giả định'!$B$15*('Chi phí'!$F$77+'Chi phí'!$G$77*B147+'Chi phí'!$H$77*A147))*(1+'Giả định'!$B$16)</f>
        <v>354291080</v>
      </c>
      <c r="E147" s="25" t="n">
        <f aca="false">A147/'Giả định'!$B$19*'Giả định'!$B$20+A147*'Giả định'!$B$23+'Giả định'!$B$24</f>
        <v>52862184.8739496</v>
      </c>
      <c r="F147" s="25" t="n">
        <f aca="false">E147-D147</f>
        <v>-301428895.12605</v>
      </c>
      <c r="G147" s="25" t="n">
        <f aca="false">E147-C147</f>
        <v>-157823895.12605</v>
      </c>
      <c r="H147" s="7" t="str">
        <f aca="false">IF(F147&gt;=0,A147,"")</f>
        <v/>
      </c>
      <c r="I147" s="7" t="n">
        <f aca="false">IF(F147&lt;0,A147,0)</f>
        <v>142</v>
      </c>
      <c r="J147" s="7" t="str">
        <f aca="false">IF(G147&gt;=0,A147,"")</f>
        <v/>
      </c>
      <c r="K147" s="7" t="n">
        <f aca="false">IF(G147&lt;0,A147,0)</f>
        <v>142</v>
      </c>
    </row>
    <row r="148" customFormat="false" ht="15" hidden="false" customHeight="false" outlineLevel="0" collapsed="false">
      <c r="A148" s="7" t="n">
        <f aca="false">A147+1</f>
        <v>143</v>
      </c>
      <c r="B148" s="7" t="n">
        <f aca="false">MAX('Giả định'!$B$9,ROUNDUP(A148/'Giả định'!$B$7,0)+'Giả định'!$B$8)</f>
        <v>16</v>
      </c>
      <c r="C148" s="25" t="n">
        <f aca="false">('Chi phí'!$C$76+'Chi phí'!$D$76*B148+'Chi phí'!$E$76*A148+'Giả định'!$B$15*('Chi phí'!$F$76+'Chi phí'!$G$76*B148+'Chi phí'!$H$76*A148))*(1+'Giả định'!$B$16)</f>
        <v>210722820</v>
      </c>
      <c r="D148" s="25" t="n">
        <f aca="false">('Chi phí'!$C$77+'Chi phí'!$D$77*B148+'Chi phí'!$E$77*A148+'Giả định'!$B$15*('Chi phí'!$F$77+'Chi phí'!$G$77*B148+'Chi phí'!$H$77*A148))*(1+'Giả định'!$B$16)</f>
        <v>354327820</v>
      </c>
      <c r="E148" s="25" t="n">
        <f aca="false">A148/'Giả định'!$B$19*'Giả định'!$B$20+A148*'Giả định'!$B$23+'Giả định'!$B$24</f>
        <v>53234453.7815126</v>
      </c>
      <c r="F148" s="25" t="n">
        <f aca="false">E148-D148</f>
        <v>-301093366.218487</v>
      </c>
      <c r="G148" s="25" t="n">
        <f aca="false">E148-C148</f>
        <v>-157488366.218487</v>
      </c>
      <c r="H148" s="7" t="str">
        <f aca="false">IF(F148&gt;=0,A148,"")</f>
        <v/>
      </c>
      <c r="I148" s="7" t="n">
        <f aca="false">IF(F148&lt;0,A148,0)</f>
        <v>143</v>
      </c>
      <c r="J148" s="7" t="str">
        <f aca="false">IF(G148&gt;=0,A148,"")</f>
        <v/>
      </c>
      <c r="K148" s="7" t="n">
        <f aca="false">IF(G148&lt;0,A148,0)</f>
        <v>143</v>
      </c>
    </row>
    <row r="149" customFormat="false" ht="15" hidden="false" customHeight="false" outlineLevel="0" collapsed="false">
      <c r="A149" s="7" t="n">
        <f aca="false">A148+1</f>
        <v>144</v>
      </c>
      <c r="B149" s="7" t="n">
        <f aca="false">MAX('Giả định'!$B$9,ROUNDUP(A149/'Giả định'!$B$7,0)+'Giả định'!$B$8)</f>
        <v>16</v>
      </c>
      <c r="C149" s="25" t="n">
        <f aca="false">('Chi phí'!$C$76+'Chi phí'!$D$76*B149+'Chi phí'!$E$76*A149+'Giả định'!$B$15*('Chi phí'!$F$76+'Chi phí'!$G$76*B149+'Chi phí'!$H$76*A149))*(1+'Giả định'!$B$16)</f>
        <v>210759560</v>
      </c>
      <c r="D149" s="25" t="n">
        <f aca="false">('Chi phí'!$C$77+'Chi phí'!$D$77*B149+'Chi phí'!$E$77*A149+'Giả định'!$B$15*('Chi phí'!$F$77+'Chi phí'!$G$77*B149+'Chi phí'!$H$77*A149))*(1+'Giả định'!$B$16)</f>
        <v>354364560</v>
      </c>
      <c r="E149" s="25" t="n">
        <f aca="false">A149/'Giả định'!$B$19*'Giả định'!$B$20+A149*'Giả định'!$B$23+'Giả định'!$B$24</f>
        <v>53606722.6890756</v>
      </c>
      <c r="F149" s="25" t="n">
        <f aca="false">E149-D149</f>
        <v>-300757837.310924</v>
      </c>
      <c r="G149" s="25" t="n">
        <f aca="false">E149-C149</f>
        <v>-157152837.310924</v>
      </c>
      <c r="H149" s="7" t="str">
        <f aca="false">IF(F149&gt;=0,A149,"")</f>
        <v/>
      </c>
      <c r="I149" s="7" t="n">
        <f aca="false">IF(F149&lt;0,A149,0)</f>
        <v>144</v>
      </c>
      <c r="J149" s="7" t="str">
        <f aca="false">IF(G149&gt;=0,A149,"")</f>
        <v/>
      </c>
      <c r="K149" s="7" t="n">
        <f aca="false">IF(G149&lt;0,A149,0)</f>
        <v>144</v>
      </c>
    </row>
    <row r="150" customFormat="false" ht="15" hidden="false" customHeight="false" outlineLevel="0" collapsed="false">
      <c r="A150" s="7" t="n">
        <f aca="false">A149+1</f>
        <v>145</v>
      </c>
      <c r="B150" s="7" t="n">
        <f aca="false">MAX('Giả định'!$B$9,ROUNDUP(A150/'Giả định'!$B$7,0)+'Giả định'!$B$8)</f>
        <v>16</v>
      </c>
      <c r="C150" s="25" t="n">
        <f aca="false">('Chi phí'!$C$76+'Chi phí'!$D$76*B150+'Chi phí'!$E$76*A150+'Giả định'!$B$15*('Chi phí'!$F$76+'Chi phí'!$G$76*B150+'Chi phí'!$H$76*A150))*(1+'Giả định'!$B$16)</f>
        <v>210796300</v>
      </c>
      <c r="D150" s="25" t="n">
        <f aca="false">('Chi phí'!$C$77+'Chi phí'!$D$77*B150+'Chi phí'!$E$77*A150+'Giả định'!$B$15*('Chi phí'!$F$77+'Chi phí'!$G$77*B150+'Chi phí'!$H$77*A150))*(1+'Giả định'!$B$16)</f>
        <v>354401300</v>
      </c>
      <c r="E150" s="25" t="n">
        <f aca="false">A150/'Giả định'!$B$19*'Giả định'!$B$20+A150*'Giả định'!$B$23+'Giả định'!$B$24</f>
        <v>53978991.5966387</v>
      </c>
      <c r="F150" s="25" t="n">
        <f aca="false">E150-D150</f>
        <v>-300422308.403361</v>
      </c>
      <c r="G150" s="25" t="n">
        <f aca="false">E150-C150</f>
        <v>-156817308.403361</v>
      </c>
      <c r="H150" s="7" t="str">
        <f aca="false">IF(F150&gt;=0,A150,"")</f>
        <v/>
      </c>
      <c r="I150" s="7" t="n">
        <f aca="false">IF(F150&lt;0,A150,0)</f>
        <v>145</v>
      </c>
      <c r="J150" s="7" t="str">
        <f aca="false">IF(G150&gt;=0,A150,"")</f>
        <v/>
      </c>
      <c r="K150" s="7" t="n">
        <f aca="false">IF(G150&lt;0,A150,0)</f>
        <v>145</v>
      </c>
    </row>
    <row r="151" customFormat="false" ht="15" hidden="false" customHeight="false" outlineLevel="0" collapsed="false">
      <c r="A151" s="7" t="n">
        <f aca="false">A150+1</f>
        <v>146</v>
      </c>
      <c r="B151" s="7" t="n">
        <f aca="false">MAX('Giả định'!$B$9,ROUNDUP(A151/'Giả định'!$B$7,0)+'Giả định'!$B$8)</f>
        <v>16</v>
      </c>
      <c r="C151" s="25" t="n">
        <f aca="false">('Chi phí'!$C$76+'Chi phí'!$D$76*B151+'Chi phí'!$E$76*A151+'Giả định'!$B$15*('Chi phí'!$F$76+'Chi phí'!$G$76*B151+'Chi phí'!$H$76*A151))*(1+'Giả định'!$B$16)</f>
        <v>210833040</v>
      </c>
      <c r="D151" s="25" t="n">
        <f aca="false">('Chi phí'!$C$77+'Chi phí'!$D$77*B151+'Chi phí'!$E$77*A151+'Giả định'!$B$15*('Chi phí'!$F$77+'Chi phí'!$G$77*B151+'Chi phí'!$H$77*A151))*(1+'Giả định'!$B$16)</f>
        <v>354438040</v>
      </c>
      <c r="E151" s="25" t="n">
        <f aca="false">A151/'Giả định'!$B$19*'Giả định'!$B$20+A151*'Giả định'!$B$23+'Giả định'!$B$24</f>
        <v>54351260.5042017</v>
      </c>
      <c r="F151" s="25" t="n">
        <f aca="false">E151-D151</f>
        <v>-300086779.495798</v>
      </c>
      <c r="G151" s="25" t="n">
        <f aca="false">E151-C151</f>
        <v>-156481779.495798</v>
      </c>
      <c r="H151" s="7" t="str">
        <f aca="false">IF(F151&gt;=0,A151,"")</f>
        <v/>
      </c>
      <c r="I151" s="7" t="n">
        <f aca="false">IF(F151&lt;0,A151,0)</f>
        <v>146</v>
      </c>
      <c r="J151" s="7" t="str">
        <f aca="false">IF(G151&gt;=0,A151,"")</f>
        <v/>
      </c>
      <c r="K151" s="7" t="n">
        <f aca="false">IF(G151&lt;0,A151,0)</f>
        <v>146</v>
      </c>
    </row>
    <row r="152" customFormat="false" ht="15" hidden="false" customHeight="false" outlineLevel="0" collapsed="false">
      <c r="A152" s="7" t="n">
        <f aca="false">A151+1</f>
        <v>147</v>
      </c>
      <c r="B152" s="7" t="n">
        <f aca="false">MAX('Giả định'!$B$9,ROUNDUP(A152/'Giả định'!$B$7,0)+'Giả định'!$B$8)</f>
        <v>16</v>
      </c>
      <c r="C152" s="25" t="n">
        <f aca="false">('Chi phí'!$C$76+'Chi phí'!$D$76*B152+'Chi phí'!$E$76*A152+'Giả định'!$B$15*('Chi phí'!$F$76+'Chi phí'!$G$76*B152+'Chi phí'!$H$76*A152))*(1+'Giả định'!$B$16)</f>
        <v>210869780</v>
      </c>
      <c r="D152" s="25" t="n">
        <f aca="false">('Chi phí'!$C$77+'Chi phí'!$D$77*B152+'Chi phí'!$E$77*A152+'Giả định'!$B$15*('Chi phí'!$F$77+'Chi phí'!$G$77*B152+'Chi phí'!$H$77*A152))*(1+'Giả định'!$B$16)</f>
        <v>354474780</v>
      </c>
      <c r="E152" s="25" t="n">
        <f aca="false">A152/'Giả định'!$B$19*'Giả định'!$B$20+A152*'Giả định'!$B$23+'Giả định'!$B$24</f>
        <v>54723529.4117647</v>
      </c>
      <c r="F152" s="25" t="n">
        <f aca="false">E152-D152</f>
        <v>-299751250.588235</v>
      </c>
      <c r="G152" s="25" t="n">
        <f aca="false">E152-C152</f>
        <v>-156146250.588235</v>
      </c>
      <c r="H152" s="7" t="str">
        <f aca="false">IF(F152&gt;=0,A152,"")</f>
        <v/>
      </c>
      <c r="I152" s="7" t="n">
        <f aca="false">IF(F152&lt;0,A152,0)</f>
        <v>147</v>
      </c>
      <c r="J152" s="7" t="str">
        <f aca="false">IF(G152&gt;=0,A152,"")</f>
        <v/>
      </c>
      <c r="K152" s="7" t="n">
        <f aca="false">IF(G152&lt;0,A152,0)</f>
        <v>147</v>
      </c>
    </row>
    <row r="153" customFormat="false" ht="15" hidden="false" customHeight="false" outlineLevel="0" collapsed="false">
      <c r="A153" s="7" t="n">
        <f aca="false">A152+1</f>
        <v>148</v>
      </c>
      <c r="B153" s="7" t="n">
        <f aca="false">MAX('Giả định'!$B$9,ROUNDUP(A153/'Giả định'!$B$7,0)+'Giả định'!$B$8)</f>
        <v>16</v>
      </c>
      <c r="C153" s="25" t="n">
        <f aca="false">('Chi phí'!$C$76+'Chi phí'!$D$76*B153+'Chi phí'!$E$76*A153+'Giả định'!$B$15*('Chi phí'!$F$76+'Chi phí'!$G$76*B153+'Chi phí'!$H$76*A153))*(1+'Giả định'!$B$16)</f>
        <v>210906520</v>
      </c>
      <c r="D153" s="25" t="n">
        <f aca="false">('Chi phí'!$C$77+'Chi phí'!$D$77*B153+'Chi phí'!$E$77*A153+'Giả định'!$B$15*('Chi phí'!$F$77+'Chi phí'!$G$77*B153+'Chi phí'!$H$77*A153))*(1+'Giả định'!$B$16)</f>
        <v>354511520</v>
      </c>
      <c r="E153" s="25" t="n">
        <f aca="false">A153/'Giả định'!$B$19*'Giả định'!$B$20+A153*'Giả định'!$B$23+'Giả định'!$B$24</f>
        <v>55095798.3193277</v>
      </c>
      <c r="F153" s="25" t="n">
        <f aca="false">E153-D153</f>
        <v>-299415721.680672</v>
      </c>
      <c r="G153" s="25" t="n">
        <f aca="false">E153-C153</f>
        <v>-155810721.680672</v>
      </c>
      <c r="H153" s="7" t="str">
        <f aca="false">IF(F153&gt;=0,A153,"")</f>
        <v/>
      </c>
      <c r="I153" s="7" t="n">
        <f aca="false">IF(F153&lt;0,A153,0)</f>
        <v>148</v>
      </c>
      <c r="J153" s="7" t="str">
        <f aca="false">IF(G153&gt;=0,A153,"")</f>
        <v/>
      </c>
      <c r="K153" s="7" t="n">
        <f aca="false">IF(G153&lt;0,A153,0)</f>
        <v>148</v>
      </c>
    </row>
    <row r="154" customFormat="false" ht="15" hidden="false" customHeight="false" outlineLevel="0" collapsed="false">
      <c r="A154" s="7" t="n">
        <f aca="false">A153+1</f>
        <v>149</v>
      </c>
      <c r="B154" s="7" t="n">
        <f aca="false">MAX('Giả định'!$B$9,ROUNDUP(A154/'Giả định'!$B$7,0)+'Giả định'!$B$8)</f>
        <v>16</v>
      </c>
      <c r="C154" s="25" t="n">
        <f aca="false">('Chi phí'!$C$76+'Chi phí'!$D$76*B154+'Chi phí'!$E$76*A154+'Giả định'!$B$15*('Chi phí'!$F$76+'Chi phí'!$G$76*B154+'Chi phí'!$H$76*A154))*(1+'Giả định'!$B$16)</f>
        <v>210943260</v>
      </c>
      <c r="D154" s="25" t="n">
        <f aca="false">('Chi phí'!$C$77+'Chi phí'!$D$77*B154+'Chi phí'!$E$77*A154+'Giả định'!$B$15*('Chi phí'!$F$77+'Chi phí'!$G$77*B154+'Chi phí'!$H$77*A154))*(1+'Giả định'!$B$16)</f>
        <v>354548260</v>
      </c>
      <c r="E154" s="25" t="n">
        <f aca="false">A154/'Giả định'!$B$19*'Giả định'!$B$20+A154*'Giả định'!$B$23+'Giả định'!$B$24</f>
        <v>55468067.2268908</v>
      </c>
      <c r="F154" s="25" t="n">
        <f aca="false">E154-D154</f>
        <v>-299080192.773109</v>
      </c>
      <c r="G154" s="25" t="n">
        <f aca="false">E154-C154</f>
        <v>-155475192.773109</v>
      </c>
      <c r="H154" s="7" t="str">
        <f aca="false">IF(F154&gt;=0,A154,"")</f>
        <v/>
      </c>
      <c r="I154" s="7" t="n">
        <f aca="false">IF(F154&lt;0,A154,0)</f>
        <v>149</v>
      </c>
      <c r="J154" s="7" t="str">
        <f aca="false">IF(G154&gt;=0,A154,"")</f>
        <v/>
      </c>
      <c r="K154" s="7" t="n">
        <f aca="false">IF(G154&lt;0,A154,0)</f>
        <v>149</v>
      </c>
    </row>
    <row r="155" customFormat="false" ht="15" hidden="false" customHeight="false" outlineLevel="0" collapsed="false">
      <c r="A155" s="7" t="n">
        <f aca="false">A154+1</f>
        <v>150</v>
      </c>
      <c r="B155" s="7" t="n">
        <f aca="false">MAX('Giả định'!$B$9,ROUNDUP(A155/'Giả định'!$B$7,0)+'Giả định'!$B$8)</f>
        <v>16</v>
      </c>
      <c r="C155" s="25" t="n">
        <f aca="false">('Chi phí'!$C$76+'Chi phí'!$D$76*B155+'Chi phí'!$E$76*A155+'Giả định'!$B$15*('Chi phí'!$F$76+'Chi phí'!$G$76*B155+'Chi phí'!$H$76*A155))*(1+'Giả định'!$B$16)</f>
        <v>210980000</v>
      </c>
      <c r="D155" s="25" t="n">
        <f aca="false">('Chi phí'!$C$77+'Chi phí'!$D$77*B155+'Chi phí'!$E$77*A155+'Giả định'!$B$15*('Chi phí'!$F$77+'Chi phí'!$G$77*B155+'Chi phí'!$H$77*A155))*(1+'Giả định'!$B$16)</f>
        <v>354585000</v>
      </c>
      <c r="E155" s="25" t="n">
        <f aca="false">A155/'Giả định'!$B$19*'Giả định'!$B$20+A155*'Giả định'!$B$23+'Giả định'!$B$24</f>
        <v>55840336.1344538</v>
      </c>
      <c r="F155" s="25" t="n">
        <f aca="false">E155-D155</f>
        <v>-298744663.865546</v>
      </c>
      <c r="G155" s="25" t="n">
        <f aca="false">E155-C155</f>
        <v>-155139663.865546</v>
      </c>
      <c r="H155" s="7" t="str">
        <f aca="false">IF(F155&gt;=0,A155,"")</f>
        <v/>
      </c>
      <c r="I155" s="7" t="n">
        <f aca="false">IF(F155&lt;0,A155,0)</f>
        <v>150</v>
      </c>
      <c r="J155" s="7" t="str">
        <f aca="false">IF(G155&gt;=0,A155,"")</f>
        <v/>
      </c>
      <c r="K155" s="7" t="n">
        <f aca="false">IF(G155&lt;0,A155,0)</f>
        <v>150</v>
      </c>
    </row>
    <row r="156" customFormat="false" ht="15" hidden="false" customHeight="false" outlineLevel="0" collapsed="false">
      <c r="A156" s="7" t="n">
        <f aca="false">A155+1</f>
        <v>151</v>
      </c>
      <c r="B156" s="7" t="n">
        <f aca="false">MAX('Giả định'!$B$9,ROUNDUP(A156/'Giả định'!$B$7,0)+'Giả định'!$B$8)</f>
        <v>17</v>
      </c>
      <c r="C156" s="25" t="n">
        <f aca="false">('Chi phí'!$C$76+'Chi phí'!$D$76*B156+'Chi phí'!$E$76*A156+'Giả định'!$B$15*('Chi phí'!$F$76+'Chi phí'!$G$76*B156+'Chi phí'!$H$76*A156))*(1+'Giả định'!$B$16)</f>
        <v>220190740</v>
      </c>
      <c r="D156" s="25" t="n">
        <f aca="false">('Chi phí'!$C$77+'Chi phí'!$D$77*B156+'Chi phí'!$E$77*A156+'Giả định'!$B$15*('Chi phí'!$F$77+'Chi phí'!$G$77*B156+'Chi phí'!$H$77*A156))*(1+'Giả định'!$B$16)</f>
        <v>363795740</v>
      </c>
      <c r="E156" s="25" t="n">
        <f aca="false">A156/'Giả định'!$B$19*'Giả định'!$B$20+A156*'Giả định'!$B$23+'Giả định'!$B$24</f>
        <v>56212605.0420168</v>
      </c>
      <c r="F156" s="25" t="n">
        <f aca="false">E156-D156</f>
        <v>-307583134.957983</v>
      </c>
      <c r="G156" s="25" t="n">
        <f aca="false">E156-C156</f>
        <v>-163978134.957983</v>
      </c>
      <c r="H156" s="7" t="str">
        <f aca="false">IF(F156&gt;=0,A156,"")</f>
        <v/>
      </c>
      <c r="I156" s="7" t="n">
        <f aca="false">IF(F156&lt;0,A156,0)</f>
        <v>151</v>
      </c>
      <c r="J156" s="7" t="str">
        <f aca="false">IF(G156&gt;=0,A156,"")</f>
        <v/>
      </c>
      <c r="K156" s="7" t="n">
        <f aca="false">IF(G156&lt;0,A156,0)</f>
        <v>151</v>
      </c>
    </row>
    <row r="157" customFormat="false" ht="15" hidden="false" customHeight="false" outlineLevel="0" collapsed="false">
      <c r="A157" s="7" t="n">
        <f aca="false">A156+1</f>
        <v>152</v>
      </c>
      <c r="B157" s="7" t="n">
        <f aca="false">MAX('Giả định'!$B$9,ROUNDUP(A157/'Giả định'!$B$7,0)+'Giả định'!$B$8)</f>
        <v>17</v>
      </c>
      <c r="C157" s="25" t="n">
        <f aca="false">('Chi phí'!$C$76+'Chi phí'!$D$76*B157+'Chi phí'!$E$76*A157+'Giả định'!$B$15*('Chi phí'!$F$76+'Chi phí'!$G$76*B157+'Chi phí'!$H$76*A157))*(1+'Giả định'!$B$16)</f>
        <v>220227480</v>
      </c>
      <c r="D157" s="25" t="n">
        <f aca="false">('Chi phí'!$C$77+'Chi phí'!$D$77*B157+'Chi phí'!$E$77*A157+'Giả định'!$B$15*('Chi phí'!$F$77+'Chi phí'!$G$77*B157+'Chi phí'!$H$77*A157))*(1+'Giả định'!$B$16)</f>
        <v>363832480</v>
      </c>
      <c r="E157" s="25" t="n">
        <f aca="false">A157/'Giả định'!$B$19*'Giả định'!$B$20+A157*'Giả định'!$B$23+'Giả định'!$B$24</f>
        <v>56584873.9495798</v>
      </c>
      <c r="F157" s="25" t="n">
        <f aca="false">E157-D157</f>
        <v>-307247606.05042</v>
      </c>
      <c r="G157" s="25" t="n">
        <f aca="false">E157-C157</f>
        <v>-163642606.05042</v>
      </c>
      <c r="H157" s="7" t="str">
        <f aca="false">IF(F157&gt;=0,A157,"")</f>
        <v/>
      </c>
      <c r="I157" s="7" t="n">
        <f aca="false">IF(F157&lt;0,A157,0)</f>
        <v>152</v>
      </c>
      <c r="J157" s="7" t="str">
        <f aca="false">IF(G157&gt;=0,A157,"")</f>
        <v/>
      </c>
      <c r="K157" s="7" t="n">
        <f aca="false">IF(G157&lt;0,A157,0)</f>
        <v>152</v>
      </c>
    </row>
    <row r="158" customFormat="false" ht="15" hidden="false" customHeight="false" outlineLevel="0" collapsed="false">
      <c r="A158" s="7" t="n">
        <f aca="false">A157+1</f>
        <v>153</v>
      </c>
      <c r="B158" s="7" t="n">
        <f aca="false">MAX('Giả định'!$B$9,ROUNDUP(A158/'Giả định'!$B$7,0)+'Giả định'!$B$8)</f>
        <v>17</v>
      </c>
      <c r="C158" s="25" t="n">
        <f aca="false">('Chi phí'!$C$76+'Chi phí'!$D$76*B158+'Chi phí'!$E$76*A158+'Giả định'!$B$15*('Chi phí'!$F$76+'Chi phí'!$G$76*B158+'Chi phí'!$H$76*A158))*(1+'Giả định'!$B$16)</f>
        <v>220264220</v>
      </c>
      <c r="D158" s="25" t="n">
        <f aca="false">('Chi phí'!$C$77+'Chi phí'!$D$77*B158+'Chi phí'!$E$77*A158+'Giả định'!$B$15*('Chi phí'!$F$77+'Chi phí'!$G$77*B158+'Chi phí'!$H$77*A158))*(1+'Giả định'!$B$16)</f>
        <v>363869220</v>
      </c>
      <c r="E158" s="25" t="n">
        <f aca="false">A158/'Giả định'!$B$19*'Giả định'!$B$20+A158*'Giả định'!$B$23+'Giả định'!$B$24</f>
        <v>56957142.8571429</v>
      </c>
      <c r="F158" s="25" t="n">
        <f aca="false">E158-D158</f>
        <v>-306912077.142857</v>
      </c>
      <c r="G158" s="25" t="n">
        <f aca="false">E158-C158</f>
        <v>-163307077.142857</v>
      </c>
      <c r="H158" s="7" t="str">
        <f aca="false">IF(F158&gt;=0,A158,"")</f>
        <v/>
      </c>
      <c r="I158" s="7" t="n">
        <f aca="false">IF(F158&lt;0,A158,0)</f>
        <v>153</v>
      </c>
      <c r="J158" s="7" t="str">
        <f aca="false">IF(G158&gt;=0,A158,"")</f>
        <v/>
      </c>
      <c r="K158" s="7" t="n">
        <f aca="false">IF(G158&lt;0,A158,0)</f>
        <v>153</v>
      </c>
    </row>
    <row r="159" customFormat="false" ht="15" hidden="false" customHeight="false" outlineLevel="0" collapsed="false">
      <c r="A159" s="7" t="n">
        <f aca="false">A158+1</f>
        <v>154</v>
      </c>
      <c r="B159" s="7" t="n">
        <f aca="false">MAX('Giả định'!$B$9,ROUNDUP(A159/'Giả định'!$B$7,0)+'Giả định'!$B$8)</f>
        <v>17</v>
      </c>
      <c r="C159" s="25" t="n">
        <f aca="false">('Chi phí'!$C$76+'Chi phí'!$D$76*B159+'Chi phí'!$E$76*A159+'Giả định'!$B$15*('Chi phí'!$F$76+'Chi phí'!$G$76*B159+'Chi phí'!$H$76*A159))*(1+'Giả định'!$B$16)</f>
        <v>220300960</v>
      </c>
      <c r="D159" s="25" t="n">
        <f aca="false">('Chi phí'!$C$77+'Chi phí'!$D$77*B159+'Chi phí'!$E$77*A159+'Giả định'!$B$15*('Chi phí'!$F$77+'Chi phí'!$G$77*B159+'Chi phí'!$H$77*A159))*(1+'Giả định'!$B$16)</f>
        <v>363905960</v>
      </c>
      <c r="E159" s="25" t="n">
        <f aca="false">A159/'Giả định'!$B$19*'Giả định'!$B$20+A159*'Giả định'!$B$23+'Giả định'!$B$24</f>
        <v>57329411.7647059</v>
      </c>
      <c r="F159" s="25" t="n">
        <f aca="false">E159-D159</f>
        <v>-306576548.235294</v>
      </c>
      <c r="G159" s="25" t="n">
        <f aca="false">E159-C159</f>
        <v>-162971548.235294</v>
      </c>
      <c r="H159" s="7" t="str">
        <f aca="false">IF(F159&gt;=0,A159,"")</f>
        <v/>
      </c>
      <c r="I159" s="7" t="n">
        <f aca="false">IF(F159&lt;0,A159,0)</f>
        <v>154</v>
      </c>
      <c r="J159" s="7" t="str">
        <f aca="false">IF(G159&gt;=0,A159,"")</f>
        <v/>
      </c>
      <c r="K159" s="7" t="n">
        <f aca="false">IF(G159&lt;0,A159,0)</f>
        <v>154</v>
      </c>
    </row>
    <row r="160" customFormat="false" ht="15" hidden="false" customHeight="false" outlineLevel="0" collapsed="false">
      <c r="A160" s="7" t="n">
        <f aca="false">A159+1</f>
        <v>155</v>
      </c>
      <c r="B160" s="7" t="n">
        <f aca="false">MAX('Giả định'!$B$9,ROUNDUP(A160/'Giả định'!$B$7,0)+'Giả định'!$B$8)</f>
        <v>17</v>
      </c>
      <c r="C160" s="25" t="n">
        <f aca="false">('Chi phí'!$C$76+'Chi phí'!$D$76*B160+'Chi phí'!$E$76*A160+'Giả định'!$B$15*('Chi phí'!$F$76+'Chi phí'!$G$76*B160+'Chi phí'!$H$76*A160))*(1+'Giả định'!$B$16)</f>
        <v>220337700</v>
      </c>
      <c r="D160" s="25" t="n">
        <f aca="false">('Chi phí'!$C$77+'Chi phí'!$D$77*B160+'Chi phí'!$E$77*A160+'Giả định'!$B$15*('Chi phí'!$F$77+'Chi phí'!$G$77*B160+'Chi phí'!$H$77*A160))*(1+'Giả định'!$B$16)</f>
        <v>363942700</v>
      </c>
      <c r="E160" s="25" t="n">
        <f aca="false">A160/'Giả định'!$B$19*'Giả định'!$B$20+A160*'Giả định'!$B$23+'Giả định'!$B$24</f>
        <v>57701680.6722689</v>
      </c>
      <c r="F160" s="25" t="n">
        <f aca="false">E160-D160</f>
        <v>-306241019.327731</v>
      </c>
      <c r="G160" s="25" t="n">
        <f aca="false">E160-C160</f>
        <v>-162636019.327731</v>
      </c>
      <c r="H160" s="7" t="str">
        <f aca="false">IF(F160&gt;=0,A160,"")</f>
        <v/>
      </c>
      <c r="I160" s="7" t="n">
        <f aca="false">IF(F160&lt;0,A160,0)</f>
        <v>155</v>
      </c>
      <c r="J160" s="7" t="str">
        <f aca="false">IF(G160&gt;=0,A160,"")</f>
        <v/>
      </c>
      <c r="K160" s="7" t="n">
        <f aca="false">IF(G160&lt;0,A160,0)</f>
        <v>155</v>
      </c>
    </row>
    <row r="161" customFormat="false" ht="15" hidden="false" customHeight="false" outlineLevel="0" collapsed="false">
      <c r="A161" s="7" t="n">
        <f aca="false">A160+1</f>
        <v>156</v>
      </c>
      <c r="B161" s="7" t="n">
        <f aca="false">MAX('Giả định'!$B$9,ROUNDUP(A161/'Giả định'!$B$7,0)+'Giả định'!$B$8)</f>
        <v>17</v>
      </c>
      <c r="C161" s="25" t="n">
        <f aca="false">('Chi phí'!$C$76+'Chi phí'!$D$76*B161+'Chi phí'!$E$76*A161+'Giả định'!$B$15*('Chi phí'!$F$76+'Chi phí'!$G$76*B161+'Chi phí'!$H$76*A161))*(1+'Giả định'!$B$16)</f>
        <v>220374440</v>
      </c>
      <c r="D161" s="25" t="n">
        <f aca="false">('Chi phí'!$C$77+'Chi phí'!$D$77*B161+'Chi phí'!$E$77*A161+'Giả định'!$B$15*('Chi phí'!$F$77+'Chi phí'!$G$77*B161+'Chi phí'!$H$77*A161))*(1+'Giả định'!$B$16)</f>
        <v>363979440</v>
      </c>
      <c r="E161" s="25" t="n">
        <f aca="false">A161/'Giả định'!$B$19*'Giả định'!$B$20+A161*'Giả định'!$B$23+'Giả định'!$B$24</f>
        <v>58073949.5798319</v>
      </c>
      <c r="F161" s="25" t="n">
        <f aca="false">E161-D161</f>
        <v>-305905490.420168</v>
      </c>
      <c r="G161" s="25" t="n">
        <f aca="false">E161-C161</f>
        <v>-162300490.420168</v>
      </c>
      <c r="H161" s="7" t="str">
        <f aca="false">IF(F161&gt;=0,A161,"")</f>
        <v/>
      </c>
      <c r="I161" s="7" t="n">
        <f aca="false">IF(F161&lt;0,A161,0)</f>
        <v>156</v>
      </c>
      <c r="J161" s="7" t="str">
        <f aca="false">IF(G161&gt;=0,A161,"")</f>
        <v/>
      </c>
      <c r="K161" s="7" t="n">
        <f aca="false">IF(G161&lt;0,A161,0)</f>
        <v>156</v>
      </c>
    </row>
    <row r="162" customFormat="false" ht="15" hidden="false" customHeight="false" outlineLevel="0" collapsed="false">
      <c r="A162" s="7" t="n">
        <f aca="false">A161+1</f>
        <v>157</v>
      </c>
      <c r="B162" s="7" t="n">
        <f aca="false">MAX('Giả định'!$B$9,ROUNDUP(A162/'Giả định'!$B$7,0)+'Giả định'!$B$8)</f>
        <v>17</v>
      </c>
      <c r="C162" s="25" t="n">
        <f aca="false">('Chi phí'!$C$76+'Chi phí'!$D$76*B162+'Chi phí'!$E$76*A162+'Giả định'!$B$15*('Chi phí'!$F$76+'Chi phí'!$G$76*B162+'Chi phí'!$H$76*A162))*(1+'Giả định'!$B$16)</f>
        <v>220411180</v>
      </c>
      <c r="D162" s="25" t="n">
        <f aca="false">('Chi phí'!$C$77+'Chi phí'!$D$77*B162+'Chi phí'!$E$77*A162+'Giả định'!$B$15*('Chi phí'!$F$77+'Chi phí'!$G$77*B162+'Chi phí'!$H$77*A162))*(1+'Giả định'!$B$16)</f>
        <v>364016180</v>
      </c>
      <c r="E162" s="25" t="n">
        <f aca="false">A162/'Giả định'!$B$19*'Giả định'!$B$20+A162*'Giả định'!$B$23+'Giả định'!$B$24</f>
        <v>58446218.487395</v>
      </c>
      <c r="F162" s="25" t="n">
        <f aca="false">E162-D162</f>
        <v>-305569961.512605</v>
      </c>
      <c r="G162" s="25" t="n">
        <f aca="false">E162-C162</f>
        <v>-161964961.512605</v>
      </c>
      <c r="H162" s="7" t="str">
        <f aca="false">IF(F162&gt;=0,A162,"")</f>
        <v/>
      </c>
      <c r="I162" s="7" t="n">
        <f aca="false">IF(F162&lt;0,A162,0)</f>
        <v>157</v>
      </c>
      <c r="J162" s="7" t="str">
        <f aca="false">IF(G162&gt;=0,A162,"")</f>
        <v/>
      </c>
      <c r="K162" s="7" t="n">
        <f aca="false">IF(G162&lt;0,A162,0)</f>
        <v>157</v>
      </c>
    </row>
    <row r="163" customFormat="false" ht="15" hidden="false" customHeight="false" outlineLevel="0" collapsed="false">
      <c r="A163" s="7" t="n">
        <f aca="false">A162+1</f>
        <v>158</v>
      </c>
      <c r="B163" s="7" t="n">
        <f aca="false">MAX('Giả định'!$B$9,ROUNDUP(A163/'Giả định'!$B$7,0)+'Giả định'!$B$8)</f>
        <v>17</v>
      </c>
      <c r="C163" s="25" t="n">
        <f aca="false">('Chi phí'!$C$76+'Chi phí'!$D$76*B163+'Chi phí'!$E$76*A163+'Giả định'!$B$15*('Chi phí'!$F$76+'Chi phí'!$G$76*B163+'Chi phí'!$H$76*A163))*(1+'Giả định'!$B$16)</f>
        <v>220447920</v>
      </c>
      <c r="D163" s="25" t="n">
        <f aca="false">('Chi phí'!$C$77+'Chi phí'!$D$77*B163+'Chi phí'!$E$77*A163+'Giả định'!$B$15*('Chi phí'!$F$77+'Chi phí'!$G$77*B163+'Chi phí'!$H$77*A163))*(1+'Giả định'!$B$16)</f>
        <v>364052920</v>
      </c>
      <c r="E163" s="25" t="n">
        <f aca="false">A163/'Giả định'!$B$19*'Giả định'!$B$20+A163*'Giả định'!$B$23+'Giả định'!$B$24</f>
        <v>58818487.394958</v>
      </c>
      <c r="F163" s="25" t="n">
        <f aca="false">E163-D163</f>
        <v>-305234432.605042</v>
      </c>
      <c r="G163" s="25" t="n">
        <f aca="false">E163-C163</f>
        <v>-161629432.605042</v>
      </c>
      <c r="H163" s="7" t="str">
        <f aca="false">IF(F163&gt;=0,A163,"")</f>
        <v/>
      </c>
      <c r="I163" s="7" t="n">
        <f aca="false">IF(F163&lt;0,A163,0)</f>
        <v>158</v>
      </c>
      <c r="J163" s="7" t="str">
        <f aca="false">IF(G163&gt;=0,A163,"")</f>
        <v/>
      </c>
      <c r="K163" s="7" t="n">
        <f aca="false">IF(G163&lt;0,A163,0)</f>
        <v>158</v>
      </c>
    </row>
    <row r="164" customFormat="false" ht="15" hidden="false" customHeight="false" outlineLevel="0" collapsed="false">
      <c r="A164" s="7" t="n">
        <f aca="false">A163+1</f>
        <v>159</v>
      </c>
      <c r="B164" s="7" t="n">
        <f aca="false">MAX('Giả định'!$B$9,ROUNDUP(A164/'Giả định'!$B$7,0)+'Giả định'!$B$8)</f>
        <v>17</v>
      </c>
      <c r="C164" s="25" t="n">
        <f aca="false">('Chi phí'!$C$76+'Chi phí'!$D$76*B164+'Chi phí'!$E$76*A164+'Giả định'!$B$15*('Chi phí'!$F$76+'Chi phí'!$G$76*B164+'Chi phí'!$H$76*A164))*(1+'Giả định'!$B$16)</f>
        <v>220484660</v>
      </c>
      <c r="D164" s="25" t="n">
        <f aca="false">('Chi phí'!$C$77+'Chi phí'!$D$77*B164+'Chi phí'!$E$77*A164+'Giả định'!$B$15*('Chi phí'!$F$77+'Chi phí'!$G$77*B164+'Chi phí'!$H$77*A164))*(1+'Giả định'!$B$16)</f>
        <v>364089660</v>
      </c>
      <c r="E164" s="25" t="n">
        <f aca="false">A164/'Giả định'!$B$19*'Giả định'!$B$20+A164*'Giả định'!$B$23+'Giả định'!$B$24</f>
        <v>59190756.302521</v>
      </c>
      <c r="F164" s="25" t="n">
        <f aca="false">E164-D164</f>
        <v>-304898903.697479</v>
      </c>
      <c r="G164" s="25" t="n">
        <f aca="false">E164-C164</f>
        <v>-161293903.697479</v>
      </c>
      <c r="H164" s="7" t="str">
        <f aca="false">IF(F164&gt;=0,A164,"")</f>
        <v/>
      </c>
      <c r="I164" s="7" t="n">
        <f aca="false">IF(F164&lt;0,A164,0)</f>
        <v>159</v>
      </c>
      <c r="J164" s="7" t="str">
        <f aca="false">IF(G164&gt;=0,A164,"")</f>
        <v/>
      </c>
      <c r="K164" s="7" t="n">
        <f aca="false">IF(G164&lt;0,A164,0)</f>
        <v>159</v>
      </c>
    </row>
    <row r="165" customFormat="false" ht="15" hidden="false" customHeight="false" outlineLevel="0" collapsed="false">
      <c r="A165" s="7" t="n">
        <f aca="false">A164+1</f>
        <v>160</v>
      </c>
      <c r="B165" s="7" t="n">
        <f aca="false">MAX('Giả định'!$B$9,ROUNDUP(A165/'Giả định'!$B$7,0)+'Giả định'!$B$8)</f>
        <v>17</v>
      </c>
      <c r="C165" s="25" t="n">
        <f aca="false">('Chi phí'!$C$76+'Chi phí'!$D$76*B165+'Chi phí'!$E$76*A165+'Giả định'!$B$15*('Chi phí'!$F$76+'Chi phí'!$G$76*B165+'Chi phí'!$H$76*A165))*(1+'Giả định'!$B$16)</f>
        <v>220521400</v>
      </c>
      <c r="D165" s="25" t="n">
        <f aca="false">('Chi phí'!$C$77+'Chi phí'!$D$77*B165+'Chi phí'!$E$77*A165+'Giả định'!$B$15*('Chi phí'!$F$77+'Chi phí'!$G$77*B165+'Chi phí'!$H$77*A165))*(1+'Giả định'!$B$16)</f>
        <v>364126400</v>
      </c>
      <c r="E165" s="25" t="n">
        <f aca="false">A165/'Giả định'!$B$19*'Giả định'!$B$20+A165*'Giả định'!$B$23+'Giả định'!$B$24</f>
        <v>59563025.210084</v>
      </c>
      <c r="F165" s="25" t="n">
        <f aca="false">E165-D165</f>
        <v>-304563374.789916</v>
      </c>
      <c r="G165" s="25" t="n">
        <f aca="false">E165-C165</f>
        <v>-160958374.789916</v>
      </c>
      <c r="H165" s="7" t="str">
        <f aca="false">IF(F165&gt;=0,A165,"")</f>
        <v/>
      </c>
      <c r="I165" s="7" t="n">
        <f aca="false">IF(F165&lt;0,A165,0)</f>
        <v>160</v>
      </c>
      <c r="J165" s="7" t="str">
        <f aca="false">IF(G165&gt;=0,A165,"")</f>
        <v/>
      </c>
      <c r="K165" s="7" t="n">
        <f aca="false">IF(G165&lt;0,A165,0)</f>
        <v>160</v>
      </c>
    </row>
    <row r="166" customFormat="false" ht="15" hidden="false" customHeight="false" outlineLevel="0" collapsed="false">
      <c r="A166" s="7" t="n">
        <f aca="false">A165+1</f>
        <v>161</v>
      </c>
      <c r="B166" s="7" t="n">
        <f aca="false">MAX('Giả định'!$B$9,ROUNDUP(A166/'Giả định'!$B$7,0)+'Giả định'!$B$8)</f>
        <v>18</v>
      </c>
      <c r="C166" s="25" t="n">
        <f aca="false">('Chi phí'!$C$76+'Chi phí'!$D$76*B166+'Chi phí'!$E$76*A166+'Giả định'!$B$15*('Chi phí'!$F$76+'Chi phí'!$G$76*B166+'Chi phí'!$H$76*A166))*(1+'Giả định'!$B$16)</f>
        <v>229732140</v>
      </c>
      <c r="D166" s="25" t="n">
        <f aca="false">('Chi phí'!$C$77+'Chi phí'!$D$77*B166+'Chi phí'!$E$77*A166+'Giả định'!$B$15*('Chi phí'!$F$77+'Chi phí'!$G$77*B166+'Chi phí'!$H$77*A166))*(1+'Giả định'!$B$16)</f>
        <v>373337140</v>
      </c>
      <c r="E166" s="25" t="n">
        <f aca="false">A166/'Giả định'!$B$19*'Giả định'!$B$20+A166*'Giả định'!$B$23+'Giả định'!$B$24</f>
        <v>59935294.1176471</v>
      </c>
      <c r="F166" s="25" t="n">
        <f aca="false">E166-D166</f>
        <v>-313401845.882353</v>
      </c>
      <c r="G166" s="25" t="n">
        <f aca="false">E166-C166</f>
        <v>-169796845.882353</v>
      </c>
      <c r="H166" s="7" t="str">
        <f aca="false">IF(F166&gt;=0,A166,"")</f>
        <v/>
      </c>
      <c r="I166" s="7" t="n">
        <f aca="false">IF(F166&lt;0,A166,0)</f>
        <v>161</v>
      </c>
      <c r="J166" s="7" t="str">
        <f aca="false">IF(G166&gt;=0,A166,"")</f>
        <v/>
      </c>
      <c r="K166" s="7" t="n">
        <f aca="false">IF(G166&lt;0,A166,0)</f>
        <v>161</v>
      </c>
    </row>
    <row r="167" customFormat="false" ht="15" hidden="false" customHeight="false" outlineLevel="0" collapsed="false">
      <c r="A167" s="7" t="n">
        <f aca="false">A166+1</f>
        <v>162</v>
      </c>
      <c r="B167" s="7" t="n">
        <f aca="false">MAX('Giả định'!$B$9,ROUNDUP(A167/'Giả định'!$B$7,0)+'Giả định'!$B$8)</f>
        <v>18</v>
      </c>
      <c r="C167" s="25" t="n">
        <f aca="false">('Chi phí'!$C$76+'Chi phí'!$D$76*B167+'Chi phí'!$E$76*A167+'Giả định'!$B$15*('Chi phí'!$F$76+'Chi phí'!$G$76*B167+'Chi phí'!$H$76*A167))*(1+'Giả định'!$B$16)</f>
        <v>229768880</v>
      </c>
      <c r="D167" s="25" t="n">
        <f aca="false">('Chi phí'!$C$77+'Chi phí'!$D$77*B167+'Chi phí'!$E$77*A167+'Giả định'!$B$15*('Chi phí'!$F$77+'Chi phí'!$G$77*B167+'Chi phí'!$H$77*A167))*(1+'Giả định'!$B$16)</f>
        <v>373373880</v>
      </c>
      <c r="E167" s="25" t="n">
        <f aca="false">A167/'Giả định'!$B$19*'Giả định'!$B$20+A167*'Giả định'!$B$23+'Giả định'!$B$24</f>
        <v>60307563.0252101</v>
      </c>
      <c r="F167" s="25" t="n">
        <f aca="false">E167-D167</f>
        <v>-313066316.97479</v>
      </c>
      <c r="G167" s="25" t="n">
        <f aca="false">E167-C167</f>
        <v>-169461316.97479</v>
      </c>
      <c r="H167" s="7" t="str">
        <f aca="false">IF(F167&gt;=0,A167,"")</f>
        <v/>
      </c>
      <c r="I167" s="7" t="n">
        <f aca="false">IF(F167&lt;0,A167,0)</f>
        <v>162</v>
      </c>
      <c r="J167" s="7" t="str">
        <f aca="false">IF(G167&gt;=0,A167,"")</f>
        <v/>
      </c>
      <c r="K167" s="7" t="n">
        <f aca="false">IF(G167&lt;0,A167,0)</f>
        <v>162</v>
      </c>
    </row>
    <row r="168" customFormat="false" ht="15" hidden="false" customHeight="false" outlineLevel="0" collapsed="false">
      <c r="A168" s="7" t="n">
        <f aca="false">A167+1</f>
        <v>163</v>
      </c>
      <c r="B168" s="7" t="n">
        <f aca="false">MAX('Giả định'!$B$9,ROUNDUP(A168/'Giả định'!$B$7,0)+'Giả định'!$B$8)</f>
        <v>18</v>
      </c>
      <c r="C168" s="25" t="n">
        <f aca="false">('Chi phí'!$C$76+'Chi phí'!$D$76*B168+'Chi phí'!$E$76*A168+'Giả định'!$B$15*('Chi phí'!$F$76+'Chi phí'!$G$76*B168+'Chi phí'!$H$76*A168))*(1+'Giả định'!$B$16)</f>
        <v>229805620</v>
      </c>
      <c r="D168" s="25" t="n">
        <f aca="false">('Chi phí'!$C$77+'Chi phí'!$D$77*B168+'Chi phí'!$E$77*A168+'Giả định'!$B$15*('Chi phí'!$F$77+'Chi phí'!$G$77*B168+'Chi phí'!$H$77*A168))*(1+'Giả định'!$B$16)</f>
        <v>373410620</v>
      </c>
      <c r="E168" s="25" t="n">
        <f aca="false">A168/'Giả định'!$B$19*'Giả định'!$B$20+A168*'Giả định'!$B$23+'Giả định'!$B$24</f>
        <v>60679831.9327731</v>
      </c>
      <c r="F168" s="25" t="n">
        <f aca="false">E168-D168</f>
        <v>-312730788.067227</v>
      </c>
      <c r="G168" s="25" t="n">
        <f aca="false">E168-C168</f>
        <v>-169125788.067227</v>
      </c>
      <c r="H168" s="7" t="str">
        <f aca="false">IF(F168&gt;=0,A168,"")</f>
        <v/>
      </c>
      <c r="I168" s="7" t="n">
        <f aca="false">IF(F168&lt;0,A168,0)</f>
        <v>163</v>
      </c>
      <c r="J168" s="7" t="str">
        <f aca="false">IF(G168&gt;=0,A168,"")</f>
        <v/>
      </c>
      <c r="K168" s="7" t="n">
        <f aca="false">IF(G168&lt;0,A168,0)</f>
        <v>163</v>
      </c>
    </row>
    <row r="169" customFormat="false" ht="15" hidden="false" customHeight="false" outlineLevel="0" collapsed="false">
      <c r="A169" s="7" t="n">
        <f aca="false">A168+1</f>
        <v>164</v>
      </c>
      <c r="B169" s="7" t="n">
        <f aca="false">MAX('Giả định'!$B$9,ROUNDUP(A169/'Giả định'!$B$7,0)+'Giả định'!$B$8)</f>
        <v>18</v>
      </c>
      <c r="C169" s="25" t="n">
        <f aca="false">('Chi phí'!$C$76+'Chi phí'!$D$76*B169+'Chi phí'!$E$76*A169+'Giả định'!$B$15*('Chi phí'!$F$76+'Chi phí'!$G$76*B169+'Chi phí'!$H$76*A169))*(1+'Giả định'!$B$16)</f>
        <v>229842360</v>
      </c>
      <c r="D169" s="25" t="n">
        <f aca="false">('Chi phí'!$C$77+'Chi phí'!$D$77*B169+'Chi phí'!$E$77*A169+'Giả định'!$B$15*('Chi phí'!$F$77+'Chi phí'!$G$77*B169+'Chi phí'!$H$77*A169))*(1+'Giả định'!$B$16)</f>
        <v>373447360</v>
      </c>
      <c r="E169" s="25" t="n">
        <f aca="false">A169/'Giả định'!$B$19*'Giả định'!$B$20+A169*'Giả định'!$B$23+'Giả định'!$B$24</f>
        <v>61052100.8403361</v>
      </c>
      <c r="F169" s="25" t="n">
        <f aca="false">E169-D169</f>
        <v>-312395259.159664</v>
      </c>
      <c r="G169" s="25" t="n">
        <f aca="false">E169-C169</f>
        <v>-168790259.159664</v>
      </c>
      <c r="H169" s="7" t="str">
        <f aca="false">IF(F169&gt;=0,A169,"")</f>
        <v/>
      </c>
      <c r="I169" s="7" t="n">
        <f aca="false">IF(F169&lt;0,A169,0)</f>
        <v>164</v>
      </c>
      <c r="J169" s="7" t="str">
        <f aca="false">IF(G169&gt;=0,A169,"")</f>
        <v/>
      </c>
      <c r="K169" s="7" t="n">
        <f aca="false">IF(G169&lt;0,A169,0)</f>
        <v>164</v>
      </c>
    </row>
    <row r="170" customFormat="false" ht="15" hidden="false" customHeight="false" outlineLevel="0" collapsed="false">
      <c r="A170" s="7" t="n">
        <f aca="false">A169+1</f>
        <v>165</v>
      </c>
      <c r="B170" s="7" t="n">
        <f aca="false">MAX('Giả định'!$B$9,ROUNDUP(A170/'Giả định'!$B$7,0)+'Giả định'!$B$8)</f>
        <v>18</v>
      </c>
      <c r="C170" s="25" t="n">
        <f aca="false">('Chi phí'!$C$76+'Chi phí'!$D$76*B170+'Chi phí'!$E$76*A170+'Giả định'!$B$15*('Chi phí'!$F$76+'Chi phí'!$G$76*B170+'Chi phí'!$H$76*A170))*(1+'Giả định'!$B$16)</f>
        <v>229879100</v>
      </c>
      <c r="D170" s="25" t="n">
        <f aca="false">('Chi phí'!$C$77+'Chi phí'!$D$77*B170+'Chi phí'!$E$77*A170+'Giả định'!$B$15*('Chi phí'!$F$77+'Chi phí'!$G$77*B170+'Chi phí'!$H$77*A170))*(1+'Giả định'!$B$16)</f>
        <v>373484100</v>
      </c>
      <c r="E170" s="25" t="n">
        <f aca="false">A170/'Giả định'!$B$19*'Giả định'!$B$20+A170*'Giả định'!$B$23+'Giả định'!$B$24</f>
        <v>61424369.7478992</v>
      </c>
      <c r="F170" s="25" t="n">
        <f aca="false">E170-D170</f>
        <v>-312059730.252101</v>
      </c>
      <c r="G170" s="25" t="n">
        <f aca="false">E170-C170</f>
        <v>-168454730.252101</v>
      </c>
      <c r="H170" s="7" t="str">
        <f aca="false">IF(F170&gt;=0,A170,"")</f>
        <v/>
      </c>
      <c r="I170" s="7" t="n">
        <f aca="false">IF(F170&lt;0,A170,0)</f>
        <v>165</v>
      </c>
      <c r="J170" s="7" t="str">
        <f aca="false">IF(G170&gt;=0,A170,"")</f>
        <v/>
      </c>
      <c r="K170" s="7" t="n">
        <f aca="false">IF(G170&lt;0,A170,0)</f>
        <v>165</v>
      </c>
    </row>
    <row r="171" customFormat="false" ht="15" hidden="false" customHeight="false" outlineLevel="0" collapsed="false">
      <c r="A171" s="7" t="n">
        <f aca="false">A170+1</f>
        <v>166</v>
      </c>
      <c r="B171" s="7" t="n">
        <f aca="false">MAX('Giả định'!$B$9,ROUNDUP(A171/'Giả định'!$B$7,0)+'Giả định'!$B$8)</f>
        <v>18</v>
      </c>
      <c r="C171" s="25" t="n">
        <f aca="false">('Chi phí'!$C$76+'Chi phí'!$D$76*B171+'Chi phí'!$E$76*A171+'Giả định'!$B$15*('Chi phí'!$F$76+'Chi phí'!$G$76*B171+'Chi phí'!$H$76*A171))*(1+'Giả định'!$B$16)</f>
        <v>229915840</v>
      </c>
      <c r="D171" s="25" t="n">
        <f aca="false">('Chi phí'!$C$77+'Chi phí'!$D$77*B171+'Chi phí'!$E$77*A171+'Giả định'!$B$15*('Chi phí'!$F$77+'Chi phí'!$G$77*B171+'Chi phí'!$H$77*A171))*(1+'Giả định'!$B$16)</f>
        <v>373520840</v>
      </c>
      <c r="E171" s="25" t="n">
        <f aca="false">A171/'Giả định'!$B$19*'Giả định'!$B$20+A171*'Giả định'!$B$23+'Giả định'!$B$24</f>
        <v>61796638.6554622</v>
      </c>
      <c r="F171" s="25" t="n">
        <f aca="false">E171-D171</f>
        <v>-311724201.344538</v>
      </c>
      <c r="G171" s="25" t="n">
        <f aca="false">E171-C171</f>
        <v>-168119201.344538</v>
      </c>
      <c r="H171" s="7" t="str">
        <f aca="false">IF(F171&gt;=0,A171,"")</f>
        <v/>
      </c>
      <c r="I171" s="7" t="n">
        <f aca="false">IF(F171&lt;0,A171,0)</f>
        <v>166</v>
      </c>
      <c r="J171" s="7" t="str">
        <f aca="false">IF(G171&gt;=0,A171,"")</f>
        <v/>
      </c>
      <c r="K171" s="7" t="n">
        <f aca="false">IF(G171&lt;0,A171,0)</f>
        <v>166</v>
      </c>
    </row>
    <row r="172" customFormat="false" ht="15" hidden="false" customHeight="false" outlineLevel="0" collapsed="false">
      <c r="A172" s="7" t="n">
        <f aca="false">A171+1</f>
        <v>167</v>
      </c>
      <c r="B172" s="7" t="n">
        <f aca="false">MAX('Giả định'!$B$9,ROUNDUP(A172/'Giả định'!$B$7,0)+'Giả định'!$B$8)</f>
        <v>18</v>
      </c>
      <c r="C172" s="25" t="n">
        <f aca="false">('Chi phí'!$C$76+'Chi phí'!$D$76*B172+'Chi phí'!$E$76*A172+'Giả định'!$B$15*('Chi phí'!$F$76+'Chi phí'!$G$76*B172+'Chi phí'!$H$76*A172))*(1+'Giả định'!$B$16)</f>
        <v>229952580</v>
      </c>
      <c r="D172" s="25" t="n">
        <f aca="false">('Chi phí'!$C$77+'Chi phí'!$D$77*B172+'Chi phí'!$E$77*A172+'Giả định'!$B$15*('Chi phí'!$F$77+'Chi phí'!$G$77*B172+'Chi phí'!$H$77*A172))*(1+'Giả định'!$B$16)</f>
        <v>373557580</v>
      </c>
      <c r="E172" s="25" t="n">
        <f aca="false">A172/'Giả định'!$B$19*'Giả định'!$B$20+A172*'Giả định'!$B$23+'Giả định'!$B$24</f>
        <v>62168907.5630252</v>
      </c>
      <c r="F172" s="25" t="n">
        <f aca="false">E172-D172</f>
        <v>-311388672.436975</v>
      </c>
      <c r="G172" s="25" t="n">
        <f aca="false">E172-C172</f>
        <v>-167783672.436975</v>
      </c>
      <c r="H172" s="7" t="str">
        <f aca="false">IF(F172&gt;=0,A172,"")</f>
        <v/>
      </c>
      <c r="I172" s="7" t="n">
        <f aca="false">IF(F172&lt;0,A172,0)</f>
        <v>167</v>
      </c>
      <c r="J172" s="7" t="str">
        <f aca="false">IF(G172&gt;=0,A172,"")</f>
        <v/>
      </c>
      <c r="K172" s="7" t="n">
        <f aca="false">IF(G172&lt;0,A172,0)</f>
        <v>167</v>
      </c>
    </row>
    <row r="173" customFormat="false" ht="15" hidden="false" customHeight="false" outlineLevel="0" collapsed="false">
      <c r="A173" s="7" t="n">
        <f aca="false">A172+1</f>
        <v>168</v>
      </c>
      <c r="B173" s="7" t="n">
        <f aca="false">MAX('Giả định'!$B$9,ROUNDUP(A173/'Giả định'!$B$7,0)+'Giả định'!$B$8)</f>
        <v>18</v>
      </c>
      <c r="C173" s="25" t="n">
        <f aca="false">('Chi phí'!$C$76+'Chi phí'!$D$76*B173+'Chi phí'!$E$76*A173+'Giả định'!$B$15*('Chi phí'!$F$76+'Chi phí'!$G$76*B173+'Chi phí'!$H$76*A173))*(1+'Giả định'!$B$16)</f>
        <v>229989320</v>
      </c>
      <c r="D173" s="25" t="n">
        <f aca="false">('Chi phí'!$C$77+'Chi phí'!$D$77*B173+'Chi phí'!$E$77*A173+'Giả định'!$B$15*('Chi phí'!$F$77+'Chi phí'!$G$77*B173+'Chi phí'!$H$77*A173))*(1+'Giả định'!$B$16)</f>
        <v>373594320</v>
      </c>
      <c r="E173" s="25" t="n">
        <f aca="false">A173/'Giả định'!$B$19*'Giả định'!$B$20+A173*'Giả định'!$B$23+'Giả định'!$B$24</f>
        <v>62541176.4705882</v>
      </c>
      <c r="F173" s="25" t="n">
        <f aca="false">E173-D173</f>
        <v>-311053143.529412</v>
      </c>
      <c r="G173" s="25" t="n">
        <f aca="false">E173-C173</f>
        <v>-167448143.529412</v>
      </c>
      <c r="H173" s="7" t="str">
        <f aca="false">IF(F173&gt;=0,A173,"")</f>
        <v/>
      </c>
      <c r="I173" s="7" t="n">
        <f aca="false">IF(F173&lt;0,A173,0)</f>
        <v>168</v>
      </c>
      <c r="J173" s="7" t="str">
        <f aca="false">IF(G173&gt;=0,A173,"")</f>
        <v/>
      </c>
      <c r="K173" s="7" t="n">
        <f aca="false">IF(G173&lt;0,A173,0)</f>
        <v>168</v>
      </c>
    </row>
    <row r="174" customFormat="false" ht="15" hidden="false" customHeight="false" outlineLevel="0" collapsed="false">
      <c r="A174" s="7" t="n">
        <f aca="false">A173+1</f>
        <v>169</v>
      </c>
      <c r="B174" s="7" t="n">
        <f aca="false">MAX('Giả định'!$B$9,ROUNDUP(A174/'Giả định'!$B$7,0)+'Giả định'!$B$8)</f>
        <v>18</v>
      </c>
      <c r="C174" s="25" t="n">
        <f aca="false">('Chi phí'!$C$76+'Chi phí'!$D$76*B174+'Chi phí'!$E$76*A174+'Giả định'!$B$15*('Chi phí'!$F$76+'Chi phí'!$G$76*B174+'Chi phí'!$H$76*A174))*(1+'Giả định'!$B$16)</f>
        <v>230026060</v>
      </c>
      <c r="D174" s="25" t="n">
        <f aca="false">('Chi phí'!$C$77+'Chi phí'!$D$77*B174+'Chi phí'!$E$77*A174+'Giả định'!$B$15*('Chi phí'!$F$77+'Chi phí'!$G$77*B174+'Chi phí'!$H$77*A174))*(1+'Giả định'!$B$16)</f>
        <v>373631060</v>
      </c>
      <c r="E174" s="25" t="n">
        <f aca="false">A174/'Giả định'!$B$19*'Giả định'!$B$20+A174*'Giả định'!$B$23+'Giả định'!$B$24</f>
        <v>62913445.3781513</v>
      </c>
      <c r="F174" s="25" t="n">
        <f aca="false">E174-D174</f>
        <v>-310717614.621849</v>
      </c>
      <c r="G174" s="25" t="n">
        <f aca="false">E174-C174</f>
        <v>-167112614.621849</v>
      </c>
      <c r="H174" s="7" t="str">
        <f aca="false">IF(F174&gt;=0,A174,"")</f>
        <v/>
      </c>
      <c r="I174" s="7" t="n">
        <f aca="false">IF(F174&lt;0,A174,0)</f>
        <v>169</v>
      </c>
      <c r="J174" s="7" t="str">
        <f aca="false">IF(G174&gt;=0,A174,"")</f>
        <v/>
      </c>
      <c r="K174" s="7" t="n">
        <f aca="false">IF(G174&lt;0,A174,0)</f>
        <v>169</v>
      </c>
    </row>
    <row r="175" customFormat="false" ht="15" hidden="false" customHeight="false" outlineLevel="0" collapsed="false">
      <c r="A175" s="7" t="n">
        <f aca="false">A174+1</f>
        <v>170</v>
      </c>
      <c r="B175" s="7" t="n">
        <f aca="false">MAX('Giả định'!$B$9,ROUNDUP(A175/'Giả định'!$B$7,0)+'Giả định'!$B$8)</f>
        <v>18</v>
      </c>
      <c r="C175" s="25" t="n">
        <f aca="false">('Chi phí'!$C$76+'Chi phí'!$D$76*B175+'Chi phí'!$E$76*A175+'Giả định'!$B$15*('Chi phí'!$F$76+'Chi phí'!$G$76*B175+'Chi phí'!$H$76*A175))*(1+'Giả định'!$B$16)</f>
        <v>230062800</v>
      </c>
      <c r="D175" s="25" t="n">
        <f aca="false">('Chi phí'!$C$77+'Chi phí'!$D$77*B175+'Chi phí'!$E$77*A175+'Giả định'!$B$15*('Chi phí'!$F$77+'Chi phí'!$G$77*B175+'Chi phí'!$H$77*A175))*(1+'Giả định'!$B$16)</f>
        <v>373667800</v>
      </c>
      <c r="E175" s="25" t="n">
        <f aca="false">A175/'Giả định'!$B$19*'Giả định'!$B$20+A175*'Giả định'!$B$23+'Giả định'!$B$24</f>
        <v>63285714.2857143</v>
      </c>
      <c r="F175" s="25" t="n">
        <f aca="false">E175-D175</f>
        <v>-310382085.714286</v>
      </c>
      <c r="G175" s="25" t="n">
        <f aca="false">E175-C175</f>
        <v>-166777085.714286</v>
      </c>
      <c r="H175" s="7" t="str">
        <f aca="false">IF(F175&gt;=0,A175,"")</f>
        <v/>
      </c>
      <c r="I175" s="7" t="n">
        <f aca="false">IF(F175&lt;0,A175,0)</f>
        <v>170</v>
      </c>
      <c r="J175" s="7" t="str">
        <f aca="false">IF(G175&gt;=0,A175,"")</f>
        <v/>
      </c>
      <c r="K175" s="7" t="n">
        <f aca="false">IF(G175&lt;0,A175,0)</f>
        <v>170</v>
      </c>
    </row>
    <row r="176" customFormat="false" ht="15" hidden="false" customHeight="false" outlineLevel="0" collapsed="false">
      <c r="A176" s="7" t="n">
        <f aca="false">A175+1</f>
        <v>171</v>
      </c>
      <c r="B176" s="7" t="n">
        <f aca="false">MAX('Giả định'!$B$9,ROUNDUP(A176/'Giả định'!$B$7,0)+'Giả định'!$B$8)</f>
        <v>19</v>
      </c>
      <c r="C176" s="25" t="n">
        <f aca="false">('Chi phí'!$C$76+'Chi phí'!$D$76*B176+'Chi phí'!$E$76*A176+'Giả định'!$B$15*('Chi phí'!$F$76+'Chi phí'!$G$76*B176+'Chi phí'!$H$76*A176))*(1+'Giả định'!$B$16)</f>
        <v>239273540</v>
      </c>
      <c r="D176" s="25" t="n">
        <f aca="false">('Chi phí'!$C$77+'Chi phí'!$D$77*B176+'Chi phí'!$E$77*A176+'Giả định'!$B$15*('Chi phí'!$F$77+'Chi phí'!$G$77*B176+'Chi phí'!$H$77*A176))*(1+'Giả định'!$B$16)</f>
        <v>382878540</v>
      </c>
      <c r="E176" s="25" t="n">
        <f aca="false">A176/'Giả định'!$B$19*'Giả định'!$B$20+A176*'Giả định'!$B$23+'Giả định'!$B$24</f>
        <v>63657983.1932773</v>
      </c>
      <c r="F176" s="25" t="n">
        <f aca="false">E176-D176</f>
        <v>-319220556.806723</v>
      </c>
      <c r="G176" s="25" t="n">
        <f aca="false">E176-C176</f>
        <v>-175615556.806723</v>
      </c>
      <c r="H176" s="7" t="str">
        <f aca="false">IF(F176&gt;=0,A176,"")</f>
        <v/>
      </c>
      <c r="I176" s="7" t="n">
        <f aca="false">IF(F176&lt;0,A176,0)</f>
        <v>171</v>
      </c>
      <c r="J176" s="7" t="str">
        <f aca="false">IF(G176&gt;=0,A176,"")</f>
        <v/>
      </c>
      <c r="K176" s="7" t="n">
        <f aca="false">IF(G176&lt;0,A176,0)</f>
        <v>171</v>
      </c>
    </row>
    <row r="177" customFormat="false" ht="15" hidden="false" customHeight="false" outlineLevel="0" collapsed="false">
      <c r="A177" s="7" t="n">
        <f aca="false">A176+1</f>
        <v>172</v>
      </c>
      <c r="B177" s="7" t="n">
        <f aca="false">MAX('Giả định'!$B$9,ROUNDUP(A177/'Giả định'!$B$7,0)+'Giả định'!$B$8)</f>
        <v>19</v>
      </c>
      <c r="C177" s="25" t="n">
        <f aca="false">('Chi phí'!$C$76+'Chi phí'!$D$76*B177+'Chi phí'!$E$76*A177+'Giả định'!$B$15*('Chi phí'!$F$76+'Chi phí'!$G$76*B177+'Chi phí'!$H$76*A177))*(1+'Giả định'!$B$16)</f>
        <v>239310280</v>
      </c>
      <c r="D177" s="25" t="n">
        <f aca="false">('Chi phí'!$C$77+'Chi phí'!$D$77*B177+'Chi phí'!$E$77*A177+'Giả định'!$B$15*('Chi phí'!$F$77+'Chi phí'!$G$77*B177+'Chi phí'!$H$77*A177))*(1+'Giả định'!$B$16)</f>
        <v>382915280</v>
      </c>
      <c r="E177" s="25" t="n">
        <f aca="false">A177/'Giả định'!$B$19*'Giả định'!$B$20+A177*'Giả định'!$B$23+'Giả định'!$B$24</f>
        <v>64030252.1008403</v>
      </c>
      <c r="F177" s="25" t="n">
        <f aca="false">E177-D177</f>
        <v>-318885027.89916</v>
      </c>
      <c r="G177" s="25" t="n">
        <f aca="false">E177-C177</f>
        <v>-175280027.89916</v>
      </c>
      <c r="H177" s="7" t="str">
        <f aca="false">IF(F177&gt;=0,A177,"")</f>
        <v/>
      </c>
      <c r="I177" s="7" t="n">
        <f aca="false">IF(F177&lt;0,A177,0)</f>
        <v>172</v>
      </c>
      <c r="J177" s="7" t="str">
        <f aca="false">IF(G177&gt;=0,A177,"")</f>
        <v/>
      </c>
      <c r="K177" s="7" t="n">
        <f aca="false">IF(G177&lt;0,A177,0)</f>
        <v>172</v>
      </c>
    </row>
    <row r="178" customFormat="false" ht="15" hidden="false" customHeight="false" outlineLevel="0" collapsed="false">
      <c r="A178" s="7" t="n">
        <f aca="false">A177+1</f>
        <v>173</v>
      </c>
      <c r="B178" s="7" t="n">
        <f aca="false">MAX('Giả định'!$B$9,ROUNDUP(A178/'Giả định'!$B$7,0)+'Giả định'!$B$8)</f>
        <v>19</v>
      </c>
      <c r="C178" s="25" t="n">
        <f aca="false">('Chi phí'!$C$76+'Chi phí'!$D$76*B178+'Chi phí'!$E$76*A178+'Giả định'!$B$15*('Chi phí'!$F$76+'Chi phí'!$G$76*B178+'Chi phí'!$H$76*A178))*(1+'Giả định'!$B$16)</f>
        <v>239347020</v>
      </c>
      <c r="D178" s="25" t="n">
        <f aca="false">('Chi phí'!$C$77+'Chi phí'!$D$77*B178+'Chi phí'!$E$77*A178+'Giả định'!$B$15*('Chi phí'!$F$77+'Chi phí'!$G$77*B178+'Chi phí'!$H$77*A178))*(1+'Giả định'!$B$16)</f>
        <v>382952020</v>
      </c>
      <c r="E178" s="25" t="n">
        <f aca="false">A178/'Giả định'!$B$19*'Giả định'!$B$20+A178*'Giả định'!$B$23+'Giả định'!$B$24</f>
        <v>64402521.0084034</v>
      </c>
      <c r="F178" s="25" t="n">
        <f aca="false">E178-D178</f>
        <v>-318549498.991597</v>
      </c>
      <c r="G178" s="25" t="n">
        <f aca="false">E178-C178</f>
        <v>-174944498.991597</v>
      </c>
      <c r="H178" s="7" t="str">
        <f aca="false">IF(F178&gt;=0,A178,"")</f>
        <v/>
      </c>
      <c r="I178" s="7" t="n">
        <f aca="false">IF(F178&lt;0,A178,0)</f>
        <v>173</v>
      </c>
      <c r="J178" s="7" t="str">
        <f aca="false">IF(G178&gt;=0,A178,"")</f>
        <v/>
      </c>
      <c r="K178" s="7" t="n">
        <f aca="false">IF(G178&lt;0,A178,0)</f>
        <v>173</v>
      </c>
    </row>
    <row r="179" customFormat="false" ht="15" hidden="false" customHeight="false" outlineLevel="0" collapsed="false">
      <c r="A179" s="7" t="n">
        <f aca="false">A178+1</f>
        <v>174</v>
      </c>
      <c r="B179" s="7" t="n">
        <f aca="false">MAX('Giả định'!$B$9,ROUNDUP(A179/'Giả định'!$B$7,0)+'Giả định'!$B$8)</f>
        <v>19</v>
      </c>
      <c r="C179" s="25" t="n">
        <f aca="false">('Chi phí'!$C$76+'Chi phí'!$D$76*B179+'Chi phí'!$E$76*A179+'Giả định'!$B$15*('Chi phí'!$F$76+'Chi phí'!$G$76*B179+'Chi phí'!$H$76*A179))*(1+'Giả định'!$B$16)</f>
        <v>239383760</v>
      </c>
      <c r="D179" s="25" t="n">
        <f aca="false">('Chi phí'!$C$77+'Chi phí'!$D$77*B179+'Chi phí'!$E$77*A179+'Giả định'!$B$15*('Chi phí'!$F$77+'Chi phí'!$G$77*B179+'Chi phí'!$H$77*A179))*(1+'Giả định'!$B$16)</f>
        <v>382988760</v>
      </c>
      <c r="E179" s="25" t="n">
        <f aca="false">A179/'Giả định'!$B$19*'Giả định'!$B$20+A179*'Giả định'!$B$23+'Giả định'!$B$24</f>
        <v>64774789.9159664</v>
      </c>
      <c r="F179" s="25" t="n">
        <f aca="false">E179-D179</f>
        <v>-318213970.084034</v>
      </c>
      <c r="G179" s="25" t="n">
        <f aca="false">E179-C179</f>
        <v>-174608970.084034</v>
      </c>
      <c r="H179" s="7" t="str">
        <f aca="false">IF(F179&gt;=0,A179,"")</f>
        <v/>
      </c>
      <c r="I179" s="7" t="n">
        <f aca="false">IF(F179&lt;0,A179,0)</f>
        <v>174</v>
      </c>
      <c r="J179" s="7" t="str">
        <f aca="false">IF(G179&gt;=0,A179,"")</f>
        <v/>
      </c>
      <c r="K179" s="7" t="n">
        <f aca="false">IF(G179&lt;0,A179,0)</f>
        <v>174</v>
      </c>
    </row>
    <row r="180" customFormat="false" ht="15" hidden="false" customHeight="false" outlineLevel="0" collapsed="false">
      <c r="A180" s="7" t="n">
        <f aca="false">A179+1</f>
        <v>175</v>
      </c>
      <c r="B180" s="7" t="n">
        <f aca="false">MAX('Giả định'!$B$9,ROUNDUP(A180/'Giả định'!$B$7,0)+'Giả định'!$B$8)</f>
        <v>19</v>
      </c>
      <c r="C180" s="25" t="n">
        <f aca="false">('Chi phí'!$C$76+'Chi phí'!$D$76*B180+'Chi phí'!$E$76*A180+'Giả định'!$B$15*('Chi phí'!$F$76+'Chi phí'!$G$76*B180+'Chi phí'!$H$76*A180))*(1+'Giả định'!$B$16)</f>
        <v>239420500</v>
      </c>
      <c r="D180" s="25" t="n">
        <f aca="false">('Chi phí'!$C$77+'Chi phí'!$D$77*B180+'Chi phí'!$E$77*A180+'Giả định'!$B$15*('Chi phí'!$F$77+'Chi phí'!$G$77*B180+'Chi phí'!$H$77*A180))*(1+'Giả định'!$B$16)</f>
        <v>383025500</v>
      </c>
      <c r="E180" s="25" t="n">
        <f aca="false">A180/'Giả định'!$B$19*'Giả định'!$B$20+A180*'Giả định'!$B$23+'Giả định'!$B$24</f>
        <v>65147058.8235294</v>
      </c>
      <c r="F180" s="25" t="n">
        <f aca="false">E180-D180</f>
        <v>-317878441.176471</v>
      </c>
      <c r="G180" s="25" t="n">
        <f aca="false">E180-C180</f>
        <v>-174273441.176471</v>
      </c>
      <c r="H180" s="7" t="str">
        <f aca="false">IF(F180&gt;=0,A180,"")</f>
        <v/>
      </c>
      <c r="I180" s="7" t="n">
        <f aca="false">IF(F180&lt;0,A180,0)</f>
        <v>175</v>
      </c>
      <c r="J180" s="7" t="str">
        <f aca="false">IF(G180&gt;=0,A180,"")</f>
        <v/>
      </c>
      <c r="K180" s="7" t="n">
        <f aca="false">IF(G180&lt;0,A180,0)</f>
        <v>175</v>
      </c>
    </row>
    <row r="181" customFormat="false" ht="15" hidden="false" customHeight="false" outlineLevel="0" collapsed="false">
      <c r="A181" s="7" t="n">
        <f aca="false">A180+1</f>
        <v>176</v>
      </c>
      <c r="B181" s="7" t="n">
        <f aca="false">MAX('Giả định'!$B$9,ROUNDUP(A181/'Giả định'!$B$7,0)+'Giả định'!$B$8)</f>
        <v>19</v>
      </c>
      <c r="C181" s="25" t="n">
        <f aca="false">('Chi phí'!$C$76+'Chi phí'!$D$76*B181+'Chi phí'!$E$76*A181+'Giả định'!$B$15*('Chi phí'!$F$76+'Chi phí'!$G$76*B181+'Chi phí'!$H$76*A181))*(1+'Giả định'!$B$16)</f>
        <v>239457240</v>
      </c>
      <c r="D181" s="25" t="n">
        <f aca="false">('Chi phí'!$C$77+'Chi phí'!$D$77*B181+'Chi phí'!$E$77*A181+'Giả định'!$B$15*('Chi phí'!$F$77+'Chi phí'!$G$77*B181+'Chi phí'!$H$77*A181))*(1+'Giả định'!$B$16)</f>
        <v>383062240</v>
      </c>
      <c r="E181" s="25" t="n">
        <f aca="false">A181/'Giả định'!$B$19*'Giả định'!$B$20+A181*'Giả định'!$B$23+'Giả định'!$B$24</f>
        <v>65519327.7310924</v>
      </c>
      <c r="F181" s="25" t="n">
        <f aca="false">E181-D181</f>
        <v>-317542912.268908</v>
      </c>
      <c r="G181" s="25" t="n">
        <f aca="false">E181-C181</f>
        <v>-173937912.268908</v>
      </c>
      <c r="H181" s="7" t="str">
        <f aca="false">IF(F181&gt;=0,A181,"")</f>
        <v/>
      </c>
      <c r="I181" s="7" t="n">
        <f aca="false">IF(F181&lt;0,A181,0)</f>
        <v>176</v>
      </c>
      <c r="J181" s="7" t="str">
        <f aca="false">IF(G181&gt;=0,A181,"")</f>
        <v/>
      </c>
      <c r="K181" s="7" t="n">
        <f aca="false">IF(G181&lt;0,A181,0)</f>
        <v>176</v>
      </c>
    </row>
    <row r="182" customFormat="false" ht="15" hidden="false" customHeight="false" outlineLevel="0" collapsed="false">
      <c r="A182" s="7" t="n">
        <f aca="false">A181+1</f>
        <v>177</v>
      </c>
      <c r="B182" s="7" t="n">
        <f aca="false">MAX('Giả định'!$B$9,ROUNDUP(A182/'Giả định'!$B$7,0)+'Giả định'!$B$8)</f>
        <v>19</v>
      </c>
      <c r="C182" s="25" t="n">
        <f aca="false">('Chi phí'!$C$76+'Chi phí'!$D$76*B182+'Chi phí'!$E$76*A182+'Giả định'!$B$15*('Chi phí'!$F$76+'Chi phí'!$G$76*B182+'Chi phí'!$H$76*A182))*(1+'Giả định'!$B$16)</f>
        <v>239493980</v>
      </c>
      <c r="D182" s="25" t="n">
        <f aca="false">('Chi phí'!$C$77+'Chi phí'!$D$77*B182+'Chi phí'!$E$77*A182+'Giả định'!$B$15*('Chi phí'!$F$77+'Chi phí'!$G$77*B182+'Chi phí'!$H$77*A182))*(1+'Giả định'!$B$16)</f>
        <v>383098980</v>
      </c>
      <c r="E182" s="25" t="n">
        <f aca="false">A182/'Giả định'!$B$19*'Giả định'!$B$20+A182*'Giả định'!$B$23+'Giả định'!$B$24</f>
        <v>65891596.6386555</v>
      </c>
      <c r="F182" s="25" t="n">
        <f aca="false">E182-D182</f>
        <v>-317207383.361345</v>
      </c>
      <c r="G182" s="25" t="n">
        <f aca="false">E182-C182</f>
        <v>-173602383.361345</v>
      </c>
      <c r="H182" s="7" t="str">
        <f aca="false">IF(F182&gt;=0,A182,"")</f>
        <v/>
      </c>
      <c r="I182" s="7" t="n">
        <f aca="false">IF(F182&lt;0,A182,0)</f>
        <v>177</v>
      </c>
      <c r="J182" s="7" t="str">
        <f aca="false">IF(G182&gt;=0,A182,"")</f>
        <v/>
      </c>
      <c r="K182" s="7" t="n">
        <f aca="false">IF(G182&lt;0,A182,0)</f>
        <v>177</v>
      </c>
    </row>
    <row r="183" customFormat="false" ht="15" hidden="false" customHeight="false" outlineLevel="0" collapsed="false">
      <c r="A183" s="7" t="n">
        <f aca="false">A182+1</f>
        <v>178</v>
      </c>
      <c r="B183" s="7" t="n">
        <f aca="false">MAX('Giả định'!$B$9,ROUNDUP(A183/'Giả định'!$B$7,0)+'Giả định'!$B$8)</f>
        <v>19</v>
      </c>
      <c r="C183" s="25" t="n">
        <f aca="false">('Chi phí'!$C$76+'Chi phí'!$D$76*B183+'Chi phí'!$E$76*A183+'Giả định'!$B$15*('Chi phí'!$F$76+'Chi phí'!$G$76*B183+'Chi phí'!$H$76*A183))*(1+'Giả định'!$B$16)</f>
        <v>239530720</v>
      </c>
      <c r="D183" s="25" t="n">
        <f aca="false">('Chi phí'!$C$77+'Chi phí'!$D$77*B183+'Chi phí'!$E$77*A183+'Giả định'!$B$15*('Chi phí'!$F$77+'Chi phí'!$G$77*B183+'Chi phí'!$H$77*A183))*(1+'Giả định'!$B$16)</f>
        <v>383135720</v>
      </c>
      <c r="E183" s="25" t="n">
        <f aca="false">A183/'Giả định'!$B$19*'Giả định'!$B$20+A183*'Giả định'!$B$23+'Giả định'!$B$24</f>
        <v>66263865.5462185</v>
      </c>
      <c r="F183" s="25" t="n">
        <f aca="false">E183-D183</f>
        <v>-316871854.453782</v>
      </c>
      <c r="G183" s="25" t="n">
        <f aca="false">E183-C183</f>
        <v>-173266854.453782</v>
      </c>
      <c r="H183" s="7" t="str">
        <f aca="false">IF(F183&gt;=0,A183,"")</f>
        <v/>
      </c>
      <c r="I183" s="7" t="n">
        <f aca="false">IF(F183&lt;0,A183,0)</f>
        <v>178</v>
      </c>
      <c r="J183" s="7" t="str">
        <f aca="false">IF(G183&gt;=0,A183,"")</f>
        <v/>
      </c>
      <c r="K183" s="7" t="n">
        <f aca="false">IF(G183&lt;0,A183,0)</f>
        <v>178</v>
      </c>
    </row>
    <row r="184" customFormat="false" ht="15" hidden="false" customHeight="false" outlineLevel="0" collapsed="false">
      <c r="A184" s="7" t="n">
        <f aca="false">A183+1</f>
        <v>179</v>
      </c>
      <c r="B184" s="7" t="n">
        <f aca="false">MAX('Giả định'!$B$9,ROUNDUP(A184/'Giả định'!$B$7,0)+'Giả định'!$B$8)</f>
        <v>19</v>
      </c>
      <c r="C184" s="25" t="n">
        <f aca="false">('Chi phí'!$C$76+'Chi phí'!$D$76*B184+'Chi phí'!$E$76*A184+'Giả định'!$B$15*('Chi phí'!$F$76+'Chi phí'!$G$76*B184+'Chi phí'!$H$76*A184))*(1+'Giả định'!$B$16)</f>
        <v>239567460</v>
      </c>
      <c r="D184" s="25" t="n">
        <f aca="false">('Chi phí'!$C$77+'Chi phí'!$D$77*B184+'Chi phí'!$E$77*A184+'Giả định'!$B$15*('Chi phí'!$F$77+'Chi phí'!$G$77*B184+'Chi phí'!$H$77*A184))*(1+'Giả định'!$B$16)</f>
        <v>383172460</v>
      </c>
      <c r="E184" s="25" t="n">
        <f aca="false">A184/'Giả định'!$B$19*'Giả định'!$B$20+A184*'Giả định'!$B$23+'Giả định'!$B$24</f>
        <v>66636134.4537815</v>
      </c>
      <c r="F184" s="25" t="n">
        <f aca="false">E184-D184</f>
        <v>-316536325.546219</v>
      </c>
      <c r="G184" s="25" t="n">
        <f aca="false">E184-C184</f>
        <v>-172931325.546219</v>
      </c>
      <c r="H184" s="7" t="str">
        <f aca="false">IF(F184&gt;=0,A184,"")</f>
        <v/>
      </c>
      <c r="I184" s="7" t="n">
        <f aca="false">IF(F184&lt;0,A184,0)</f>
        <v>179</v>
      </c>
      <c r="J184" s="7" t="str">
        <f aca="false">IF(G184&gt;=0,A184,"")</f>
        <v/>
      </c>
      <c r="K184" s="7" t="n">
        <f aca="false">IF(G184&lt;0,A184,0)</f>
        <v>179</v>
      </c>
    </row>
    <row r="185" customFormat="false" ht="15" hidden="false" customHeight="false" outlineLevel="0" collapsed="false">
      <c r="A185" s="7" t="n">
        <f aca="false">A184+1</f>
        <v>180</v>
      </c>
      <c r="B185" s="7" t="n">
        <f aca="false">MAX('Giả định'!$B$9,ROUNDUP(A185/'Giả định'!$B$7,0)+'Giả định'!$B$8)</f>
        <v>19</v>
      </c>
      <c r="C185" s="25" t="n">
        <f aca="false">('Chi phí'!$C$76+'Chi phí'!$D$76*B185+'Chi phí'!$E$76*A185+'Giả định'!$B$15*('Chi phí'!$F$76+'Chi phí'!$G$76*B185+'Chi phí'!$H$76*A185))*(1+'Giả định'!$B$16)</f>
        <v>239604200</v>
      </c>
      <c r="D185" s="25" t="n">
        <f aca="false">('Chi phí'!$C$77+'Chi phí'!$D$77*B185+'Chi phí'!$E$77*A185+'Giả định'!$B$15*('Chi phí'!$F$77+'Chi phí'!$G$77*B185+'Chi phí'!$H$77*A185))*(1+'Giả định'!$B$16)</f>
        <v>383209200</v>
      </c>
      <c r="E185" s="25" t="n">
        <f aca="false">A185/'Giả định'!$B$19*'Giả định'!$B$20+A185*'Giả định'!$B$23+'Giả định'!$B$24</f>
        <v>67008403.3613445</v>
      </c>
      <c r="F185" s="25" t="n">
        <f aca="false">E185-D185</f>
        <v>-316200796.638656</v>
      </c>
      <c r="G185" s="25" t="n">
        <f aca="false">E185-C185</f>
        <v>-172595796.638655</v>
      </c>
      <c r="H185" s="7" t="str">
        <f aca="false">IF(F185&gt;=0,A185,"")</f>
        <v/>
      </c>
      <c r="I185" s="7" t="n">
        <f aca="false">IF(F185&lt;0,A185,0)</f>
        <v>180</v>
      </c>
      <c r="J185" s="7" t="str">
        <f aca="false">IF(G185&gt;=0,A185,"")</f>
        <v/>
      </c>
      <c r="K185" s="7" t="n">
        <f aca="false">IF(G185&lt;0,A185,0)</f>
        <v>180</v>
      </c>
    </row>
    <row r="186" customFormat="false" ht="15" hidden="false" customHeight="false" outlineLevel="0" collapsed="false">
      <c r="A186" s="7" t="n">
        <f aca="false">A185+1</f>
        <v>181</v>
      </c>
      <c r="B186" s="7" t="n">
        <f aca="false">MAX('Giả định'!$B$9,ROUNDUP(A186/'Giả định'!$B$7,0)+'Giả định'!$B$8)</f>
        <v>20</v>
      </c>
      <c r="C186" s="25" t="n">
        <f aca="false">('Chi phí'!$C$76+'Chi phí'!$D$76*B186+'Chi phí'!$E$76*A186+'Giả định'!$B$15*('Chi phí'!$F$76+'Chi phí'!$G$76*B186+'Chi phí'!$H$76*A186))*(1+'Giả định'!$B$16)</f>
        <v>248814940</v>
      </c>
      <c r="D186" s="25" t="n">
        <f aca="false">('Chi phí'!$C$77+'Chi phí'!$D$77*B186+'Chi phí'!$E$77*A186+'Giả định'!$B$15*('Chi phí'!$F$77+'Chi phí'!$G$77*B186+'Chi phí'!$H$77*A186))*(1+'Giả định'!$B$16)</f>
        <v>392419940</v>
      </c>
      <c r="E186" s="25" t="n">
        <f aca="false">A186/'Giả định'!$B$19*'Giả định'!$B$20+A186*'Giả định'!$B$23+'Giả định'!$B$24</f>
        <v>67380672.2689076</v>
      </c>
      <c r="F186" s="25" t="n">
        <f aca="false">E186-D186</f>
        <v>-325039267.731092</v>
      </c>
      <c r="G186" s="25" t="n">
        <f aca="false">E186-C186</f>
        <v>-181434267.731092</v>
      </c>
      <c r="H186" s="7" t="str">
        <f aca="false">IF(F186&gt;=0,A186,"")</f>
        <v/>
      </c>
      <c r="I186" s="7" t="n">
        <f aca="false">IF(F186&lt;0,A186,0)</f>
        <v>181</v>
      </c>
      <c r="J186" s="7" t="str">
        <f aca="false">IF(G186&gt;=0,A186,"")</f>
        <v/>
      </c>
      <c r="K186" s="7" t="n">
        <f aca="false">IF(G186&lt;0,A186,0)</f>
        <v>181</v>
      </c>
    </row>
    <row r="187" customFormat="false" ht="15" hidden="false" customHeight="false" outlineLevel="0" collapsed="false">
      <c r="A187" s="7" t="n">
        <f aca="false">A186+1</f>
        <v>182</v>
      </c>
      <c r="B187" s="7" t="n">
        <f aca="false">MAX('Giả định'!$B$9,ROUNDUP(A187/'Giả định'!$B$7,0)+'Giả định'!$B$8)</f>
        <v>20</v>
      </c>
      <c r="C187" s="25" t="n">
        <f aca="false">('Chi phí'!$C$76+'Chi phí'!$D$76*B187+'Chi phí'!$E$76*A187+'Giả định'!$B$15*('Chi phí'!$F$76+'Chi phí'!$G$76*B187+'Chi phí'!$H$76*A187))*(1+'Giả định'!$B$16)</f>
        <v>248851680</v>
      </c>
      <c r="D187" s="25" t="n">
        <f aca="false">('Chi phí'!$C$77+'Chi phí'!$D$77*B187+'Chi phí'!$E$77*A187+'Giả định'!$B$15*('Chi phí'!$F$77+'Chi phí'!$G$77*B187+'Chi phí'!$H$77*A187))*(1+'Giả định'!$B$16)</f>
        <v>392456680</v>
      </c>
      <c r="E187" s="25" t="n">
        <f aca="false">A187/'Giả định'!$B$19*'Giả định'!$B$20+A187*'Giả định'!$B$23+'Giả định'!$B$24</f>
        <v>67752941.1764706</v>
      </c>
      <c r="F187" s="25" t="n">
        <f aca="false">E187-D187</f>
        <v>-324703738.82353</v>
      </c>
      <c r="G187" s="25" t="n">
        <f aca="false">E187-C187</f>
        <v>-181098738.823529</v>
      </c>
      <c r="H187" s="7" t="str">
        <f aca="false">IF(F187&gt;=0,A187,"")</f>
        <v/>
      </c>
      <c r="I187" s="7" t="n">
        <f aca="false">IF(F187&lt;0,A187,0)</f>
        <v>182</v>
      </c>
      <c r="J187" s="7" t="str">
        <f aca="false">IF(G187&gt;=0,A187,"")</f>
        <v/>
      </c>
      <c r="K187" s="7" t="n">
        <f aca="false">IF(G187&lt;0,A187,0)</f>
        <v>182</v>
      </c>
    </row>
    <row r="188" customFormat="false" ht="15" hidden="false" customHeight="false" outlineLevel="0" collapsed="false">
      <c r="A188" s="7" t="n">
        <f aca="false">A187+1</f>
        <v>183</v>
      </c>
      <c r="B188" s="7" t="n">
        <f aca="false">MAX('Giả định'!$B$9,ROUNDUP(A188/'Giả định'!$B$7,0)+'Giả định'!$B$8)</f>
        <v>20</v>
      </c>
      <c r="C188" s="25" t="n">
        <f aca="false">('Chi phí'!$C$76+'Chi phí'!$D$76*B188+'Chi phí'!$E$76*A188+'Giả định'!$B$15*('Chi phí'!$F$76+'Chi phí'!$G$76*B188+'Chi phí'!$H$76*A188))*(1+'Giả định'!$B$16)</f>
        <v>248888420</v>
      </c>
      <c r="D188" s="25" t="n">
        <f aca="false">('Chi phí'!$C$77+'Chi phí'!$D$77*B188+'Chi phí'!$E$77*A188+'Giả định'!$B$15*('Chi phí'!$F$77+'Chi phí'!$G$77*B188+'Chi phí'!$H$77*A188))*(1+'Giả định'!$B$16)</f>
        <v>392493420</v>
      </c>
      <c r="E188" s="25" t="n">
        <f aca="false">A188/'Giả định'!$B$19*'Giả định'!$B$20+A188*'Giả định'!$B$23+'Giả định'!$B$24</f>
        <v>68125210.0840336</v>
      </c>
      <c r="F188" s="25" t="n">
        <f aca="false">E188-D188</f>
        <v>-324368209.915966</v>
      </c>
      <c r="G188" s="25" t="n">
        <f aca="false">E188-C188</f>
        <v>-180763209.915966</v>
      </c>
      <c r="H188" s="7" t="str">
        <f aca="false">IF(F188&gt;=0,A188,"")</f>
        <v/>
      </c>
      <c r="I188" s="7" t="n">
        <f aca="false">IF(F188&lt;0,A188,0)</f>
        <v>183</v>
      </c>
      <c r="J188" s="7" t="str">
        <f aca="false">IF(G188&gt;=0,A188,"")</f>
        <v/>
      </c>
      <c r="K188" s="7" t="n">
        <f aca="false">IF(G188&lt;0,A188,0)</f>
        <v>183</v>
      </c>
    </row>
    <row r="189" customFormat="false" ht="15" hidden="false" customHeight="false" outlineLevel="0" collapsed="false">
      <c r="A189" s="7" t="n">
        <f aca="false">A188+1</f>
        <v>184</v>
      </c>
      <c r="B189" s="7" t="n">
        <f aca="false">MAX('Giả định'!$B$9,ROUNDUP(A189/'Giả định'!$B$7,0)+'Giả định'!$B$8)</f>
        <v>20</v>
      </c>
      <c r="C189" s="25" t="n">
        <f aca="false">('Chi phí'!$C$76+'Chi phí'!$D$76*B189+'Chi phí'!$E$76*A189+'Giả định'!$B$15*('Chi phí'!$F$76+'Chi phí'!$G$76*B189+'Chi phí'!$H$76*A189))*(1+'Giả định'!$B$16)</f>
        <v>248925160</v>
      </c>
      <c r="D189" s="25" t="n">
        <f aca="false">('Chi phí'!$C$77+'Chi phí'!$D$77*B189+'Chi phí'!$E$77*A189+'Giả định'!$B$15*('Chi phí'!$F$77+'Chi phí'!$G$77*B189+'Chi phí'!$H$77*A189))*(1+'Giả định'!$B$16)</f>
        <v>392530160</v>
      </c>
      <c r="E189" s="25" t="n">
        <f aca="false">A189/'Giả định'!$B$19*'Giả định'!$B$20+A189*'Giả định'!$B$23+'Giả định'!$B$24</f>
        <v>68497478.9915967</v>
      </c>
      <c r="F189" s="25" t="n">
        <f aca="false">E189-D189</f>
        <v>-324032681.008403</v>
      </c>
      <c r="G189" s="25" t="n">
        <f aca="false">E189-C189</f>
        <v>-180427681.008403</v>
      </c>
      <c r="H189" s="7" t="str">
        <f aca="false">IF(F189&gt;=0,A189,"")</f>
        <v/>
      </c>
      <c r="I189" s="7" t="n">
        <f aca="false">IF(F189&lt;0,A189,0)</f>
        <v>184</v>
      </c>
      <c r="J189" s="7" t="str">
        <f aca="false">IF(G189&gt;=0,A189,"")</f>
        <v/>
      </c>
      <c r="K189" s="7" t="n">
        <f aca="false">IF(G189&lt;0,A189,0)</f>
        <v>184</v>
      </c>
    </row>
    <row r="190" customFormat="false" ht="15" hidden="false" customHeight="false" outlineLevel="0" collapsed="false">
      <c r="A190" s="7" t="n">
        <f aca="false">A189+1</f>
        <v>185</v>
      </c>
      <c r="B190" s="7" t="n">
        <f aca="false">MAX('Giả định'!$B$9,ROUNDUP(A190/'Giả định'!$B$7,0)+'Giả định'!$B$8)</f>
        <v>20</v>
      </c>
      <c r="C190" s="25" t="n">
        <f aca="false">('Chi phí'!$C$76+'Chi phí'!$D$76*B190+'Chi phí'!$E$76*A190+'Giả định'!$B$15*('Chi phí'!$F$76+'Chi phí'!$G$76*B190+'Chi phí'!$H$76*A190))*(1+'Giả định'!$B$16)</f>
        <v>248961900</v>
      </c>
      <c r="D190" s="25" t="n">
        <f aca="false">('Chi phí'!$C$77+'Chi phí'!$D$77*B190+'Chi phí'!$E$77*A190+'Giả định'!$B$15*('Chi phí'!$F$77+'Chi phí'!$G$77*B190+'Chi phí'!$H$77*A190))*(1+'Giả định'!$B$16)</f>
        <v>392566900</v>
      </c>
      <c r="E190" s="25" t="n">
        <f aca="false">A190/'Giả định'!$B$19*'Giả định'!$B$20+A190*'Giả định'!$B$23+'Giả định'!$B$24</f>
        <v>68869747.8991597</v>
      </c>
      <c r="F190" s="25" t="n">
        <f aca="false">E190-D190</f>
        <v>-323697152.10084</v>
      </c>
      <c r="G190" s="25" t="n">
        <f aca="false">E190-C190</f>
        <v>-180092152.10084</v>
      </c>
      <c r="H190" s="7" t="str">
        <f aca="false">IF(F190&gt;=0,A190,"")</f>
        <v/>
      </c>
      <c r="I190" s="7" t="n">
        <f aca="false">IF(F190&lt;0,A190,0)</f>
        <v>185</v>
      </c>
      <c r="J190" s="7" t="str">
        <f aca="false">IF(G190&gt;=0,A190,"")</f>
        <v/>
      </c>
      <c r="K190" s="7" t="n">
        <f aca="false">IF(G190&lt;0,A190,0)</f>
        <v>185</v>
      </c>
    </row>
    <row r="191" customFormat="false" ht="15" hidden="false" customHeight="false" outlineLevel="0" collapsed="false">
      <c r="A191" s="7" t="n">
        <f aca="false">A190+1</f>
        <v>186</v>
      </c>
      <c r="B191" s="7" t="n">
        <f aca="false">MAX('Giả định'!$B$9,ROUNDUP(A191/'Giả định'!$B$7,0)+'Giả định'!$B$8)</f>
        <v>20</v>
      </c>
      <c r="C191" s="25" t="n">
        <f aca="false">('Chi phí'!$C$76+'Chi phí'!$D$76*B191+'Chi phí'!$E$76*A191+'Giả định'!$B$15*('Chi phí'!$F$76+'Chi phí'!$G$76*B191+'Chi phí'!$H$76*A191))*(1+'Giả định'!$B$16)</f>
        <v>248998640</v>
      </c>
      <c r="D191" s="25" t="n">
        <f aca="false">('Chi phí'!$C$77+'Chi phí'!$D$77*B191+'Chi phí'!$E$77*A191+'Giả định'!$B$15*('Chi phí'!$F$77+'Chi phí'!$G$77*B191+'Chi phí'!$H$77*A191))*(1+'Giả định'!$B$16)</f>
        <v>392603640</v>
      </c>
      <c r="E191" s="25" t="n">
        <f aca="false">A191/'Giả định'!$B$19*'Giả định'!$B$20+A191*'Giả định'!$B$23+'Giả định'!$B$24</f>
        <v>69242016.8067227</v>
      </c>
      <c r="F191" s="25" t="n">
        <f aca="false">E191-D191</f>
        <v>-323361623.193277</v>
      </c>
      <c r="G191" s="25" t="n">
        <f aca="false">E191-C191</f>
        <v>-179756623.193277</v>
      </c>
      <c r="H191" s="7" t="str">
        <f aca="false">IF(F191&gt;=0,A191,"")</f>
        <v/>
      </c>
      <c r="I191" s="7" t="n">
        <f aca="false">IF(F191&lt;0,A191,0)</f>
        <v>186</v>
      </c>
      <c r="J191" s="7" t="str">
        <f aca="false">IF(G191&gt;=0,A191,"")</f>
        <v/>
      </c>
      <c r="K191" s="7" t="n">
        <f aca="false">IF(G191&lt;0,A191,0)</f>
        <v>186</v>
      </c>
    </row>
    <row r="192" customFormat="false" ht="15" hidden="false" customHeight="false" outlineLevel="0" collapsed="false">
      <c r="A192" s="7" t="n">
        <f aca="false">A191+1</f>
        <v>187</v>
      </c>
      <c r="B192" s="7" t="n">
        <f aca="false">MAX('Giả định'!$B$9,ROUNDUP(A192/'Giả định'!$B$7,0)+'Giả định'!$B$8)</f>
        <v>20</v>
      </c>
      <c r="C192" s="25" t="n">
        <f aca="false">('Chi phí'!$C$76+'Chi phí'!$D$76*B192+'Chi phí'!$E$76*A192+'Giả định'!$B$15*('Chi phí'!$F$76+'Chi phí'!$G$76*B192+'Chi phí'!$H$76*A192))*(1+'Giả định'!$B$16)</f>
        <v>249035380</v>
      </c>
      <c r="D192" s="25" t="n">
        <f aca="false">('Chi phí'!$C$77+'Chi phí'!$D$77*B192+'Chi phí'!$E$77*A192+'Giả định'!$B$15*('Chi phí'!$F$77+'Chi phí'!$G$77*B192+'Chi phí'!$H$77*A192))*(1+'Giả định'!$B$16)</f>
        <v>392640380</v>
      </c>
      <c r="E192" s="25" t="n">
        <f aca="false">A192/'Giả định'!$B$19*'Giả định'!$B$20+A192*'Giả định'!$B$23+'Giả định'!$B$24</f>
        <v>69614285.7142857</v>
      </c>
      <c r="F192" s="25" t="n">
        <f aca="false">E192-D192</f>
        <v>-323026094.285714</v>
      </c>
      <c r="G192" s="25" t="n">
        <f aca="false">E192-C192</f>
        <v>-179421094.285714</v>
      </c>
      <c r="H192" s="7" t="str">
        <f aca="false">IF(F192&gt;=0,A192,"")</f>
        <v/>
      </c>
      <c r="I192" s="7" t="n">
        <f aca="false">IF(F192&lt;0,A192,0)</f>
        <v>187</v>
      </c>
      <c r="J192" s="7" t="str">
        <f aca="false">IF(G192&gt;=0,A192,"")</f>
        <v/>
      </c>
      <c r="K192" s="7" t="n">
        <f aca="false">IF(G192&lt;0,A192,0)</f>
        <v>187</v>
      </c>
    </row>
    <row r="193" customFormat="false" ht="15" hidden="false" customHeight="false" outlineLevel="0" collapsed="false">
      <c r="A193" s="7" t="n">
        <f aca="false">A192+1</f>
        <v>188</v>
      </c>
      <c r="B193" s="7" t="n">
        <f aca="false">MAX('Giả định'!$B$9,ROUNDUP(A193/'Giả định'!$B$7,0)+'Giả định'!$B$8)</f>
        <v>20</v>
      </c>
      <c r="C193" s="25" t="n">
        <f aca="false">('Chi phí'!$C$76+'Chi phí'!$D$76*B193+'Chi phí'!$E$76*A193+'Giả định'!$B$15*('Chi phí'!$F$76+'Chi phí'!$G$76*B193+'Chi phí'!$H$76*A193))*(1+'Giả định'!$B$16)</f>
        <v>249072120</v>
      </c>
      <c r="D193" s="25" t="n">
        <f aca="false">('Chi phí'!$C$77+'Chi phí'!$D$77*B193+'Chi phí'!$E$77*A193+'Giả định'!$B$15*('Chi phí'!$F$77+'Chi phí'!$G$77*B193+'Chi phí'!$H$77*A193))*(1+'Giả định'!$B$16)</f>
        <v>392677120</v>
      </c>
      <c r="E193" s="25" t="n">
        <f aca="false">A193/'Giả định'!$B$19*'Giả định'!$B$20+A193*'Giả định'!$B$23+'Giả định'!$B$24</f>
        <v>69986554.6218488</v>
      </c>
      <c r="F193" s="25" t="n">
        <f aca="false">E193-D193</f>
        <v>-322690565.378151</v>
      </c>
      <c r="G193" s="25" t="n">
        <f aca="false">E193-C193</f>
        <v>-179085565.378151</v>
      </c>
      <c r="H193" s="7" t="str">
        <f aca="false">IF(F193&gt;=0,A193,"")</f>
        <v/>
      </c>
      <c r="I193" s="7" t="n">
        <f aca="false">IF(F193&lt;0,A193,0)</f>
        <v>188</v>
      </c>
      <c r="J193" s="7" t="str">
        <f aca="false">IF(G193&gt;=0,A193,"")</f>
        <v/>
      </c>
      <c r="K193" s="7" t="n">
        <f aca="false">IF(G193&lt;0,A193,0)</f>
        <v>188</v>
      </c>
    </row>
    <row r="194" customFormat="false" ht="15" hidden="false" customHeight="false" outlineLevel="0" collapsed="false">
      <c r="A194" s="7" t="n">
        <f aca="false">A193+1</f>
        <v>189</v>
      </c>
      <c r="B194" s="7" t="n">
        <f aca="false">MAX('Giả định'!$B$9,ROUNDUP(A194/'Giả định'!$B$7,0)+'Giả định'!$B$8)</f>
        <v>20</v>
      </c>
      <c r="C194" s="25" t="n">
        <f aca="false">('Chi phí'!$C$76+'Chi phí'!$D$76*B194+'Chi phí'!$E$76*A194+'Giả định'!$B$15*('Chi phí'!$F$76+'Chi phí'!$G$76*B194+'Chi phí'!$H$76*A194))*(1+'Giả định'!$B$16)</f>
        <v>249108860</v>
      </c>
      <c r="D194" s="25" t="n">
        <f aca="false">('Chi phí'!$C$77+'Chi phí'!$D$77*B194+'Chi phí'!$E$77*A194+'Giả định'!$B$15*('Chi phí'!$F$77+'Chi phí'!$G$77*B194+'Chi phí'!$H$77*A194))*(1+'Giả định'!$B$16)</f>
        <v>392713860</v>
      </c>
      <c r="E194" s="25" t="n">
        <f aca="false">A194/'Giả định'!$B$19*'Giả định'!$B$20+A194*'Giả định'!$B$23+'Giả định'!$B$24</f>
        <v>70358823.5294118</v>
      </c>
      <c r="F194" s="25" t="n">
        <f aca="false">E194-D194</f>
        <v>-322355036.470588</v>
      </c>
      <c r="G194" s="25" t="n">
        <f aca="false">E194-C194</f>
        <v>-178750036.470588</v>
      </c>
      <c r="H194" s="7" t="str">
        <f aca="false">IF(F194&gt;=0,A194,"")</f>
        <v/>
      </c>
      <c r="I194" s="7" t="n">
        <f aca="false">IF(F194&lt;0,A194,0)</f>
        <v>189</v>
      </c>
      <c r="J194" s="7" t="str">
        <f aca="false">IF(G194&gt;=0,A194,"")</f>
        <v/>
      </c>
      <c r="K194" s="7" t="n">
        <f aca="false">IF(G194&lt;0,A194,0)</f>
        <v>189</v>
      </c>
    </row>
    <row r="195" customFormat="false" ht="15" hidden="false" customHeight="false" outlineLevel="0" collapsed="false">
      <c r="A195" s="7" t="n">
        <f aca="false">A194+1</f>
        <v>190</v>
      </c>
      <c r="B195" s="7" t="n">
        <f aca="false">MAX('Giả định'!$B$9,ROUNDUP(A195/'Giả định'!$B$7,0)+'Giả định'!$B$8)</f>
        <v>20</v>
      </c>
      <c r="C195" s="25" t="n">
        <f aca="false">('Chi phí'!$C$76+'Chi phí'!$D$76*B195+'Chi phí'!$E$76*A195+'Giả định'!$B$15*('Chi phí'!$F$76+'Chi phí'!$G$76*B195+'Chi phí'!$H$76*A195))*(1+'Giả định'!$B$16)</f>
        <v>249145600</v>
      </c>
      <c r="D195" s="25" t="n">
        <f aca="false">('Chi phí'!$C$77+'Chi phí'!$D$77*B195+'Chi phí'!$E$77*A195+'Giả định'!$B$15*('Chi phí'!$F$77+'Chi phí'!$G$77*B195+'Chi phí'!$H$77*A195))*(1+'Giả định'!$B$16)</f>
        <v>392750600</v>
      </c>
      <c r="E195" s="25" t="n">
        <f aca="false">A195/'Giả định'!$B$19*'Giả định'!$B$20+A195*'Giả định'!$B$23+'Giả định'!$B$24</f>
        <v>70731092.4369748</v>
      </c>
      <c r="F195" s="25" t="n">
        <f aca="false">E195-D195</f>
        <v>-322019507.563025</v>
      </c>
      <c r="G195" s="25" t="n">
        <f aca="false">E195-C195</f>
        <v>-178414507.563025</v>
      </c>
      <c r="H195" s="7" t="str">
        <f aca="false">IF(F195&gt;=0,A195,"")</f>
        <v/>
      </c>
      <c r="I195" s="7" t="n">
        <f aca="false">IF(F195&lt;0,A195,0)</f>
        <v>190</v>
      </c>
      <c r="J195" s="7" t="str">
        <f aca="false">IF(G195&gt;=0,A195,"")</f>
        <v/>
      </c>
      <c r="K195" s="7" t="n">
        <f aca="false">IF(G195&lt;0,A195,0)</f>
        <v>190</v>
      </c>
    </row>
    <row r="196" customFormat="false" ht="15" hidden="false" customHeight="false" outlineLevel="0" collapsed="false">
      <c r="A196" s="7" t="n">
        <f aca="false">A195+1</f>
        <v>191</v>
      </c>
      <c r="B196" s="7" t="n">
        <f aca="false">MAX('Giả định'!$B$9,ROUNDUP(A196/'Giả định'!$B$7,0)+'Giả định'!$B$8)</f>
        <v>21</v>
      </c>
      <c r="C196" s="25" t="n">
        <f aca="false">('Chi phí'!$C$76+'Chi phí'!$D$76*B196+'Chi phí'!$E$76*A196+'Giả định'!$B$15*('Chi phí'!$F$76+'Chi phí'!$G$76*B196+'Chi phí'!$H$76*A196))*(1+'Giả định'!$B$16)</f>
        <v>258356340</v>
      </c>
      <c r="D196" s="25" t="n">
        <f aca="false">('Chi phí'!$C$77+'Chi phí'!$D$77*B196+'Chi phí'!$E$77*A196+'Giả định'!$B$15*('Chi phí'!$F$77+'Chi phí'!$G$77*B196+'Chi phí'!$H$77*A196))*(1+'Giả định'!$B$16)</f>
        <v>401961340</v>
      </c>
      <c r="E196" s="25" t="n">
        <f aca="false">A196/'Giả định'!$B$19*'Giả định'!$B$20+A196*'Giả định'!$B$23+'Giả định'!$B$24</f>
        <v>71103361.3445378</v>
      </c>
      <c r="F196" s="25" t="n">
        <f aca="false">E196-D196</f>
        <v>-330857978.655462</v>
      </c>
      <c r="G196" s="25" t="n">
        <f aca="false">E196-C196</f>
        <v>-187252978.655462</v>
      </c>
      <c r="H196" s="7" t="str">
        <f aca="false">IF(F196&gt;=0,A196,"")</f>
        <v/>
      </c>
      <c r="I196" s="7" t="n">
        <f aca="false">IF(F196&lt;0,A196,0)</f>
        <v>191</v>
      </c>
      <c r="J196" s="7" t="str">
        <f aca="false">IF(G196&gt;=0,A196,"")</f>
        <v/>
      </c>
      <c r="K196" s="7" t="n">
        <f aca="false">IF(G196&lt;0,A196,0)</f>
        <v>191</v>
      </c>
    </row>
    <row r="197" customFormat="false" ht="15" hidden="false" customHeight="false" outlineLevel="0" collapsed="false">
      <c r="A197" s="7" t="n">
        <f aca="false">A196+1</f>
        <v>192</v>
      </c>
      <c r="B197" s="7" t="n">
        <f aca="false">MAX('Giả định'!$B$9,ROUNDUP(A197/'Giả định'!$B$7,0)+'Giả định'!$B$8)</f>
        <v>21</v>
      </c>
      <c r="C197" s="25" t="n">
        <f aca="false">('Chi phí'!$C$76+'Chi phí'!$D$76*B197+'Chi phí'!$E$76*A197+'Giả định'!$B$15*('Chi phí'!$F$76+'Chi phí'!$G$76*B197+'Chi phí'!$H$76*A197))*(1+'Giả định'!$B$16)</f>
        <v>258393080</v>
      </c>
      <c r="D197" s="25" t="n">
        <f aca="false">('Chi phí'!$C$77+'Chi phí'!$D$77*B197+'Chi phí'!$E$77*A197+'Giả định'!$B$15*('Chi phí'!$F$77+'Chi phí'!$G$77*B197+'Chi phí'!$H$77*A197))*(1+'Giả định'!$B$16)</f>
        <v>401998080</v>
      </c>
      <c r="E197" s="25" t="n">
        <f aca="false">A197/'Giả định'!$B$19*'Giả định'!$B$20+A197*'Giả định'!$B$23+'Giả định'!$B$24</f>
        <v>71475630.2521008</v>
      </c>
      <c r="F197" s="25" t="n">
        <f aca="false">E197-D197</f>
        <v>-330522449.747899</v>
      </c>
      <c r="G197" s="25" t="n">
        <f aca="false">E197-C197</f>
        <v>-186917449.747899</v>
      </c>
      <c r="H197" s="7" t="str">
        <f aca="false">IF(F197&gt;=0,A197,"")</f>
        <v/>
      </c>
      <c r="I197" s="7" t="n">
        <f aca="false">IF(F197&lt;0,A197,0)</f>
        <v>192</v>
      </c>
      <c r="J197" s="7" t="str">
        <f aca="false">IF(G197&gt;=0,A197,"")</f>
        <v/>
      </c>
      <c r="K197" s="7" t="n">
        <f aca="false">IF(G197&lt;0,A197,0)</f>
        <v>192</v>
      </c>
    </row>
    <row r="198" customFormat="false" ht="15" hidden="false" customHeight="false" outlineLevel="0" collapsed="false">
      <c r="A198" s="7" t="n">
        <f aca="false">A197+1</f>
        <v>193</v>
      </c>
      <c r="B198" s="7" t="n">
        <f aca="false">MAX('Giả định'!$B$9,ROUNDUP(A198/'Giả định'!$B$7,0)+'Giả định'!$B$8)</f>
        <v>21</v>
      </c>
      <c r="C198" s="25" t="n">
        <f aca="false">('Chi phí'!$C$76+'Chi phí'!$D$76*B198+'Chi phí'!$E$76*A198+'Giả định'!$B$15*('Chi phí'!$F$76+'Chi phí'!$G$76*B198+'Chi phí'!$H$76*A198))*(1+'Giả định'!$B$16)</f>
        <v>258429820</v>
      </c>
      <c r="D198" s="25" t="n">
        <f aca="false">('Chi phí'!$C$77+'Chi phí'!$D$77*B198+'Chi phí'!$E$77*A198+'Giả định'!$B$15*('Chi phí'!$F$77+'Chi phí'!$G$77*B198+'Chi phí'!$H$77*A198))*(1+'Giả định'!$B$16)</f>
        <v>402034820</v>
      </c>
      <c r="E198" s="25" t="n">
        <f aca="false">A198/'Giả định'!$B$19*'Giả định'!$B$20+A198*'Giả định'!$B$23+'Giả định'!$B$24</f>
        <v>71847899.1596639</v>
      </c>
      <c r="F198" s="25" t="n">
        <f aca="false">E198-D198</f>
        <v>-330186920.840336</v>
      </c>
      <c r="G198" s="25" t="n">
        <f aca="false">E198-C198</f>
        <v>-186581920.840336</v>
      </c>
      <c r="H198" s="7" t="str">
        <f aca="false">IF(F198&gt;=0,A198,"")</f>
        <v/>
      </c>
      <c r="I198" s="7" t="n">
        <f aca="false">IF(F198&lt;0,A198,0)</f>
        <v>193</v>
      </c>
      <c r="J198" s="7" t="str">
        <f aca="false">IF(G198&gt;=0,A198,"")</f>
        <v/>
      </c>
      <c r="K198" s="7" t="n">
        <f aca="false">IF(G198&lt;0,A198,0)</f>
        <v>193</v>
      </c>
    </row>
    <row r="199" customFormat="false" ht="15" hidden="false" customHeight="false" outlineLevel="0" collapsed="false">
      <c r="A199" s="7" t="n">
        <f aca="false">A198+1</f>
        <v>194</v>
      </c>
      <c r="B199" s="7" t="n">
        <f aca="false">MAX('Giả định'!$B$9,ROUNDUP(A199/'Giả định'!$B$7,0)+'Giả định'!$B$8)</f>
        <v>21</v>
      </c>
      <c r="C199" s="25" t="n">
        <f aca="false">('Chi phí'!$C$76+'Chi phí'!$D$76*B199+'Chi phí'!$E$76*A199+'Giả định'!$B$15*('Chi phí'!$F$76+'Chi phí'!$G$76*B199+'Chi phí'!$H$76*A199))*(1+'Giả định'!$B$16)</f>
        <v>258466560</v>
      </c>
      <c r="D199" s="25" t="n">
        <f aca="false">('Chi phí'!$C$77+'Chi phí'!$D$77*B199+'Chi phí'!$E$77*A199+'Giả định'!$B$15*('Chi phí'!$F$77+'Chi phí'!$G$77*B199+'Chi phí'!$H$77*A199))*(1+'Giả định'!$B$16)</f>
        <v>402071560</v>
      </c>
      <c r="E199" s="25" t="n">
        <f aca="false">A199/'Giả định'!$B$19*'Giả định'!$B$20+A199*'Giả định'!$B$23+'Giả định'!$B$24</f>
        <v>72220168.0672269</v>
      </c>
      <c r="F199" s="25" t="n">
        <f aca="false">E199-D199</f>
        <v>-329851391.932773</v>
      </c>
      <c r="G199" s="25" t="n">
        <f aca="false">E199-C199</f>
        <v>-186246391.932773</v>
      </c>
      <c r="H199" s="7" t="str">
        <f aca="false">IF(F199&gt;=0,A199,"")</f>
        <v/>
      </c>
      <c r="I199" s="7" t="n">
        <f aca="false">IF(F199&lt;0,A199,0)</f>
        <v>194</v>
      </c>
      <c r="J199" s="7" t="str">
        <f aca="false">IF(G199&gt;=0,A199,"")</f>
        <v/>
      </c>
      <c r="K199" s="7" t="n">
        <f aca="false">IF(G199&lt;0,A199,0)</f>
        <v>194</v>
      </c>
    </row>
    <row r="200" customFormat="false" ht="15" hidden="false" customHeight="false" outlineLevel="0" collapsed="false">
      <c r="A200" s="7" t="n">
        <f aca="false">A199+1</f>
        <v>195</v>
      </c>
      <c r="B200" s="7" t="n">
        <f aca="false">MAX('Giả định'!$B$9,ROUNDUP(A200/'Giả định'!$B$7,0)+'Giả định'!$B$8)</f>
        <v>21</v>
      </c>
      <c r="C200" s="25" t="n">
        <f aca="false">('Chi phí'!$C$76+'Chi phí'!$D$76*B200+'Chi phí'!$E$76*A200+'Giả định'!$B$15*('Chi phí'!$F$76+'Chi phí'!$G$76*B200+'Chi phí'!$H$76*A200))*(1+'Giả định'!$B$16)</f>
        <v>258503300</v>
      </c>
      <c r="D200" s="25" t="n">
        <f aca="false">('Chi phí'!$C$77+'Chi phí'!$D$77*B200+'Chi phí'!$E$77*A200+'Giả định'!$B$15*('Chi phí'!$F$77+'Chi phí'!$G$77*B200+'Chi phí'!$H$77*A200))*(1+'Giả định'!$B$16)</f>
        <v>402108300</v>
      </c>
      <c r="E200" s="25" t="n">
        <f aca="false">A200/'Giả định'!$B$19*'Giả định'!$B$20+A200*'Giả định'!$B$23+'Giả định'!$B$24</f>
        <v>72592436.9747899</v>
      </c>
      <c r="F200" s="25" t="n">
        <f aca="false">E200-D200</f>
        <v>-329515863.02521</v>
      </c>
      <c r="G200" s="25" t="n">
        <f aca="false">E200-C200</f>
        <v>-185910863.02521</v>
      </c>
      <c r="H200" s="7" t="str">
        <f aca="false">IF(F200&gt;=0,A200,"")</f>
        <v/>
      </c>
      <c r="I200" s="7" t="n">
        <f aca="false">IF(F200&lt;0,A200,0)</f>
        <v>195</v>
      </c>
      <c r="J200" s="7" t="str">
        <f aca="false">IF(G200&gt;=0,A200,"")</f>
        <v/>
      </c>
      <c r="K200" s="7" t="n">
        <f aca="false">IF(G200&lt;0,A200,0)</f>
        <v>195</v>
      </c>
    </row>
    <row r="201" customFormat="false" ht="15" hidden="false" customHeight="false" outlineLevel="0" collapsed="false">
      <c r="A201" s="7" t="n">
        <f aca="false">A200+1</f>
        <v>196</v>
      </c>
      <c r="B201" s="7" t="n">
        <f aca="false">MAX('Giả định'!$B$9,ROUNDUP(A201/'Giả định'!$B$7,0)+'Giả định'!$B$8)</f>
        <v>21</v>
      </c>
      <c r="C201" s="25" t="n">
        <f aca="false">('Chi phí'!$C$76+'Chi phí'!$D$76*B201+'Chi phí'!$E$76*A201+'Giả định'!$B$15*('Chi phí'!$F$76+'Chi phí'!$G$76*B201+'Chi phí'!$H$76*A201))*(1+'Giả định'!$B$16)</f>
        <v>258540040</v>
      </c>
      <c r="D201" s="25" t="n">
        <f aca="false">('Chi phí'!$C$77+'Chi phí'!$D$77*B201+'Chi phí'!$E$77*A201+'Giả định'!$B$15*('Chi phí'!$F$77+'Chi phí'!$G$77*B201+'Chi phí'!$H$77*A201))*(1+'Giả định'!$B$16)</f>
        <v>402145040</v>
      </c>
      <c r="E201" s="25" t="n">
        <f aca="false">A201/'Giả định'!$B$19*'Giả định'!$B$20+A201*'Giả định'!$B$23+'Giả định'!$B$24</f>
        <v>72964705.882353</v>
      </c>
      <c r="F201" s="25" t="n">
        <f aca="false">E201-D201</f>
        <v>-329180334.117647</v>
      </c>
      <c r="G201" s="25" t="n">
        <f aca="false">E201-C201</f>
        <v>-185575334.117647</v>
      </c>
      <c r="H201" s="7" t="str">
        <f aca="false">IF(F201&gt;=0,A201,"")</f>
        <v/>
      </c>
      <c r="I201" s="7" t="n">
        <f aca="false">IF(F201&lt;0,A201,0)</f>
        <v>196</v>
      </c>
      <c r="J201" s="7" t="str">
        <f aca="false">IF(G201&gt;=0,A201,"")</f>
        <v/>
      </c>
      <c r="K201" s="7" t="n">
        <f aca="false">IF(G201&lt;0,A201,0)</f>
        <v>196</v>
      </c>
    </row>
    <row r="202" customFormat="false" ht="15" hidden="false" customHeight="false" outlineLevel="0" collapsed="false">
      <c r="A202" s="7" t="n">
        <f aca="false">A201+1</f>
        <v>197</v>
      </c>
      <c r="B202" s="7" t="n">
        <f aca="false">MAX('Giả định'!$B$9,ROUNDUP(A202/'Giả định'!$B$7,0)+'Giả định'!$B$8)</f>
        <v>21</v>
      </c>
      <c r="C202" s="25" t="n">
        <f aca="false">('Chi phí'!$C$76+'Chi phí'!$D$76*B202+'Chi phí'!$E$76*A202+'Giả định'!$B$15*('Chi phí'!$F$76+'Chi phí'!$G$76*B202+'Chi phí'!$H$76*A202))*(1+'Giả định'!$B$16)</f>
        <v>258576780</v>
      </c>
      <c r="D202" s="25" t="n">
        <f aca="false">('Chi phí'!$C$77+'Chi phí'!$D$77*B202+'Chi phí'!$E$77*A202+'Giả định'!$B$15*('Chi phí'!$F$77+'Chi phí'!$G$77*B202+'Chi phí'!$H$77*A202))*(1+'Giả định'!$B$16)</f>
        <v>402181780</v>
      </c>
      <c r="E202" s="25" t="n">
        <f aca="false">A202/'Giả định'!$B$19*'Giả định'!$B$20+A202*'Giả định'!$B$23+'Giả định'!$B$24</f>
        <v>73336974.789916</v>
      </c>
      <c r="F202" s="25" t="n">
        <f aca="false">E202-D202</f>
        <v>-328844805.210084</v>
      </c>
      <c r="G202" s="25" t="n">
        <f aca="false">E202-C202</f>
        <v>-185239805.210084</v>
      </c>
      <c r="H202" s="7" t="str">
        <f aca="false">IF(F202&gt;=0,A202,"")</f>
        <v/>
      </c>
      <c r="I202" s="7" t="n">
        <f aca="false">IF(F202&lt;0,A202,0)</f>
        <v>197</v>
      </c>
      <c r="J202" s="7" t="str">
        <f aca="false">IF(G202&gt;=0,A202,"")</f>
        <v/>
      </c>
      <c r="K202" s="7" t="n">
        <f aca="false">IF(G202&lt;0,A202,0)</f>
        <v>197</v>
      </c>
    </row>
    <row r="203" customFormat="false" ht="15" hidden="false" customHeight="false" outlineLevel="0" collapsed="false">
      <c r="A203" s="7" t="n">
        <f aca="false">A202+1</f>
        <v>198</v>
      </c>
      <c r="B203" s="7" t="n">
        <f aca="false">MAX('Giả định'!$B$9,ROUNDUP(A203/'Giả định'!$B$7,0)+'Giả định'!$B$8)</f>
        <v>21</v>
      </c>
      <c r="C203" s="25" t="n">
        <f aca="false">('Chi phí'!$C$76+'Chi phí'!$D$76*B203+'Chi phí'!$E$76*A203+'Giả định'!$B$15*('Chi phí'!$F$76+'Chi phí'!$G$76*B203+'Chi phí'!$H$76*A203))*(1+'Giả định'!$B$16)</f>
        <v>258613520</v>
      </c>
      <c r="D203" s="25" t="n">
        <f aca="false">('Chi phí'!$C$77+'Chi phí'!$D$77*B203+'Chi phí'!$E$77*A203+'Giả định'!$B$15*('Chi phí'!$F$77+'Chi phí'!$G$77*B203+'Chi phí'!$H$77*A203))*(1+'Giả định'!$B$16)</f>
        <v>402218520</v>
      </c>
      <c r="E203" s="25" t="n">
        <f aca="false">A203/'Giả định'!$B$19*'Giả định'!$B$20+A203*'Giả định'!$B$23+'Giả định'!$B$24</f>
        <v>73709243.697479</v>
      </c>
      <c r="F203" s="25" t="n">
        <f aca="false">E203-D203</f>
        <v>-328509276.302521</v>
      </c>
      <c r="G203" s="25" t="n">
        <f aca="false">E203-C203</f>
        <v>-184904276.302521</v>
      </c>
      <c r="H203" s="7" t="str">
        <f aca="false">IF(F203&gt;=0,A203,"")</f>
        <v/>
      </c>
      <c r="I203" s="7" t="n">
        <f aca="false">IF(F203&lt;0,A203,0)</f>
        <v>198</v>
      </c>
      <c r="J203" s="7" t="str">
        <f aca="false">IF(G203&gt;=0,A203,"")</f>
        <v/>
      </c>
      <c r="K203" s="7" t="n">
        <f aca="false">IF(G203&lt;0,A203,0)</f>
        <v>198</v>
      </c>
    </row>
    <row r="204" customFormat="false" ht="15" hidden="false" customHeight="false" outlineLevel="0" collapsed="false">
      <c r="A204" s="7" t="n">
        <f aca="false">A203+1</f>
        <v>199</v>
      </c>
      <c r="B204" s="7" t="n">
        <f aca="false">MAX('Giả định'!$B$9,ROUNDUP(A204/'Giả định'!$B$7,0)+'Giả định'!$B$8)</f>
        <v>21</v>
      </c>
      <c r="C204" s="25" t="n">
        <f aca="false">('Chi phí'!$C$76+'Chi phí'!$D$76*B204+'Chi phí'!$E$76*A204+'Giả định'!$B$15*('Chi phí'!$F$76+'Chi phí'!$G$76*B204+'Chi phí'!$H$76*A204))*(1+'Giả định'!$B$16)</f>
        <v>258650260</v>
      </c>
      <c r="D204" s="25" t="n">
        <f aca="false">('Chi phí'!$C$77+'Chi phí'!$D$77*B204+'Chi phí'!$E$77*A204+'Giả định'!$B$15*('Chi phí'!$F$77+'Chi phí'!$G$77*B204+'Chi phí'!$H$77*A204))*(1+'Giả định'!$B$16)</f>
        <v>402255260</v>
      </c>
      <c r="E204" s="25" t="n">
        <f aca="false">A204/'Giả định'!$B$19*'Giả định'!$B$20+A204*'Giả định'!$B$23+'Giả định'!$B$24</f>
        <v>74081512.605042</v>
      </c>
      <c r="F204" s="25" t="n">
        <f aca="false">E204-D204</f>
        <v>-328173747.394958</v>
      </c>
      <c r="G204" s="25" t="n">
        <f aca="false">E204-C204</f>
        <v>-184568747.394958</v>
      </c>
      <c r="H204" s="7" t="str">
        <f aca="false">IF(F204&gt;=0,A204,"")</f>
        <v/>
      </c>
      <c r="I204" s="7" t="n">
        <f aca="false">IF(F204&lt;0,A204,0)</f>
        <v>199</v>
      </c>
      <c r="J204" s="7" t="str">
        <f aca="false">IF(G204&gt;=0,A204,"")</f>
        <v/>
      </c>
      <c r="K204" s="7" t="n">
        <f aca="false">IF(G204&lt;0,A204,0)</f>
        <v>199</v>
      </c>
    </row>
    <row r="205" customFormat="false" ht="15" hidden="false" customHeight="false" outlineLevel="0" collapsed="false">
      <c r="A205" s="7" t="n">
        <f aca="false">A204+1</f>
        <v>200</v>
      </c>
      <c r="B205" s="7" t="n">
        <f aca="false">MAX('Giả định'!$B$9,ROUNDUP(A205/'Giả định'!$B$7,0)+'Giả định'!$B$8)</f>
        <v>21</v>
      </c>
      <c r="C205" s="25" t="n">
        <f aca="false">('Chi phí'!$C$76+'Chi phí'!$D$76*B205+'Chi phí'!$E$76*A205+'Giả định'!$B$15*('Chi phí'!$F$76+'Chi phí'!$G$76*B205+'Chi phí'!$H$76*A205))*(1+'Giả định'!$B$16)</f>
        <v>258687000</v>
      </c>
      <c r="D205" s="25" t="n">
        <f aca="false">('Chi phí'!$C$77+'Chi phí'!$D$77*B205+'Chi phí'!$E$77*A205+'Giả định'!$B$15*('Chi phí'!$F$77+'Chi phí'!$G$77*B205+'Chi phí'!$H$77*A205))*(1+'Giả định'!$B$16)</f>
        <v>402292000</v>
      </c>
      <c r="E205" s="25" t="n">
        <f aca="false">A205/'Giả định'!$B$19*'Giả định'!$B$20+A205*'Giả định'!$B$23+'Giả định'!$B$24</f>
        <v>74453781.512605</v>
      </c>
      <c r="F205" s="25" t="n">
        <f aca="false">E205-D205</f>
        <v>-327838218.487395</v>
      </c>
      <c r="G205" s="25" t="n">
        <f aca="false">E205-C205</f>
        <v>-184233218.487395</v>
      </c>
      <c r="H205" s="7" t="str">
        <f aca="false">IF(F205&gt;=0,A205,"")</f>
        <v/>
      </c>
      <c r="I205" s="7" t="n">
        <f aca="false">IF(F205&lt;0,A205,0)</f>
        <v>200</v>
      </c>
      <c r="J205" s="7" t="str">
        <f aca="false">IF(G205&gt;=0,A205,"")</f>
        <v/>
      </c>
      <c r="K205" s="7" t="n">
        <f aca="false">IF(G205&lt;0,A205,0)</f>
        <v>200</v>
      </c>
    </row>
    <row r="206" customFormat="false" ht="15" hidden="false" customHeight="false" outlineLevel="0" collapsed="false">
      <c r="A206" s="7" t="n">
        <f aca="false">A205+1</f>
        <v>201</v>
      </c>
      <c r="B206" s="7" t="n">
        <f aca="false">MAX('Giả định'!$B$9,ROUNDUP(A206/'Giả định'!$B$7,0)+'Giả định'!$B$8)</f>
        <v>22</v>
      </c>
      <c r="C206" s="25" t="n">
        <f aca="false">('Chi phí'!$C$76+'Chi phí'!$D$76*B206+'Chi phí'!$E$76*A206+'Giả định'!$B$15*('Chi phí'!$F$76+'Chi phí'!$G$76*B206+'Chi phí'!$H$76*A206))*(1+'Giả định'!$B$16)</f>
        <v>267897740</v>
      </c>
      <c r="D206" s="25" t="n">
        <f aca="false">('Chi phí'!$C$77+'Chi phí'!$D$77*B206+'Chi phí'!$E$77*A206+'Giả định'!$B$15*('Chi phí'!$F$77+'Chi phí'!$G$77*B206+'Chi phí'!$H$77*A206))*(1+'Giả định'!$B$16)</f>
        <v>411502740</v>
      </c>
      <c r="E206" s="25" t="n">
        <f aca="false">A206/'Giả định'!$B$19*'Giả định'!$B$20+A206*'Giả định'!$B$23+'Giả định'!$B$24</f>
        <v>74826050.4201681</v>
      </c>
      <c r="F206" s="25" t="n">
        <f aca="false">E206-D206</f>
        <v>-336676689.579832</v>
      </c>
      <c r="G206" s="25" t="n">
        <f aca="false">E206-C206</f>
        <v>-193071689.579832</v>
      </c>
      <c r="H206" s="7" t="str">
        <f aca="false">IF(F206&gt;=0,A206,"")</f>
        <v/>
      </c>
      <c r="I206" s="7" t="n">
        <f aca="false">IF(F206&lt;0,A206,0)</f>
        <v>201</v>
      </c>
      <c r="J206" s="7" t="str">
        <f aca="false">IF(G206&gt;=0,A206,"")</f>
        <v/>
      </c>
      <c r="K206" s="7" t="n">
        <f aca="false">IF(G206&lt;0,A206,0)</f>
        <v>201</v>
      </c>
    </row>
    <row r="207" customFormat="false" ht="15" hidden="false" customHeight="false" outlineLevel="0" collapsed="false">
      <c r="A207" s="7" t="n">
        <f aca="false">A206+1</f>
        <v>202</v>
      </c>
      <c r="B207" s="7" t="n">
        <f aca="false">MAX('Giả định'!$B$9,ROUNDUP(A207/'Giả định'!$B$7,0)+'Giả định'!$B$8)</f>
        <v>22</v>
      </c>
      <c r="C207" s="25" t="n">
        <f aca="false">('Chi phí'!$C$76+'Chi phí'!$D$76*B207+'Chi phí'!$E$76*A207+'Giả định'!$B$15*('Chi phí'!$F$76+'Chi phí'!$G$76*B207+'Chi phí'!$H$76*A207))*(1+'Giả định'!$B$16)</f>
        <v>267934480</v>
      </c>
      <c r="D207" s="25" t="n">
        <f aca="false">('Chi phí'!$C$77+'Chi phí'!$D$77*B207+'Chi phí'!$E$77*A207+'Giả định'!$B$15*('Chi phí'!$F$77+'Chi phí'!$G$77*B207+'Chi phí'!$H$77*A207))*(1+'Giả định'!$B$16)</f>
        <v>411539480</v>
      </c>
      <c r="E207" s="25" t="n">
        <f aca="false">A207/'Giả định'!$B$19*'Giả định'!$B$20+A207*'Giả định'!$B$23+'Giả định'!$B$24</f>
        <v>75198319.3277311</v>
      </c>
      <c r="F207" s="25" t="n">
        <f aca="false">E207-D207</f>
        <v>-336341160.672269</v>
      </c>
      <c r="G207" s="25" t="n">
        <f aca="false">E207-C207</f>
        <v>-192736160.672269</v>
      </c>
      <c r="H207" s="7" t="str">
        <f aca="false">IF(F207&gt;=0,A207,"")</f>
        <v/>
      </c>
      <c r="I207" s="7" t="n">
        <f aca="false">IF(F207&lt;0,A207,0)</f>
        <v>202</v>
      </c>
      <c r="J207" s="7" t="str">
        <f aca="false">IF(G207&gt;=0,A207,"")</f>
        <v/>
      </c>
      <c r="K207" s="7" t="n">
        <f aca="false">IF(G207&lt;0,A207,0)</f>
        <v>202</v>
      </c>
    </row>
    <row r="208" customFormat="false" ht="15" hidden="false" customHeight="false" outlineLevel="0" collapsed="false">
      <c r="A208" s="7" t="n">
        <f aca="false">A207+1</f>
        <v>203</v>
      </c>
      <c r="B208" s="7" t="n">
        <f aca="false">MAX('Giả định'!$B$9,ROUNDUP(A208/'Giả định'!$B$7,0)+'Giả định'!$B$8)</f>
        <v>22</v>
      </c>
      <c r="C208" s="25" t="n">
        <f aca="false">('Chi phí'!$C$76+'Chi phí'!$D$76*B208+'Chi phí'!$E$76*A208+'Giả định'!$B$15*('Chi phí'!$F$76+'Chi phí'!$G$76*B208+'Chi phí'!$H$76*A208))*(1+'Giả định'!$B$16)</f>
        <v>267971220</v>
      </c>
      <c r="D208" s="25" t="n">
        <f aca="false">('Chi phí'!$C$77+'Chi phí'!$D$77*B208+'Chi phí'!$E$77*A208+'Giả định'!$B$15*('Chi phí'!$F$77+'Chi phí'!$G$77*B208+'Chi phí'!$H$77*A208))*(1+'Giả định'!$B$16)</f>
        <v>411576220</v>
      </c>
      <c r="E208" s="25" t="n">
        <f aca="false">A208/'Giả định'!$B$19*'Giả định'!$B$20+A208*'Giả định'!$B$23+'Giả định'!$B$24</f>
        <v>75570588.2352941</v>
      </c>
      <c r="F208" s="25" t="n">
        <f aca="false">E208-D208</f>
        <v>-336005631.764706</v>
      </c>
      <c r="G208" s="25" t="n">
        <f aca="false">E208-C208</f>
        <v>-192400631.764706</v>
      </c>
      <c r="H208" s="7" t="str">
        <f aca="false">IF(F208&gt;=0,A208,"")</f>
        <v/>
      </c>
      <c r="I208" s="7" t="n">
        <f aca="false">IF(F208&lt;0,A208,0)</f>
        <v>203</v>
      </c>
      <c r="J208" s="7" t="str">
        <f aca="false">IF(G208&gt;=0,A208,"")</f>
        <v/>
      </c>
      <c r="K208" s="7" t="n">
        <f aca="false">IF(G208&lt;0,A208,0)</f>
        <v>203</v>
      </c>
    </row>
    <row r="209" customFormat="false" ht="15" hidden="false" customHeight="false" outlineLevel="0" collapsed="false">
      <c r="A209" s="7" t="n">
        <f aca="false">A208+1</f>
        <v>204</v>
      </c>
      <c r="B209" s="7" t="n">
        <f aca="false">MAX('Giả định'!$B$9,ROUNDUP(A209/'Giả định'!$B$7,0)+'Giả định'!$B$8)</f>
        <v>22</v>
      </c>
      <c r="C209" s="25" t="n">
        <f aca="false">('Chi phí'!$C$76+'Chi phí'!$D$76*B209+'Chi phí'!$E$76*A209+'Giả định'!$B$15*('Chi phí'!$F$76+'Chi phí'!$G$76*B209+'Chi phí'!$H$76*A209))*(1+'Giả định'!$B$16)</f>
        <v>268007960</v>
      </c>
      <c r="D209" s="25" t="n">
        <f aca="false">('Chi phí'!$C$77+'Chi phí'!$D$77*B209+'Chi phí'!$E$77*A209+'Giả định'!$B$15*('Chi phí'!$F$77+'Chi phí'!$G$77*B209+'Chi phí'!$H$77*A209))*(1+'Giả định'!$B$16)</f>
        <v>411612960</v>
      </c>
      <c r="E209" s="25" t="n">
        <f aca="false">A209/'Giả định'!$B$19*'Giả định'!$B$20+A209*'Giả định'!$B$23+'Giả định'!$B$24</f>
        <v>75942857.1428572</v>
      </c>
      <c r="F209" s="25" t="n">
        <f aca="false">E209-D209</f>
        <v>-335670102.857143</v>
      </c>
      <c r="G209" s="25" t="n">
        <f aca="false">E209-C209</f>
        <v>-192065102.857143</v>
      </c>
      <c r="H209" s="7" t="str">
        <f aca="false">IF(F209&gt;=0,A209,"")</f>
        <v/>
      </c>
      <c r="I209" s="7" t="n">
        <f aca="false">IF(F209&lt;0,A209,0)</f>
        <v>204</v>
      </c>
      <c r="J209" s="7" t="str">
        <f aca="false">IF(G209&gt;=0,A209,"")</f>
        <v/>
      </c>
      <c r="K209" s="7" t="n">
        <f aca="false">IF(G209&lt;0,A209,0)</f>
        <v>204</v>
      </c>
    </row>
    <row r="210" customFormat="false" ht="15" hidden="false" customHeight="false" outlineLevel="0" collapsed="false">
      <c r="A210" s="7" t="n">
        <f aca="false">A209+1</f>
        <v>205</v>
      </c>
      <c r="B210" s="7" t="n">
        <f aca="false">MAX('Giả định'!$B$9,ROUNDUP(A210/'Giả định'!$B$7,0)+'Giả định'!$B$8)</f>
        <v>22</v>
      </c>
      <c r="C210" s="25" t="n">
        <f aca="false">('Chi phí'!$C$76+'Chi phí'!$D$76*B210+'Chi phí'!$E$76*A210+'Giả định'!$B$15*('Chi phí'!$F$76+'Chi phí'!$G$76*B210+'Chi phí'!$H$76*A210))*(1+'Giả định'!$B$16)</f>
        <v>268044700</v>
      </c>
      <c r="D210" s="25" t="n">
        <f aca="false">('Chi phí'!$C$77+'Chi phí'!$D$77*B210+'Chi phí'!$E$77*A210+'Giả định'!$B$15*('Chi phí'!$F$77+'Chi phí'!$G$77*B210+'Chi phí'!$H$77*A210))*(1+'Giả định'!$B$16)</f>
        <v>411649700</v>
      </c>
      <c r="E210" s="25" t="n">
        <f aca="false">A210/'Giả định'!$B$19*'Giả định'!$B$20+A210*'Giả định'!$B$23+'Giả định'!$B$24</f>
        <v>76315126.0504202</v>
      </c>
      <c r="F210" s="25" t="n">
        <f aca="false">E210-D210</f>
        <v>-335334573.94958</v>
      </c>
      <c r="G210" s="25" t="n">
        <f aca="false">E210-C210</f>
        <v>-191729573.94958</v>
      </c>
      <c r="H210" s="7" t="str">
        <f aca="false">IF(F210&gt;=0,A210,"")</f>
        <v/>
      </c>
      <c r="I210" s="7" t="n">
        <f aca="false">IF(F210&lt;0,A210,0)</f>
        <v>205</v>
      </c>
      <c r="J210" s="7" t="str">
        <f aca="false">IF(G210&gt;=0,A210,"")</f>
        <v/>
      </c>
      <c r="K210" s="7" t="n">
        <f aca="false">IF(G210&lt;0,A210,0)</f>
        <v>205</v>
      </c>
    </row>
    <row r="211" customFormat="false" ht="15" hidden="false" customHeight="false" outlineLevel="0" collapsed="false">
      <c r="A211" s="7" t="n">
        <f aca="false">A210+1</f>
        <v>206</v>
      </c>
      <c r="B211" s="7" t="n">
        <f aca="false">MAX('Giả định'!$B$9,ROUNDUP(A211/'Giả định'!$B$7,0)+'Giả định'!$B$8)</f>
        <v>22</v>
      </c>
      <c r="C211" s="25" t="n">
        <f aca="false">('Chi phí'!$C$76+'Chi phí'!$D$76*B211+'Chi phí'!$E$76*A211+'Giả định'!$B$15*('Chi phí'!$F$76+'Chi phí'!$G$76*B211+'Chi phí'!$H$76*A211))*(1+'Giả định'!$B$16)</f>
        <v>268081440</v>
      </c>
      <c r="D211" s="25" t="n">
        <f aca="false">('Chi phí'!$C$77+'Chi phí'!$D$77*B211+'Chi phí'!$E$77*A211+'Giả định'!$B$15*('Chi phí'!$F$77+'Chi phí'!$G$77*B211+'Chi phí'!$H$77*A211))*(1+'Giả định'!$B$16)</f>
        <v>411686440</v>
      </c>
      <c r="E211" s="25" t="n">
        <f aca="false">A211/'Giả định'!$B$19*'Giả định'!$B$20+A211*'Giả định'!$B$23+'Giả định'!$B$24</f>
        <v>76687394.9579832</v>
      </c>
      <c r="F211" s="25" t="n">
        <f aca="false">E211-D211</f>
        <v>-334999045.042017</v>
      </c>
      <c r="G211" s="25" t="n">
        <f aca="false">E211-C211</f>
        <v>-191394045.042017</v>
      </c>
      <c r="H211" s="7" t="str">
        <f aca="false">IF(F211&gt;=0,A211,"")</f>
        <v/>
      </c>
      <c r="I211" s="7" t="n">
        <f aca="false">IF(F211&lt;0,A211,0)</f>
        <v>206</v>
      </c>
      <c r="J211" s="7" t="str">
        <f aca="false">IF(G211&gt;=0,A211,"")</f>
        <v/>
      </c>
      <c r="K211" s="7" t="n">
        <f aca="false">IF(G211&lt;0,A211,0)</f>
        <v>206</v>
      </c>
    </row>
    <row r="212" customFormat="false" ht="15" hidden="false" customHeight="false" outlineLevel="0" collapsed="false">
      <c r="A212" s="7" t="n">
        <f aca="false">A211+1</f>
        <v>207</v>
      </c>
      <c r="B212" s="7" t="n">
        <f aca="false">MAX('Giả định'!$B$9,ROUNDUP(A212/'Giả định'!$B$7,0)+'Giả định'!$B$8)</f>
        <v>22</v>
      </c>
      <c r="C212" s="25" t="n">
        <f aca="false">('Chi phí'!$C$76+'Chi phí'!$D$76*B212+'Chi phí'!$E$76*A212+'Giả định'!$B$15*('Chi phí'!$F$76+'Chi phí'!$G$76*B212+'Chi phí'!$H$76*A212))*(1+'Giả định'!$B$16)</f>
        <v>268118180</v>
      </c>
      <c r="D212" s="25" t="n">
        <f aca="false">('Chi phí'!$C$77+'Chi phí'!$D$77*B212+'Chi phí'!$E$77*A212+'Giả định'!$B$15*('Chi phí'!$F$77+'Chi phí'!$G$77*B212+'Chi phí'!$H$77*A212))*(1+'Giả định'!$B$16)</f>
        <v>411723180</v>
      </c>
      <c r="E212" s="25" t="n">
        <f aca="false">A212/'Giả định'!$B$19*'Giả định'!$B$20+A212*'Giả định'!$B$23+'Giả định'!$B$24</f>
        <v>77059663.8655462</v>
      </c>
      <c r="F212" s="25" t="n">
        <f aca="false">E212-D212</f>
        <v>-334663516.134454</v>
      </c>
      <c r="G212" s="25" t="n">
        <f aca="false">E212-C212</f>
        <v>-191058516.134454</v>
      </c>
      <c r="H212" s="7" t="str">
        <f aca="false">IF(F212&gt;=0,A212,"")</f>
        <v/>
      </c>
      <c r="I212" s="7" t="n">
        <f aca="false">IF(F212&lt;0,A212,0)</f>
        <v>207</v>
      </c>
      <c r="J212" s="7" t="str">
        <f aca="false">IF(G212&gt;=0,A212,"")</f>
        <v/>
      </c>
      <c r="K212" s="7" t="n">
        <f aca="false">IF(G212&lt;0,A212,0)</f>
        <v>207</v>
      </c>
    </row>
    <row r="213" customFormat="false" ht="15" hidden="false" customHeight="false" outlineLevel="0" collapsed="false">
      <c r="A213" s="7" t="n">
        <f aca="false">A212+1</f>
        <v>208</v>
      </c>
      <c r="B213" s="7" t="n">
        <f aca="false">MAX('Giả định'!$B$9,ROUNDUP(A213/'Giả định'!$B$7,0)+'Giả định'!$B$8)</f>
        <v>22</v>
      </c>
      <c r="C213" s="25" t="n">
        <f aca="false">('Chi phí'!$C$76+'Chi phí'!$D$76*B213+'Chi phí'!$E$76*A213+'Giả định'!$B$15*('Chi phí'!$F$76+'Chi phí'!$G$76*B213+'Chi phí'!$H$76*A213))*(1+'Giả định'!$B$16)</f>
        <v>268154920</v>
      </c>
      <c r="D213" s="25" t="n">
        <f aca="false">('Chi phí'!$C$77+'Chi phí'!$D$77*B213+'Chi phí'!$E$77*A213+'Giả định'!$B$15*('Chi phí'!$F$77+'Chi phí'!$G$77*B213+'Chi phí'!$H$77*A213))*(1+'Giả định'!$B$16)</f>
        <v>411759920</v>
      </c>
      <c r="E213" s="25" t="n">
        <f aca="false">A213/'Giả định'!$B$19*'Giả định'!$B$20+A213*'Giả định'!$B$23+'Giả định'!$B$24</f>
        <v>77431932.7731093</v>
      </c>
      <c r="F213" s="25" t="n">
        <f aca="false">E213-D213</f>
        <v>-334327987.226891</v>
      </c>
      <c r="G213" s="25" t="n">
        <f aca="false">E213-C213</f>
        <v>-190722987.226891</v>
      </c>
      <c r="H213" s="7" t="str">
        <f aca="false">IF(F213&gt;=0,A213,"")</f>
        <v/>
      </c>
      <c r="I213" s="7" t="n">
        <f aca="false">IF(F213&lt;0,A213,0)</f>
        <v>208</v>
      </c>
      <c r="J213" s="7" t="str">
        <f aca="false">IF(G213&gt;=0,A213,"")</f>
        <v/>
      </c>
      <c r="K213" s="7" t="n">
        <f aca="false">IF(G213&lt;0,A213,0)</f>
        <v>208</v>
      </c>
    </row>
    <row r="214" customFormat="false" ht="15" hidden="false" customHeight="false" outlineLevel="0" collapsed="false">
      <c r="A214" s="7" t="n">
        <f aca="false">A213+1</f>
        <v>209</v>
      </c>
      <c r="B214" s="7" t="n">
        <f aca="false">MAX('Giả định'!$B$9,ROUNDUP(A214/'Giả định'!$B$7,0)+'Giả định'!$B$8)</f>
        <v>22</v>
      </c>
      <c r="C214" s="25" t="n">
        <f aca="false">('Chi phí'!$C$76+'Chi phí'!$D$76*B214+'Chi phí'!$E$76*A214+'Giả định'!$B$15*('Chi phí'!$F$76+'Chi phí'!$G$76*B214+'Chi phí'!$H$76*A214))*(1+'Giả định'!$B$16)</f>
        <v>268191660</v>
      </c>
      <c r="D214" s="25" t="n">
        <f aca="false">('Chi phí'!$C$77+'Chi phí'!$D$77*B214+'Chi phí'!$E$77*A214+'Giả định'!$B$15*('Chi phí'!$F$77+'Chi phí'!$G$77*B214+'Chi phí'!$H$77*A214))*(1+'Giả định'!$B$16)</f>
        <v>411796660</v>
      </c>
      <c r="E214" s="25" t="n">
        <f aca="false">A214/'Giả định'!$B$19*'Giả định'!$B$20+A214*'Giả định'!$B$23+'Giả định'!$B$24</f>
        <v>77804201.6806723</v>
      </c>
      <c r="F214" s="25" t="n">
        <f aca="false">E214-D214</f>
        <v>-333992458.319328</v>
      </c>
      <c r="G214" s="25" t="n">
        <f aca="false">E214-C214</f>
        <v>-190387458.319328</v>
      </c>
      <c r="H214" s="7" t="str">
        <f aca="false">IF(F214&gt;=0,A214,"")</f>
        <v/>
      </c>
      <c r="I214" s="7" t="n">
        <f aca="false">IF(F214&lt;0,A214,0)</f>
        <v>209</v>
      </c>
      <c r="J214" s="7" t="str">
        <f aca="false">IF(G214&gt;=0,A214,"")</f>
        <v/>
      </c>
      <c r="K214" s="7" t="n">
        <f aca="false">IF(G214&lt;0,A214,0)</f>
        <v>209</v>
      </c>
    </row>
    <row r="215" customFormat="false" ht="15" hidden="false" customHeight="false" outlineLevel="0" collapsed="false">
      <c r="A215" s="7" t="n">
        <f aca="false">A214+1</f>
        <v>210</v>
      </c>
      <c r="B215" s="7" t="n">
        <f aca="false">MAX('Giả định'!$B$9,ROUNDUP(A215/'Giả định'!$B$7,0)+'Giả định'!$B$8)</f>
        <v>22</v>
      </c>
      <c r="C215" s="25" t="n">
        <f aca="false">('Chi phí'!$C$76+'Chi phí'!$D$76*B215+'Chi phí'!$E$76*A215+'Giả định'!$B$15*('Chi phí'!$F$76+'Chi phí'!$G$76*B215+'Chi phí'!$H$76*A215))*(1+'Giả định'!$B$16)</f>
        <v>268228400</v>
      </c>
      <c r="D215" s="25" t="n">
        <f aca="false">('Chi phí'!$C$77+'Chi phí'!$D$77*B215+'Chi phí'!$E$77*A215+'Giả định'!$B$15*('Chi phí'!$F$77+'Chi phí'!$G$77*B215+'Chi phí'!$H$77*A215))*(1+'Giả định'!$B$16)</f>
        <v>411833400</v>
      </c>
      <c r="E215" s="25" t="n">
        <f aca="false">A215/'Giả định'!$B$19*'Giả định'!$B$20+A215*'Giả định'!$B$23+'Giả định'!$B$24</f>
        <v>78176470.5882353</v>
      </c>
      <c r="F215" s="25" t="n">
        <f aca="false">E215-D215</f>
        <v>-333656929.411765</v>
      </c>
      <c r="G215" s="25" t="n">
        <f aca="false">E215-C215</f>
        <v>-190051929.411765</v>
      </c>
      <c r="H215" s="7" t="str">
        <f aca="false">IF(F215&gt;=0,A215,"")</f>
        <v/>
      </c>
      <c r="I215" s="7" t="n">
        <f aca="false">IF(F215&lt;0,A215,0)</f>
        <v>210</v>
      </c>
      <c r="J215" s="7" t="str">
        <f aca="false">IF(G215&gt;=0,A215,"")</f>
        <v/>
      </c>
      <c r="K215" s="7" t="n">
        <f aca="false">IF(G215&lt;0,A215,0)</f>
        <v>210</v>
      </c>
    </row>
    <row r="216" customFormat="false" ht="15" hidden="false" customHeight="false" outlineLevel="0" collapsed="false">
      <c r="A216" s="7" t="n">
        <f aca="false">A215+1</f>
        <v>211</v>
      </c>
      <c r="B216" s="7" t="n">
        <f aca="false">MAX('Giả định'!$B$9,ROUNDUP(A216/'Giả định'!$B$7,0)+'Giả định'!$B$8)</f>
        <v>23</v>
      </c>
      <c r="C216" s="25" t="n">
        <f aca="false">('Chi phí'!$C$76+'Chi phí'!$D$76*B216+'Chi phí'!$E$76*A216+'Giả định'!$B$15*('Chi phí'!$F$76+'Chi phí'!$G$76*B216+'Chi phí'!$H$76*A216))*(1+'Giả định'!$B$16)</f>
        <v>277439140</v>
      </c>
      <c r="D216" s="25" t="n">
        <f aca="false">('Chi phí'!$C$77+'Chi phí'!$D$77*B216+'Chi phí'!$E$77*A216+'Giả định'!$B$15*('Chi phí'!$F$77+'Chi phí'!$G$77*B216+'Chi phí'!$H$77*A216))*(1+'Giả định'!$B$16)</f>
        <v>421044140</v>
      </c>
      <c r="E216" s="25" t="n">
        <f aca="false">A216/'Giả định'!$B$19*'Giả định'!$B$20+A216*'Giả định'!$B$23+'Giả định'!$B$24</f>
        <v>78548739.4957983</v>
      </c>
      <c r="F216" s="25" t="n">
        <f aca="false">E216-D216</f>
        <v>-342495400.504202</v>
      </c>
      <c r="G216" s="25" t="n">
        <f aca="false">E216-C216</f>
        <v>-198890400.504202</v>
      </c>
      <c r="H216" s="7" t="str">
        <f aca="false">IF(F216&gt;=0,A216,"")</f>
        <v/>
      </c>
      <c r="I216" s="7" t="n">
        <f aca="false">IF(F216&lt;0,A216,0)</f>
        <v>211</v>
      </c>
      <c r="J216" s="7" t="str">
        <f aca="false">IF(G216&gt;=0,A216,"")</f>
        <v/>
      </c>
      <c r="K216" s="7" t="n">
        <f aca="false">IF(G216&lt;0,A216,0)</f>
        <v>211</v>
      </c>
    </row>
    <row r="217" customFormat="false" ht="15" hidden="false" customHeight="false" outlineLevel="0" collapsed="false">
      <c r="A217" s="7" t="n">
        <f aca="false">A216+1</f>
        <v>212</v>
      </c>
      <c r="B217" s="7" t="n">
        <f aca="false">MAX('Giả định'!$B$9,ROUNDUP(A217/'Giả định'!$B$7,0)+'Giả định'!$B$8)</f>
        <v>23</v>
      </c>
      <c r="C217" s="25" t="n">
        <f aca="false">('Chi phí'!$C$76+'Chi phí'!$D$76*B217+'Chi phí'!$E$76*A217+'Giả định'!$B$15*('Chi phí'!$F$76+'Chi phí'!$G$76*B217+'Chi phí'!$H$76*A217))*(1+'Giả định'!$B$16)</f>
        <v>277475880</v>
      </c>
      <c r="D217" s="25" t="n">
        <f aca="false">('Chi phí'!$C$77+'Chi phí'!$D$77*B217+'Chi phí'!$E$77*A217+'Giả định'!$B$15*('Chi phí'!$F$77+'Chi phí'!$G$77*B217+'Chi phí'!$H$77*A217))*(1+'Giả định'!$B$16)</f>
        <v>421080880</v>
      </c>
      <c r="E217" s="25" t="n">
        <f aca="false">A217/'Giả định'!$B$19*'Giả định'!$B$20+A217*'Giả định'!$B$23+'Giả định'!$B$24</f>
        <v>78921008.4033614</v>
      </c>
      <c r="F217" s="25" t="n">
        <f aca="false">E217-D217</f>
        <v>-342159871.596639</v>
      </c>
      <c r="G217" s="25" t="n">
        <f aca="false">E217-C217</f>
        <v>-198554871.596639</v>
      </c>
      <c r="H217" s="7" t="str">
        <f aca="false">IF(F217&gt;=0,A217,"")</f>
        <v/>
      </c>
      <c r="I217" s="7" t="n">
        <f aca="false">IF(F217&lt;0,A217,0)</f>
        <v>212</v>
      </c>
      <c r="J217" s="7" t="str">
        <f aca="false">IF(G217&gt;=0,A217,"")</f>
        <v/>
      </c>
      <c r="K217" s="7" t="n">
        <f aca="false">IF(G217&lt;0,A217,0)</f>
        <v>212</v>
      </c>
    </row>
    <row r="218" customFormat="false" ht="15" hidden="false" customHeight="false" outlineLevel="0" collapsed="false">
      <c r="A218" s="7" t="n">
        <f aca="false">A217+1</f>
        <v>213</v>
      </c>
      <c r="B218" s="7" t="n">
        <f aca="false">MAX('Giả định'!$B$9,ROUNDUP(A218/'Giả định'!$B$7,0)+'Giả định'!$B$8)</f>
        <v>23</v>
      </c>
      <c r="C218" s="25" t="n">
        <f aca="false">('Chi phí'!$C$76+'Chi phí'!$D$76*B218+'Chi phí'!$E$76*A218+'Giả định'!$B$15*('Chi phí'!$F$76+'Chi phí'!$G$76*B218+'Chi phí'!$H$76*A218))*(1+'Giả định'!$B$16)</f>
        <v>277512620</v>
      </c>
      <c r="D218" s="25" t="n">
        <f aca="false">('Chi phí'!$C$77+'Chi phí'!$D$77*B218+'Chi phí'!$E$77*A218+'Giả định'!$B$15*('Chi phí'!$F$77+'Chi phí'!$G$77*B218+'Chi phí'!$H$77*A218))*(1+'Giả định'!$B$16)</f>
        <v>421117620</v>
      </c>
      <c r="E218" s="25" t="n">
        <f aca="false">A218/'Giả định'!$B$19*'Giả định'!$B$20+A218*'Giả định'!$B$23+'Giả định'!$B$24</f>
        <v>79293277.3109244</v>
      </c>
      <c r="F218" s="25" t="n">
        <f aca="false">E218-D218</f>
        <v>-341824342.689076</v>
      </c>
      <c r="G218" s="25" t="n">
        <f aca="false">E218-C218</f>
        <v>-198219342.689076</v>
      </c>
      <c r="H218" s="7" t="str">
        <f aca="false">IF(F218&gt;=0,A218,"")</f>
        <v/>
      </c>
      <c r="I218" s="7" t="n">
        <f aca="false">IF(F218&lt;0,A218,0)</f>
        <v>213</v>
      </c>
      <c r="J218" s="7" t="str">
        <f aca="false">IF(G218&gt;=0,A218,"")</f>
        <v/>
      </c>
      <c r="K218" s="7" t="n">
        <f aca="false">IF(G218&lt;0,A218,0)</f>
        <v>213</v>
      </c>
    </row>
    <row r="219" customFormat="false" ht="15" hidden="false" customHeight="false" outlineLevel="0" collapsed="false">
      <c r="A219" s="7" t="n">
        <f aca="false">A218+1</f>
        <v>214</v>
      </c>
      <c r="B219" s="7" t="n">
        <f aca="false">MAX('Giả định'!$B$9,ROUNDUP(A219/'Giả định'!$B$7,0)+'Giả định'!$B$8)</f>
        <v>23</v>
      </c>
      <c r="C219" s="25" t="n">
        <f aca="false">('Chi phí'!$C$76+'Chi phí'!$D$76*B219+'Chi phí'!$E$76*A219+'Giả định'!$B$15*('Chi phí'!$F$76+'Chi phí'!$G$76*B219+'Chi phí'!$H$76*A219))*(1+'Giả định'!$B$16)</f>
        <v>277549360</v>
      </c>
      <c r="D219" s="25" t="n">
        <f aca="false">('Chi phí'!$C$77+'Chi phí'!$D$77*B219+'Chi phí'!$E$77*A219+'Giả định'!$B$15*('Chi phí'!$F$77+'Chi phí'!$G$77*B219+'Chi phí'!$H$77*A219))*(1+'Giả định'!$B$16)</f>
        <v>421154360</v>
      </c>
      <c r="E219" s="25" t="n">
        <f aca="false">A219/'Giả định'!$B$19*'Giả định'!$B$20+A219*'Giả định'!$B$23+'Giả định'!$B$24</f>
        <v>79665546.2184874</v>
      </c>
      <c r="F219" s="25" t="n">
        <f aca="false">E219-D219</f>
        <v>-341488813.781513</v>
      </c>
      <c r="G219" s="25" t="n">
        <f aca="false">E219-C219</f>
        <v>-197883813.781513</v>
      </c>
      <c r="H219" s="7" t="str">
        <f aca="false">IF(F219&gt;=0,A219,"")</f>
        <v/>
      </c>
      <c r="I219" s="7" t="n">
        <f aca="false">IF(F219&lt;0,A219,0)</f>
        <v>214</v>
      </c>
      <c r="J219" s="7" t="str">
        <f aca="false">IF(G219&gt;=0,A219,"")</f>
        <v/>
      </c>
      <c r="K219" s="7" t="n">
        <f aca="false">IF(G219&lt;0,A219,0)</f>
        <v>214</v>
      </c>
    </row>
    <row r="220" customFormat="false" ht="15" hidden="false" customHeight="false" outlineLevel="0" collapsed="false">
      <c r="A220" s="7" t="n">
        <f aca="false">A219+1</f>
        <v>215</v>
      </c>
      <c r="B220" s="7" t="n">
        <f aca="false">MAX('Giả định'!$B$9,ROUNDUP(A220/'Giả định'!$B$7,0)+'Giả định'!$B$8)</f>
        <v>23</v>
      </c>
      <c r="C220" s="25" t="n">
        <f aca="false">('Chi phí'!$C$76+'Chi phí'!$D$76*B220+'Chi phí'!$E$76*A220+'Giả định'!$B$15*('Chi phí'!$F$76+'Chi phí'!$G$76*B220+'Chi phí'!$H$76*A220))*(1+'Giả định'!$B$16)</f>
        <v>277586100</v>
      </c>
      <c r="D220" s="25" t="n">
        <f aca="false">('Chi phí'!$C$77+'Chi phí'!$D$77*B220+'Chi phí'!$E$77*A220+'Giả định'!$B$15*('Chi phí'!$F$77+'Chi phí'!$G$77*B220+'Chi phí'!$H$77*A220))*(1+'Giả định'!$B$16)</f>
        <v>421191100</v>
      </c>
      <c r="E220" s="25" t="n">
        <f aca="false">A220/'Giả định'!$B$19*'Giả định'!$B$20+A220*'Giả định'!$B$23+'Giả định'!$B$24</f>
        <v>80037815.1260504</v>
      </c>
      <c r="F220" s="25" t="n">
        <f aca="false">E220-D220</f>
        <v>-341153284.87395</v>
      </c>
      <c r="G220" s="25" t="n">
        <f aca="false">E220-C220</f>
        <v>-197548284.87395</v>
      </c>
      <c r="H220" s="7" t="str">
        <f aca="false">IF(F220&gt;=0,A220,"")</f>
        <v/>
      </c>
      <c r="I220" s="7" t="n">
        <f aca="false">IF(F220&lt;0,A220,0)</f>
        <v>215</v>
      </c>
      <c r="J220" s="7" t="str">
        <f aca="false">IF(G220&gt;=0,A220,"")</f>
        <v/>
      </c>
      <c r="K220" s="7" t="n">
        <f aca="false">IF(G220&lt;0,A220,0)</f>
        <v>215</v>
      </c>
    </row>
    <row r="221" customFormat="false" ht="15" hidden="false" customHeight="false" outlineLevel="0" collapsed="false">
      <c r="A221" s="7" t="n">
        <f aca="false">A220+1</f>
        <v>216</v>
      </c>
      <c r="B221" s="7" t="n">
        <f aca="false">MAX('Giả định'!$B$9,ROUNDUP(A221/'Giả định'!$B$7,0)+'Giả định'!$B$8)</f>
        <v>23</v>
      </c>
      <c r="C221" s="25" t="n">
        <f aca="false">('Chi phí'!$C$76+'Chi phí'!$D$76*B221+'Chi phí'!$E$76*A221+'Giả định'!$B$15*('Chi phí'!$F$76+'Chi phí'!$G$76*B221+'Chi phí'!$H$76*A221))*(1+'Giả định'!$B$16)</f>
        <v>277622840</v>
      </c>
      <c r="D221" s="25" t="n">
        <f aca="false">('Chi phí'!$C$77+'Chi phí'!$D$77*B221+'Chi phí'!$E$77*A221+'Giả định'!$B$15*('Chi phí'!$F$77+'Chi phí'!$G$77*B221+'Chi phí'!$H$77*A221))*(1+'Giả định'!$B$16)</f>
        <v>421227840</v>
      </c>
      <c r="E221" s="25" t="n">
        <f aca="false">A221/'Giả định'!$B$19*'Giả định'!$B$20+A221*'Giả định'!$B$23+'Giả định'!$B$24</f>
        <v>80410084.0336135</v>
      </c>
      <c r="F221" s="25" t="n">
        <f aca="false">E221-D221</f>
        <v>-340817755.966387</v>
      </c>
      <c r="G221" s="25" t="n">
        <f aca="false">E221-C221</f>
        <v>-197212755.966387</v>
      </c>
      <c r="H221" s="7" t="str">
        <f aca="false">IF(F221&gt;=0,A221,"")</f>
        <v/>
      </c>
      <c r="I221" s="7" t="n">
        <f aca="false">IF(F221&lt;0,A221,0)</f>
        <v>216</v>
      </c>
      <c r="J221" s="7" t="str">
        <f aca="false">IF(G221&gt;=0,A221,"")</f>
        <v/>
      </c>
      <c r="K221" s="7" t="n">
        <f aca="false">IF(G221&lt;0,A221,0)</f>
        <v>216</v>
      </c>
    </row>
    <row r="222" customFormat="false" ht="15" hidden="false" customHeight="false" outlineLevel="0" collapsed="false">
      <c r="A222" s="7" t="n">
        <f aca="false">A221+1</f>
        <v>217</v>
      </c>
      <c r="B222" s="7" t="n">
        <f aca="false">MAX('Giả định'!$B$9,ROUNDUP(A222/'Giả định'!$B$7,0)+'Giả định'!$B$8)</f>
        <v>23</v>
      </c>
      <c r="C222" s="25" t="n">
        <f aca="false">('Chi phí'!$C$76+'Chi phí'!$D$76*B222+'Chi phí'!$E$76*A222+'Giả định'!$B$15*('Chi phí'!$F$76+'Chi phí'!$G$76*B222+'Chi phí'!$H$76*A222))*(1+'Giả định'!$B$16)</f>
        <v>277659580</v>
      </c>
      <c r="D222" s="25" t="n">
        <f aca="false">('Chi phí'!$C$77+'Chi phí'!$D$77*B222+'Chi phí'!$E$77*A222+'Giả định'!$B$15*('Chi phí'!$F$77+'Chi phí'!$G$77*B222+'Chi phí'!$H$77*A222))*(1+'Giả định'!$B$16)</f>
        <v>421264580</v>
      </c>
      <c r="E222" s="25" t="n">
        <f aca="false">A222/'Giả định'!$B$19*'Giả định'!$B$20+A222*'Giả định'!$B$23+'Giả định'!$B$24</f>
        <v>80782352.9411765</v>
      </c>
      <c r="F222" s="25" t="n">
        <f aca="false">E222-D222</f>
        <v>-340482227.058824</v>
      </c>
      <c r="G222" s="25" t="n">
        <f aca="false">E222-C222</f>
        <v>-196877227.058824</v>
      </c>
      <c r="H222" s="7" t="str">
        <f aca="false">IF(F222&gt;=0,A222,"")</f>
        <v/>
      </c>
      <c r="I222" s="7" t="n">
        <f aca="false">IF(F222&lt;0,A222,0)</f>
        <v>217</v>
      </c>
      <c r="J222" s="7" t="str">
        <f aca="false">IF(G222&gt;=0,A222,"")</f>
        <v/>
      </c>
      <c r="K222" s="7" t="n">
        <f aca="false">IF(G222&lt;0,A222,0)</f>
        <v>217</v>
      </c>
    </row>
    <row r="223" customFormat="false" ht="15" hidden="false" customHeight="false" outlineLevel="0" collapsed="false">
      <c r="A223" s="7" t="n">
        <f aca="false">A222+1</f>
        <v>218</v>
      </c>
      <c r="B223" s="7" t="n">
        <f aca="false">MAX('Giả định'!$B$9,ROUNDUP(A223/'Giả định'!$B$7,0)+'Giả định'!$B$8)</f>
        <v>23</v>
      </c>
      <c r="C223" s="25" t="n">
        <f aca="false">('Chi phí'!$C$76+'Chi phí'!$D$76*B223+'Chi phí'!$E$76*A223+'Giả định'!$B$15*('Chi phí'!$F$76+'Chi phí'!$G$76*B223+'Chi phí'!$H$76*A223))*(1+'Giả định'!$B$16)</f>
        <v>277696320</v>
      </c>
      <c r="D223" s="25" t="n">
        <f aca="false">('Chi phí'!$C$77+'Chi phí'!$D$77*B223+'Chi phí'!$E$77*A223+'Giả định'!$B$15*('Chi phí'!$F$77+'Chi phí'!$G$77*B223+'Chi phí'!$H$77*A223))*(1+'Giả định'!$B$16)</f>
        <v>421301320</v>
      </c>
      <c r="E223" s="25" t="n">
        <f aca="false">A223/'Giả định'!$B$19*'Giả định'!$B$20+A223*'Giả định'!$B$23+'Giả định'!$B$24</f>
        <v>81154621.8487395</v>
      </c>
      <c r="F223" s="25" t="n">
        <f aca="false">E223-D223</f>
        <v>-340146698.151261</v>
      </c>
      <c r="G223" s="25" t="n">
        <f aca="false">E223-C223</f>
        <v>-196541698.151261</v>
      </c>
      <c r="H223" s="7" t="str">
        <f aca="false">IF(F223&gt;=0,A223,"")</f>
        <v/>
      </c>
      <c r="I223" s="7" t="n">
        <f aca="false">IF(F223&lt;0,A223,0)</f>
        <v>218</v>
      </c>
      <c r="J223" s="7" t="str">
        <f aca="false">IF(G223&gt;=0,A223,"")</f>
        <v/>
      </c>
      <c r="K223" s="7" t="n">
        <f aca="false">IF(G223&lt;0,A223,0)</f>
        <v>218</v>
      </c>
    </row>
    <row r="224" customFormat="false" ht="15" hidden="false" customHeight="false" outlineLevel="0" collapsed="false">
      <c r="A224" s="7" t="n">
        <f aca="false">A223+1</f>
        <v>219</v>
      </c>
      <c r="B224" s="7" t="n">
        <f aca="false">MAX('Giả định'!$B$9,ROUNDUP(A224/'Giả định'!$B$7,0)+'Giả định'!$B$8)</f>
        <v>23</v>
      </c>
      <c r="C224" s="25" t="n">
        <f aca="false">('Chi phí'!$C$76+'Chi phí'!$D$76*B224+'Chi phí'!$E$76*A224+'Giả định'!$B$15*('Chi phí'!$F$76+'Chi phí'!$G$76*B224+'Chi phí'!$H$76*A224))*(1+'Giả định'!$B$16)</f>
        <v>277733060</v>
      </c>
      <c r="D224" s="25" t="n">
        <f aca="false">('Chi phí'!$C$77+'Chi phí'!$D$77*B224+'Chi phí'!$E$77*A224+'Giả định'!$B$15*('Chi phí'!$F$77+'Chi phí'!$G$77*B224+'Chi phí'!$H$77*A224))*(1+'Giả định'!$B$16)</f>
        <v>421338060</v>
      </c>
      <c r="E224" s="25" t="n">
        <f aca="false">A224/'Giả định'!$B$19*'Giả định'!$B$20+A224*'Giả định'!$B$23+'Giả định'!$B$24</f>
        <v>81526890.7563025</v>
      </c>
      <c r="F224" s="25" t="n">
        <f aca="false">E224-D224</f>
        <v>-339811169.243698</v>
      </c>
      <c r="G224" s="25" t="n">
        <f aca="false">E224-C224</f>
        <v>-196206169.243697</v>
      </c>
      <c r="H224" s="7" t="str">
        <f aca="false">IF(F224&gt;=0,A224,"")</f>
        <v/>
      </c>
      <c r="I224" s="7" t="n">
        <f aca="false">IF(F224&lt;0,A224,0)</f>
        <v>219</v>
      </c>
      <c r="J224" s="7" t="str">
        <f aca="false">IF(G224&gt;=0,A224,"")</f>
        <v/>
      </c>
      <c r="K224" s="7" t="n">
        <f aca="false">IF(G224&lt;0,A224,0)</f>
        <v>219</v>
      </c>
    </row>
    <row r="225" customFormat="false" ht="15" hidden="false" customHeight="false" outlineLevel="0" collapsed="false">
      <c r="A225" s="7" t="n">
        <f aca="false">A224+1</f>
        <v>220</v>
      </c>
      <c r="B225" s="7" t="n">
        <f aca="false">MAX('Giả định'!$B$9,ROUNDUP(A225/'Giả định'!$B$7,0)+'Giả định'!$B$8)</f>
        <v>23</v>
      </c>
      <c r="C225" s="25" t="n">
        <f aca="false">('Chi phí'!$C$76+'Chi phí'!$D$76*B225+'Chi phí'!$E$76*A225+'Giả định'!$B$15*('Chi phí'!$F$76+'Chi phí'!$G$76*B225+'Chi phí'!$H$76*A225))*(1+'Giả định'!$B$16)</f>
        <v>277769800</v>
      </c>
      <c r="D225" s="25" t="n">
        <f aca="false">('Chi phí'!$C$77+'Chi phí'!$D$77*B225+'Chi phí'!$E$77*A225+'Giả định'!$B$15*('Chi phí'!$F$77+'Chi phí'!$G$77*B225+'Chi phí'!$H$77*A225))*(1+'Giả định'!$B$16)</f>
        <v>421374800</v>
      </c>
      <c r="E225" s="25" t="n">
        <f aca="false">A225/'Giả định'!$B$19*'Giả định'!$B$20+A225*'Giả định'!$B$23+'Giả định'!$B$24</f>
        <v>81899159.6638655</v>
      </c>
      <c r="F225" s="25" t="n">
        <f aca="false">E225-D225</f>
        <v>-339475640.336135</v>
      </c>
      <c r="G225" s="25" t="n">
        <f aca="false">E225-C225</f>
        <v>-195870640.336134</v>
      </c>
      <c r="H225" s="7" t="str">
        <f aca="false">IF(F225&gt;=0,A225,"")</f>
        <v/>
      </c>
      <c r="I225" s="7" t="n">
        <f aca="false">IF(F225&lt;0,A225,0)</f>
        <v>220</v>
      </c>
      <c r="J225" s="7" t="str">
        <f aca="false">IF(G225&gt;=0,A225,"")</f>
        <v/>
      </c>
      <c r="K225" s="7" t="n">
        <f aca="false">IF(G225&lt;0,A225,0)</f>
        <v>220</v>
      </c>
    </row>
    <row r="226" customFormat="false" ht="15" hidden="false" customHeight="false" outlineLevel="0" collapsed="false">
      <c r="A226" s="7" t="n">
        <f aca="false">A225+1</f>
        <v>221</v>
      </c>
      <c r="B226" s="7" t="n">
        <f aca="false">MAX('Giả định'!$B$9,ROUNDUP(A226/'Giả định'!$B$7,0)+'Giả định'!$B$8)</f>
        <v>24</v>
      </c>
      <c r="C226" s="25" t="n">
        <f aca="false">('Chi phí'!$C$76+'Chi phí'!$D$76*B226+'Chi phí'!$E$76*A226+'Giả định'!$B$15*('Chi phí'!$F$76+'Chi phí'!$G$76*B226+'Chi phí'!$H$76*A226))*(1+'Giả định'!$B$16)</f>
        <v>286980540</v>
      </c>
      <c r="D226" s="25" t="n">
        <f aca="false">('Chi phí'!$C$77+'Chi phí'!$D$77*B226+'Chi phí'!$E$77*A226+'Giả định'!$B$15*('Chi phí'!$F$77+'Chi phí'!$G$77*B226+'Chi phí'!$H$77*A226))*(1+'Giả định'!$B$16)</f>
        <v>430585540</v>
      </c>
      <c r="E226" s="25" t="n">
        <f aca="false">A226/'Giả định'!$B$19*'Giả định'!$B$20+A226*'Giả định'!$B$23+'Giả định'!$B$24</f>
        <v>82271428.5714286</v>
      </c>
      <c r="F226" s="25" t="n">
        <f aca="false">E226-D226</f>
        <v>-348314111.428571</v>
      </c>
      <c r="G226" s="25" t="n">
        <f aca="false">E226-C226</f>
        <v>-204709111.428571</v>
      </c>
      <c r="H226" s="7" t="str">
        <f aca="false">IF(F226&gt;=0,A226,"")</f>
        <v/>
      </c>
      <c r="I226" s="7" t="n">
        <f aca="false">IF(F226&lt;0,A226,0)</f>
        <v>221</v>
      </c>
      <c r="J226" s="7" t="str">
        <f aca="false">IF(G226&gt;=0,A226,"")</f>
        <v/>
      </c>
      <c r="K226" s="7" t="n">
        <f aca="false">IF(G226&lt;0,A226,0)</f>
        <v>221</v>
      </c>
    </row>
    <row r="227" customFormat="false" ht="15" hidden="false" customHeight="false" outlineLevel="0" collapsed="false">
      <c r="A227" s="7" t="n">
        <f aca="false">A226+1</f>
        <v>222</v>
      </c>
      <c r="B227" s="7" t="n">
        <f aca="false">MAX('Giả định'!$B$9,ROUNDUP(A227/'Giả định'!$B$7,0)+'Giả định'!$B$8)</f>
        <v>24</v>
      </c>
      <c r="C227" s="25" t="n">
        <f aca="false">('Chi phí'!$C$76+'Chi phí'!$D$76*B227+'Chi phí'!$E$76*A227+'Giả định'!$B$15*('Chi phí'!$F$76+'Chi phí'!$G$76*B227+'Chi phí'!$H$76*A227))*(1+'Giả định'!$B$16)</f>
        <v>287017280</v>
      </c>
      <c r="D227" s="25" t="n">
        <f aca="false">('Chi phí'!$C$77+'Chi phí'!$D$77*B227+'Chi phí'!$E$77*A227+'Giả định'!$B$15*('Chi phí'!$F$77+'Chi phí'!$G$77*B227+'Chi phí'!$H$77*A227))*(1+'Giả định'!$B$16)</f>
        <v>430622280</v>
      </c>
      <c r="E227" s="25" t="n">
        <f aca="false">A227/'Giả định'!$B$19*'Giả định'!$B$20+A227*'Giả định'!$B$23+'Giả định'!$B$24</f>
        <v>82643697.4789916</v>
      </c>
      <c r="F227" s="25" t="n">
        <f aca="false">E227-D227</f>
        <v>-347978582.521008</v>
      </c>
      <c r="G227" s="25" t="n">
        <f aca="false">E227-C227</f>
        <v>-204373582.521008</v>
      </c>
      <c r="H227" s="7" t="str">
        <f aca="false">IF(F227&gt;=0,A227,"")</f>
        <v/>
      </c>
      <c r="I227" s="7" t="n">
        <f aca="false">IF(F227&lt;0,A227,0)</f>
        <v>222</v>
      </c>
      <c r="J227" s="7" t="str">
        <f aca="false">IF(G227&gt;=0,A227,"")</f>
        <v/>
      </c>
      <c r="K227" s="7" t="n">
        <f aca="false">IF(G227&lt;0,A227,0)</f>
        <v>222</v>
      </c>
    </row>
    <row r="228" customFormat="false" ht="15" hidden="false" customHeight="false" outlineLevel="0" collapsed="false">
      <c r="A228" s="7" t="n">
        <f aca="false">A227+1</f>
        <v>223</v>
      </c>
      <c r="B228" s="7" t="n">
        <f aca="false">MAX('Giả định'!$B$9,ROUNDUP(A228/'Giả định'!$B$7,0)+'Giả định'!$B$8)</f>
        <v>24</v>
      </c>
      <c r="C228" s="25" t="n">
        <f aca="false">('Chi phí'!$C$76+'Chi phí'!$D$76*B228+'Chi phí'!$E$76*A228+'Giả định'!$B$15*('Chi phí'!$F$76+'Chi phí'!$G$76*B228+'Chi phí'!$H$76*A228))*(1+'Giả định'!$B$16)</f>
        <v>287054020</v>
      </c>
      <c r="D228" s="25" t="n">
        <f aca="false">('Chi phí'!$C$77+'Chi phí'!$D$77*B228+'Chi phí'!$E$77*A228+'Giả định'!$B$15*('Chi phí'!$F$77+'Chi phí'!$G$77*B228+'Chi phí'!$H$77*A228))*(1+'Giả định'!$B$16)</f>
        <v>430659020</v>
      </c>
      <c r="E228" s="25" t="n">
        <f aca="false">A228/'Giả định'!$B$19*'Giả định'!$B$20+A228*'Giả định'!$B$23+'Giả định'!$B$24</f>
        <v>83015966.3865546</v>
      </c>
      <c r="F228" s="25" t="n">
        <f aca="false">E228-D228</f>
        <v>-347643053.613445</v>
      </c>
      <c r="G228" s="25" t="n">
        <f aca="false">E228-C228</f>
        <v>-204038053.613445</v>
      </c>
      <c r="H228" s="7" t="str">
        <f aca="false">IF(F228&gt;=0,A228,"")</f>
        <v/>
      </c>
      <c r="I228" s="7" t="n">
        <f aca="false">IF(F228&lt;0,A228,0)</f>
        <v>223</v>
      </c>
      <c r="J228" s="7" t="str">
        <f aca="false">IF(G228&gt;=0,A228,"")</f>
        <v/>
      </c>
      <c r="K228" s="7" t="n">
        <f aca="false">IF(G228&lt;0,A228,0)</f>
        <v>223</v>
      </c>
    </row>
    <row r="229" customFormat="false" ht="15" hidden="false" customHeight="false" outlineLevel="0" collapsed="false">
      <c r="A229" s="7" t="n">
        <f aca="false">A228+1</f>
        <v>224</v>
      </c>
      <c r="B229" s="7" t="n">
        <f aca="false">MAX('Giả định'!$B$9,ROUNDUP(A229/'Giả định'!$B$7,0)+'Giả định'!$B$8)</f>
        <v>24</v>
      </c>
      <c r="C229" s="25" t="n">
        <f aca="false">('Chi phí'!$C$76+'Chi phí'!$D$76*B229+'Chi phí'!$E$76*A229+'Giả định'!$B$15*('Chi phí'!$F$76+'Chi phí'!$G$76*B229+'Chi phí'!$H$76*A229))*(1+'Giả định'!$B$16)</f>
        <v>287090760</v>
      </c>
      <c r="D229" s="25" t="n">
        <f aca="false">('Chi phí'!$C$77+'Chi phí'!$D$77*B229+'Chi phí'!$E$77*A229+'Giả định'!$B$15*('Chi phí'!$F$77+'Chi phí'!$G$77*B229+'Chi phí'!$H$77*A229))*(1+'Giả định'!$B$16)</f>
        <v>430695760</v>
      </c>
      <c r="E229" s="25" t="n">
        <f aca="false">A229/'Giả định'!$B$19*'Giả định'!$B$20+A229*'Giả định'!$B$23+'Giả định'!$B$24</f>
        <v>83388235.2941176</v>
      </c>
      <c r="F229" s="25" t="n">
        <f aca="false">E229-D229</f>
        <v>-347307524.705882</v>
      </c>
      <c r="G229" s="25" t="n">
        <f aca="false">E229-C229</f>
        <v>-203702524.705882</v>
      </c>
      <c r="H229" s="7" t="str">
        <f aca="false">IF(F229&gt;=0,A229,"")</f>
        <v/>
      </c>
      <c r="I229" s="7" t="n">
        <f aca="false">IF(F229&lt;0,A229,0)</f>
        <v>224</v>
      </c>
      <c r="J229" s="7" t="str">
        <f aca="false">IF(G229&gt;=0,A229,"")</f>
        <v/>
      </c>
      <c r="K229" s="7" t="n">
        <f aca="false">IF(G229&lt;0,A229,0)</f>
        <v>224</v>
      </c>
    </row>
    <row r="230" customFormat="false" ht="15" hidden="false" customHeight="false" outlineLevel="0" collapsed="false">
      <c r="A230" s="7" t="n">
        <f aca="false">A229+1</f>
        <v>225</v>
      </c>
      <c r="B230" s="7" t="n">
        <f aca="false">MAX('Giả định'!$B$9,ROUNDUP(A230/'Giả định'!$B$7,0)+'Giả định'!$B$8)</f>
        <v>24</v>
      </c>
      <c r="C230" s="25" t="n">
        <f aca="false">('Chi phí'!$C$76+'Chi phí'!$D$76*B230+'Chi phí'!$E$76*A230+'Giả định'!$B$15*('Chi phí'!$F$76+'Chi phí'!$G$76*B230+'Chi phí'!$H$76*A230))*(1+'Giả định'!$B$16)</f>
        <v>287127500</v>
      </c>
      <c r="D230" s="25" t="n">
        <f aca="false">('Chi phí'!$C$77+'Chi phí'!$D$77*B230+'Chi phí'!$E$77*A230+'Giả định'!$B$15*('Chi phí'!$F$77+'Chi phí'!$G$77*B230+'Chi phí'!$H$77*A230))*(1+'Giả định'!$B$16)</f>
        <v>430732500</v>
      </c>
      <c r="E230" s="25" t="n">
        <f aca="false">A230/'Giả định'!$B$19*'Giả định'!$B$20+A230*'Giả định'!$B$23+'Giả định'!$B$24</f>
        <v>83760504.2016807</v>
      </c>
      <c r="F230" s="25" t="n">
        <f aca="false">E230-D230</f>
        <v>-346971995.798319</v>
      </c>
      <c r="G230" s="25" t="n">
        <f aca="false">E230-C230</f>
        <v>-203366995.798319</v>
      </c>
      <c r="H230" s="7" t="str">
        <f aca="false">IF(F230&gt;=0,A230,"")</f>
        <v/>
      </c>
      <c r="I230" s="7" t="n">
        <f aca="false">IF(F230&lt;0,A230,0)</f>
        <v>225</v>
      </c>
      <c r="J230" s="7" t="str">
        <f aca="false">IF(G230&gt;=0,A230,"")</f>
        <v/>
      </c>
      <c r="K230" s="7" t="n">
        <f aca="false">IF(G230&lt;0,A230,0)</f>
        <v>225</v>
      </c>
    </row>
    <row r="231" customFormat="false" ht="15" hidden="false" customHeight="false" outlineLevel="0" collapsed="false">
      <c r="A231" s="7" t="n">
        <f aca="false">A230+1</f>
        <v>226</v>
      </c>
      <c r="B231" s="7" t="n">
        <f aca="false">MAX('Giả định'!$B$9,ROUNDUP(A231/'Giả định'!$B$7,0)+'Giả định'!$B$8)</f>
        <v>24</v>
      </c>
      <c r="C231" s="25" t="n">
        <f aca="false">('Chi phí'!$C$76+'Chi phí'!$D$76*B231+'Chi phí'!$E$76*A231+'Giả định'!$B$15*('Chi phí'!$F$76+'Chi phí'!$G$76*B231+'Chi phí'!$H$76*A231))*(1+'Giả định'!$B$16)</f>
        <v>287164240</v>
      </c>
      <c r="D231" s="25" t="n">
        <f aca="false">('Chi phí'!$C$77+'Chi phí'!$D$77*B231+'Chi phí'!$E$77*A231+'Giả định'!$B$15*('Chi phí'!$F$77+'Chi phí'!$G$77*B231+'Chi phí'!$H$77*A231))*(1+'Giả định'!$B$16)</f>
        <v>430769240</v>
      </c>
      <c r="E231" s="25" t="n">
        <f aca="false">A231/'Giả định'!$B$19*'Giả định'!$B$20+A231*'Giả định'!$B$23+'Giả định'!$B$24</f>
        <v>84132773.1092437</v>
      </c>
      <c r="F231" s="25" t="n">
        <f aca="false">E231-D231</f>
        <v>-346636466.890756</v>
      </c>
      <c r="G231" s="25" t="n">
        <f aca="false">E231-C231</f>
        <v>-203031466.890756</v>
      </c>
      <c r="H231" s="7" t="str">
        <f aca="false">IF(F231&gt;=0,A231,"")</f>
        <v/>
      </c>
      <c r="I231" s="7" t="n">
        <f aca="false">IF(F231&lt;0,A231,0)</f>
        <v>226</v>
      </c>
      <c r="J231" s="7" t="str">
        <f aca="false">IF(G231&gt;=0,A231,"")</f>
        <v/>
      </c>
      <c r="K231" s="7" t="n">
        <f aca="false">IF(G231&lt;0,A231,0)</f>
        <v>226</v>
      </c>
    </row>
    <row r="232" customFormat="false" ht="15" hidden="false" customHeight="false" outlineLevel="0" collapsed="false">
      <c r="A232" s="7" t="n">
        <f aca="false">A231+1</f>
        <v>227</v>
      </c>
      <c r="B232" s="7" t="n">
        <f aca="false">MAX('Giả định'!$B$9,ROUNDUP(A232/'Giả định'!$B$7,0)+'Giả định'!$B$8)</f>
        <v>24</v>
      </c>
      <c r="C232" s="25" t="n">
        <f aca="false">('Chi phí'!$C$76+'Chi phí'!$D$76*B232+'Chi phí'!$E$76*A232+'Giả định'!$B$15*('Chi phí'!$F$76+'Chi phí'!$G$76*B232+'Chi phí'!$H$76*A232))*(1+'Giả định'!$B$16)</f>
        <v>287200980</v>
      </c>
      <c r="D232" s="25" t="n">
        <f aca="false">('Chi phí'!$C$77+'Chi phí'!$D$77*B232+'Chi phí'!$E$77*A232+'Giả định'!$B$15*('Chi phí'!$F$77+'Chi phí'!$G$77*B232+'Chi phí'!$H$77*A232))*(1+'Giả định'!$B$16)</f>
        <v>430805980</v>
      </c>
      <c r="E232" s="25" t="n">
        <f aca="false">A232/'Giả định'!$B$19*'Giả định'!$B$20+A232*'Giả định'!$B$23+'Giả định'!$B$24</f>
        <v>84505042.0168067</v>
      </c>
      <c r="F232" s="25" t="n">
        <f aca="false">E232-D232</f>
        <v>-346300937.983193</v>
      </c>
      <c r="G232" s="25" t="n">
        <f aca="false">E232-C232</f>
        <v>-202695937.983193</v>
      </c>
      <c r="H232" s="7" t="str">
        <f aca="false">IF(F232&gt;=0,A232,"")</f>
        <v/>
      </c>
      <c r="I232" s="7" t="n">
        <f aca="false">IF(F232&lt;0,A232,0)</f>
        <v>227</v>
      </c>
      <c r="J232" s="7" t="str">
        <f aca="false">IF(G232&gt;=0,A232,"")</f>
        <v/>
      </c>
      <c r="K232" s="7" t="n">
        <f aca="false">IF(G232&lt;0,A232,0)</f>
        <v>227</v>
      </c>
    </row>
    <row r="233" customFormat="false" ht="15" hidden="false" customHeight="false" outlineLevel="0" collapsed="false">
      <c r="A233" s="7" t="n">
        <f aca="false">A232+1</f>
        <v>228</v>
      </c>
      <c r="B233" s="7" t="n">
        <f aca="false">MAX('Giả định'!$B$9,ROUNDUP(A233/'Giả định'!$B$7,0)+'Giả định'!$B$8)</f>
        <v>24</v>
      </c>
      <c r="C233" s="25" t="n">
        <f aca="false">('Chi phí'!$C$76+'Chi phí'!$D$76*B233+'Chi phí'!$E$76*A233+'Giả định'!$B$15*('Chi phí'!$F$76+'Chi phí'!$G$76*B233+'Chi phí'!$H$76*A233))*(1+'Giả định'!$B$16)</f>
        <v>287237720</v>
      </c>
      <c r="D233" s="25" t="n">
        <f aca="false">('Chi phí'!$C$77+'Chi phí'!$D$77*B233+'Chi phí'!$E$77*A233+'Giả định'!$B$15*('Chi phí'!$F$77+'Chi phí'!$G$77*B233+'Chi phí'!$H$77*A233))*(1+'Giả định'!$B$16)</f>
        <v>430842720</v>
      </c>
      <c r="E233" s="25" t="n">
        <f aca="false">A233/'Giả định'!$B$19*'Giả định'!$B$20+A233*'Giả định'!$B$23+'Giả định'!$B$24</f>
        <v>84877310.9243698</v>
      </c>
      <c r="F233" s="25" t="n">
        <f aca="false">E233-D233</f>
        <v>-345965409.07563</v>
      </c>
      <c r="G233" s="25" t="n">
        <f aca="false">E233-C233</f>
        <v>-202360409.07563</v>
      </c>
      <c r="H233" s="7" t="str">
        <f aca="false">IF(F233&gt;=0,A233,"")</f>
        <v/>
      </c>
      <c r="I233" s="7" t="n">
        <f aca="false">IF(F233&lt;0,A233,0)</f>
        <v>228</v>
      </c>
      <c r="J233" s="7" t="str">
        <f aca="false">IF(G233&gt;=0,A233,"")</f>
        <v/>
      </c>
      <c r="K233" s="7" t="n">
        <f aca="false">IF(G233&lt;0,A233,0)</f>
        <v>228</v>
      </c>
    </row>
    <row r="234" customFormat="false" ht="15" hidden="false" customHeight="false" outlineLevel="0" collapsed="false">
      <c r="A234" s="7" t="n">
        <f aca="false">A233+1</f>
        <v>229</v>
      </c>
      <c r="B234" s="7" t="n">
        <f aca="false">MAX('Giả định'!$B$9,ROUNDUP(A234/'Giả định'!$B$7,0)+'Giả định'!$B$8)</f>
        <v>24</v>
      </c>
      <c r="C234" s="25" t="n">
        <f aca="false">('Chi phí'!$C$76+'Chi phí'!$D$76*B234+'Chi phí'!$E$76*A234+'Giả định'!$B$15*('Chi phí'!$F$76+'Chi phí'!$G$76*B234+'Chi phí'!$H$76*A234))*(1+'Giả định'!$B$16)</f>
        <v>287274460</v>
      </c>
      <c r="D234" s="25" t="n">
        <f aca="false">('Chi phí'!$C$77+'Chi phí'!$D$77*B234+'Chi phí'!$E$77*A234+'Giả định'!$B$15*('Chi phí'!$F$77+'Chi phí'!$G$77*B234+'Chi phí'!$H$77*A234))*(1+'Giả định'!$B$16)</f>
        <v>430879460</v>
      </c>
      <c r="E234" s="25" t="n">
        <f aca="false">A234/'Giả định'!$B$19*'Giả định'!$B$20+A234*'Giả định'!$B$23+'Giả định'!$B$24</f>
        <v>85249579.8319328</v>
      </c>
      <c r="F234" s="25" t="n">
        <f aca="false">E234-D234</f>
        <v>-345629880.168067</v>
      </c>
      <c r="G234" s="25" t="n">
        <f aca="false">E234-C234</f>
        <v>-202024880.168067</v>
      </c>
      <c r="H234" s="7" t="str">
        <f aca="false">IF(F234&gt;=0,A234,"")</f>
        <v/>
      </c>
      <c r="I234" s="7" t="n">
        <f aca="false">IF(F234&lt;0,A234,0)</f>
        <v>229</v>
      </c>
      <c r="J234" s="7" t="str">
        <f aca="false">IF(G234&gt;=0,A234,"")</f>
        <v/>
      </c>
      <c r="K234" s="7" t="n">
        <f aca="false">IF(G234&lt;0,A234,0)</f>
        <v>229</v>
      </c>
    </row>
    <row r="235" customFormat="false" ht="15" hidden="false" customHeight="false" outlineLevel="0" collapsed="false">
      <c r="A235" s="7" t="n">
        <f aca="false">A234+1</f>
        <v>230</v>
      </c>
      <c r="B235" s="7" t="n">
        <f aca="false">MAX('Giả định'!$B$9,ROUNDUP(A235/'Giả định'!$B$7,0)+'Giả định'!$B$8)</f>
        <v>24</v>
      </c>
      <c r="C235" s="25" t="n">
        <f aca="false">('Chi phí'!$C$76+'Chi phí'!$D$76*B235+'Chi phí'!$E$76*A235+'Giả định'!$B$15*('Chi phí'!$F$76+'Chi phí'!$G$76*B235+'Chi phí'!$H$76*A235))*(1+'Giả định'!$B$16)</f>
        <v>287311200</v>
      </c>
      <c r="D235" s="25" t="n">
        <f aca="false">('Chi phí'!$C$77+'Chi phí'!$D$77*B235+'Chi phí'!$E$77*A235+'Giả định'!$B$15*('Chi phí'!$F$77+'Chi phí'!$G$77*B235+'Chi phí'!$H$77*A235))*(1+'Giả định'!$B$16)</f>
        <v>430916200</v>
      </c>
      <c r="E235" s="25" t="n">
        <f aca="false">A235/'Giả định'!$B$19*'Giả định'!$B$20+A235*'Giả định'!$B$23+'Giả định'!$B$24</f>
        <v>85621848.7394958</v>
      </c>
      <c r="F235" s="25" t="n">
        <f aca="false">E235-D235</f>
        <v>-345294351.260504</v>
      </c>
      <c r="G235" s="25" t="n">
        <f aca="false">E235-C235</f>
        <v>-201689351.260504</v>
      </c>
      <c r="H235" s="7" t="str">
        <f aca="false">IF(F235&gt;=0,A235,"")</f>
        <v/>
      </c>
      <c r="I235" s="7" t="n">
        <f aca="false">IF(F235&lt;0,A235,0)</f>
        <v>230</v>
      </c>
      <c r="J235" s="7" t="str">
        <f aca="false">IF(G235&gt;=0,A235,"")</f>
        <v/>
      </c>
      <c r="K235" s="7" t="n">
        <f aca="false">IF(G235&lt;0,A235,0)</f>
        <v>230</v>
      </c>
    </row>
    <row r="236" customFormat="false" ht="15" hidden="false" customHeight="false" outlineLevel="0" collapsed="false">
      <c r="A236" s="7" t="n">
        <f aca="false">A235+1</f>
        <v>231</v>
      </c>
      <c r="B236" s="7" t="n">
        <f aca="false">MAX('Giả định'!$B$9,ROUNDUP(A236/'Giả định'!$B$7,0)+'Giả định'!$B$8)</f>
        <v>25</v>
      </c>
      <c r="C236" s="25" t="n">
        <f aca="false">('Chi phí'!$C$76+'Chi phí'!$D$76*B236+'Chi phí'!$E$76*A236+'Giả định'!$B$15*('Chi phí'!$F$76+'Chi phí'!$G$76*B236+'Chi phí'!$H$76*A236))*(1+'Giả định'!$B$16)</f>
        <v>296521940</v>
      </c>
      <c r="D236" s="25" t="n">
        <f aca="false">('Chi phí'!$C$77+'Chi phí'!$D$77*B236+'Chi phí'!$E$77*A236+'Giả định'!$B$15*('Chi phí'!$F$77+'Chi phí'!$G$77*B236+'Chi phí'!$H$77*A236))*(1+'Giả định'!$B$16)</f>
        <v>440126940</v>
      </c>
      <c r="E236" s="25" t="n">
        <f aca="false">A236/'Giả định'!$B$19*'Giả định'!$B$20+A236*'Giả định'!$B$23+'Giả định'!$B$24</f>
        <v>85994117.6470588</v>
      </c>
      <c r="F236" s="25" t="n">
        <f aca="false">E236-D236</f>
        <v>-354132822.352941</v>
      </c>
      <c r="G236" s="25" t="n">
        <f aca="false">E236-C236</f>
        <v>-210527822.352941</v>
      </c>
      <c r="H236" s="7" t="str">
        <f aca="false">IF(F236&gt;=0,A236,"")</f>
        <v/>
      </c>
      <c r="I236" s="7" t="n">
        <f aca="false">IF(F236&lt;0,A236,0)</f>
        <v>231</v>
      </c>
      <c r="J236" s="7" t="str">
        <f aca="false">IF(G236&gt;=0,A236,"")</f>
        <v/>
      </c>
      <c r="K236" s="7" t="n">
        <f aca="false">IF(G236&lt;0,A236,0)</f>
        <v>231</v>
      </c>
    </row>
    <row r="237" customFormat="false" ht="15" hidden="false" customHeight="false" outlineLevel="0" collapsed="false">
      <c r="A237" s="7" t="n">
        <f aca="false">A236+1</f>
        <v>232</v>
      </c>
      <c r="B237" s="7" t="n">
        <f aca="false">MAX('Giả định'!$B$9,ROUNDUP(A237/'Giả định'!$B$7,0)+'Giả định'!$B$8)</f>
        <v>25</v>
      </c>
      <c r="C237" s="25" t="n">
        <f aca="false">('Chi phí'!$C$76+'Chi phí'!$D$76*B237+'Chi phí'!$E$76*A237+'Giả định'!$B$15*('Chi phí'!$F$76+'Chi phí'!$G$76*B237+'Chi phí'!$H$76*A237))*(1+'Giả định'!$B$16)</f>
        <v>296558680</v>
      </c>
      <c r="D237" s="25" t="n">
        <f aca="false">('Chi phí'!$C$77+'Chi phí'!$D$77*B237+'Chi phí'!$E$77*A237+'Giả định'!$B$15*('Chi phí'!$F$77+'Chi phí'!$G$77*B237+'Chi phí'!$H$77*A237))*(1+'Giả định'!$B$16)</f>
        <v>440163680</v>
      </c>
      <c r="E237" s="25" t="n">
        <f aca="false">A237/'Giả định'!$B$19*'Giả định'!$B$20+A237*'Giả định'!$B$23+'Giả định'!$B$24</f>
        <v>86366386.5546219</v>
      </c>
      <c r="F237" s="25" t="n">
        <f aca="false">E237-D237</f>
        <v>-353797293.445378</v>
      </c>
      <c r="G237" s="25" t="n">
        <f aca="false">E237-C237</f>
        <v>-210192293.445378</v>
      </c>
      <c r="H237" s="7" t="str">
        <f aca="false">IF(F237&gt;=0,A237,"")</f>
        <v/>
      </c>
      <c r="I237" s="7" t="n">
        <f aca="false">IF(F237&lt;0,A237,0)</f>
        <v>232</v>
      </c>
      <c r="J237" s="7" t="str">
        <f aca="false">IF(G237&gt;=0,A237,"")</f>
        <v/>
      </c>
      <c r="K237" s="7" t="n">
        <f aca="false">IF(G237&lt;0,A237,0)</f>
        <v>232</v>
      </c>
    </row>
    <row r="238" customFormat="false" ht="15" hidden="false" customHeight="false" outlineLevel="0" collapsed="false">
      <c r="A238" s="7" t="n">
        <f aca="false">A237+1</f>
        <v>233</v>
      </c>
      <c r="B238" s="7" t="n">
        <f aca="false">MAX('Giả định'!$B$9,ROUNDUP(A238/'Giả định'!$B$7,0)+'Giả định'!$B$8)</f>
        <v>25</v>
      </c>
      <c r="C238" s="25" t="n">
        <f aca="false">('Chi phí'!$C$76+'Chi phí'!$D$76*B238+'Chi phí'!$E$76*A238+'Giả định'!$B$15*('Chi phí'!$F$76+'Chi phí'!$G$76*B238+'Chi phí'!$H$76*A238))*(1+'Giả định'!$B$16)</f>
        <v>296595420</v>
      </c>
      <c r="D238" s="25" t="n">
        <f aca="false">('Chi phí'!$C$77+'Chi phí'!$D$77*B238+'Chi phí'!$E$77*A238+'Giả định'!$B$15*('Chi phí'!$F$77+'Chi phí'!$G$77*B238+'Chi phí'!$H$77*A238))*(1+'Giả định'!$B$16)</f>
        <v>440200420</v>
      </c>
      <c r="E238" s="25" t="n">
        <f aca="false">A238/'Giả định'!$B$19*'Giả định'!$B$20+A238*'Giả định'!$B$23+'Giả định'!$B$24</f>
        <v>86738655.4621849</v>
      </c>
      <c r="F238" s="25" t="n">
        <f aca="false">E238-D238</f>
        <v>-353461764.537815</v>
      </c>
      <c r="G238" s="25" t="n">
        <f aca="false">E238-C238</f>
        <v>-209856764.537815</v>
      </c>
      <c r="H238" s="7" t="str">
        <f aca="false">IF(F238&gt;=0,A238,"")</f>
        <v/>
      </c>
      <c r="I238" s="7" t="n">
        <f aca="false">IF(F238&lt;0,A238,0)</f>
        <v>233</v>
      </c>
      <c r="J238" s="7" t="str">
        <f aca="false">IF(G238&gt;=0,A238,"")</f>
        <v/>
      </c>
      <c r="K238" s="7" t="n">
        <f aca="false">IF(G238&lt;0,A238,0)</f>
        <v>233</v>
      </c>
    </row>
    <row r="239" customFormat="false" ht="15" hidden="false" customHeight="false" outlineLevel="0" collapsed="false">
      <c r="A239" s="7" t="n">
        <f aca="false">A238+1</f>
        <v>234</v>
      </c>
      <c r="B239" s="7" t="n">
        <f aca="false">MAX('Giả định'!$B$9,ROUNDUP(A239/'Giả định'!$B$7,0)+'Giả định'!$B$8)</f>
        <v>25</v>
      </c>
      <c r="C239" s="25" t="n">
        <f aca="false">('Chi phí'!$C$76+'Chi phí'!$D$76*B239+'Chi phí'!$E$76*A239+'Giả định'!$B$15*('Chi phí'!$F$76+'Chi phí'!$G$76*B239+'Chi phí'!$H$76*A239))*(1+'Giả định'!$B$16)</f>
        <v>296632160</v>
      </c>
      <c r="D239" s="25" t="n">
        <f aca="false">('Chi phí'!$C$77+'Chi phí'!$D$77*B239+'Chi phí'!$E$77*A239+'Giả định'!$B$15*('Chi phí'!$F$77+'Chi phí'!$G$77*B239+'Chi phí'!$H$77*A239))*(1+'Giả định'!$B$16)</f>
        <v>440237160</v>
      </c>
      <c r="E239" s="25" t="n">
        <f aca="false">A239/'Giả định'!$B$19*'Giả định'!$B$20+A239*'Giả định'!$B$23+'Giả định'!$B$24</f>
        <v>87110924.3697479</v>
      </c>
      <c r="F239" s="25" t="n">
        <f aca="false">E239-D239</f>
        <v>-353126235.630252</v>
      </c>
      <c r="G239" s="25" t="n">
        <f aca="false">E239-C239</f>
        <v>-209521235.630252</v>
      </c>
      <c r="H239" s="7" t="str">
        <f aca="false">IF(F239&gt;=0,A239,"")</f>
        <v/>
      </c>
      <c r="I239" s="7" t="n">
        <f aca="false">IF(F239&lt;0,A239,0)</f>
        <v>234</v>
      </c>
      <c r="J239" s="7" t="str">
        <f aca="false">IF(G239&gt;=0,A239,"")</f>
        <v/>
      </c>
      <c r="K239" s="7" t="n">
        <f aca="false">IF(G239&lt;0,A239,0)</f>
        <v>234</v>
      </c>
    </row>
    <row r="240" customFormat="false" ht="15" hidden="false" customHeight="false" outlineLevel="0" collapsed="false">
      <c r="A240" s="7" t="n">
        <f aca="false">A239+1</f>
        <v>235</v>
      </c>
      <c r="B240" s="7" t="n">
        <f aca="false">MAX('Giả định'!$B$9,ROUNDUP(A240/'Giả định'!$B$7,0)+'Giả định'!$B$8)</f>
        <v>25</v>
      </c>
      <c r="C240" s="25" t="n">
        <f aca="false">('Chi phí'!$C$76+'Chi phí'!$D$76*B240+'Chi phí'!$E$76*A240+'Giả định'!$B$15*('Chi phí'!$F$76+'Chi phí'!$G$76*B240+'Chi phí'!$H$76*A240))*(1+'Giả định'!$B$16)</f>
        <v>296668900</v>
      </c>
      <c r="D240" s="25" t="n">
        <f aca="false">('Chi phí'!$C$77+'Chi phí'!$D$77*B240+'Chi phí'!$E$77*A240+'Giả định'!$B$15*('Chi phí'!$F$77+'Chi phí'!$G$77*B240+'Chi phí'!$H$77*A240))*(1+'Giả định'!$B$16)</f>
        <v>440273900</v>
      </c>
      <c r="E240" s="25" t="n">
        <f aca="false">A240/'Giả định'!$B$19*'Giả định'!$B$20+A240*'Giả định'!$B$23+'Giả định'!$B$24</f>
        <v>87483193.2773109</v>
      </c>
      <c r="F240" s="25" t="n">
        <f aca="false">E240-D240</f>
        <v>-352790706.722689</v>
      </c>
      <c r="G240" s="25" t="n">
        <f aca="false">E240-C240</f>
        <v>-209185706.722689</v>
      </c>
      <c r="H240" s="7" t="str">
        <f aca="false">IF(F240&gt;=0,A240,"")</f>
        <v/>
      </c>
      <c r="I240" s="7" t="n">
        <f aca="false">IF(F240&lt;0,A240,0)</f>
        <v>235</v>
      </c>
      <c r="J240" s="7" t="str">
        <f aca="false">IF(G240&gt;=0,A240,"")</f>
        <v/>
      </c>
      <c r="K240" s="7" t="n">
        <f aca="false">IF(G240&lt;0,A240,0)</f>
        <v>235</v>
      </c>
    </row>
    <row r="241" customFormat="false" ht="15" hidden="false" customHeight="false" outlineLevel="0" collapsed="false">
      <c r="A241" s="7" t="n">
        <f aca="false">A240+1</f>
        <v>236</v>
      </c>
      <c r="B241" s="7" t="n">
        <f aca="false">MAX('Giả định'!$B$9,ROUNDUP(A241/'Giả định'!$B$7,0)+'Giả định'!$B$8)</f>
        <v>25</v>
      </c>
      <c r="C241" s="25" t="n">
        <f aca="false">('Chi phí'!$C$76+'Chi phí'!$D$76*B241+'Chi phí'!$E$76*A241+'Giả định'!$B$15*('Chi phí'!$F$76+'Chi phí'!$G$76*B241+'Chi phí'!$H$76*A241))*(1+'Giả định'!$B$16)</f>
        <v>296705640</v>
      </c>
      <c r="D241" s="25" t="n">
        <f aca="false">('Chi phí'!$C$77+'Chi phí'!$D$77*B241+'Chi phí'!$E$77*A241+'Giả định'!$B$15*('Chi phí'!$F$77+'Chi phí'!$G$77*B241+'Chi phí'!$H$77*A241))*(1+'Giả định'!$B$16)</f>
        <v>440310640</v>
      </c>
      <c r="E241" s="25" t="n">
        <f aca="false">A241/'Giả định'!$B$19*'Giả định'!$B$20+A241*'Giả định'!$B$23+'Giả định'!$B$24</f>
        <v>87855462.184874</v>
      </c>
      <c r="F241" s="25" t="n">
        <f aca="false">E241-D241</f>
        <v>-352455177.815126</v>
      </c>
      <c r="G241" s="25" t="n">
        <f aca="false">E241-C241</f>
        <v>-208850177.815126</v>
      </c>
      <c r="H241" s="7" t="str">
        <f aca="false">IF(F241&gt;=0,A241,"")</f>
        <v/>
      </c>
      <c r="I241" s="7" t="n">
        <f aca="false">IF(F241&lt;0,A241,0)</f>
        <v>236</v>
      </c>
      <c r="J241" s="7" t="str">
        <f aca="false">IF(G241&gt;=0,A241,"")</f>
        <v/>
      </c>
      <c r="K241" s="7" t="n">
        <f aca="false">IF(G241&lt;0,A241,0)</f>
        <v>236</v>
      </c>
    </row>
    <row r="242" customFormat="false" ht="15" hidden="false" customHeight="false" outlineLevel="0" collapsed="false">
      <c r="A242" s="7" t="n">
        <f aca="false">A241+1</f>
        <v>237</v>
      </c>
      <c r="B242" s="7" t="n">
        <f aca="false">MAX('Giả định'!$B$9,ROUNDUP(A242/'Giả định'!$B$7,0)+'Giả định'!$B$8)</f>
        <v>25</v>
      </c>
      <c r="C242" s="25" t="n">
        <f aca="false">('Chi phí'!$C$76+'Chi phí'!$D$76*B242+'Chi phí'!$E$76*A242+'Giả định'!$B$15*('Chi phí'!$F$76+'Chi phí'!$G$76*B242+'Chi phí'!$H$76*A242))*(1+'Giả định'!$B$16)</f>
        <v>296742380</v>
      </c>
      <c r="D242" s="25" t="n">
        <f aca="false">('Chi phí'!$C$77+'Chi phí'!$D$77*B242+'Chi phí'!$E$77*A242+'Giả định'!$B$15*('Chi phí'!$F$77+'Chi phí'!$G$77*B242+'Chi phí'!$H$77*A242))*(1+'Giả định'!$B$16)</f>
        <v>440347380</v>
      </c>
      <c r="E242" s="25" t="n">
        <f aca="false">A242/'Giả định'!$B$19*'Giả định'!$B$20+A242*'Giả định'!$B$23+'Giả định'!$B$24</f>
        <v>88227731.092437</v>
      </c>
      <c r="F242" s="25" t="n">
        <f aca="false">E242-D242</f>
        <v>-352119648.907563</v>
      </c>
      <c r="G242" s="25" t="n">
        <f aca="false">E242-C242</f>
        <v>-208514648.907563</v>
      </c>
      <c r="H242" s="7" t="str">
        <f aca="false">IF(F242&gt;=0,A242,"")</f>
        <v/>
      </c>
      <c r="I242" s="7" t="n">
        <f aca="false">IF(F242&lt;0,A242,0)</f>
        <v>237</v>
      </c>
      <c r="J242" s="7" t="str">
        <f aca="false">IF(G242&gt;=0,A242,"")</f>
        <v/>
      </c>
      <c r="K242" s="7" t="n">
        <f aca="false">IF(G242&lt;0,A242,0)</f>
        <v>237</v>
      </c>
    </row>
    <row r="243" customFormat="false" ht="15" hidden="false" customHeight="false" outlineLevel="0" collapsed="false">
      <c r="A243" s="7" t="n">
        <f aca="false">A242+1</f>
        <v>238</v>
      </c>
      <c r="B243" s="7" t="n">
        <f aca="false">MAX('Giả định'!$B$9,ROUNDUP(A243/'Giả định'!$B$7,0)+'Giả định'!$B$8)</f>
        <v>25</v>
      </c>
      <c r="C243" s="25" t="n">
        <f aca="false">('Chi phí'!$C$76+'Chi phí'!$D$76*B243+'Chi phí'!$E$76*A243+'Giả định'!$B$15*('Chi phí'!$F$76+'Chi phí'!$G$76*B243+'Chi phí'!$H$76*A243))*(1+'Giả định'!$B$16)</f>
        <v>296779120</v>
      </c>
      <c r="D243" s="25" t="n">
        <f aca="false">('Chi phí'!$C$77+'Chi phí'!$D$77*B243+'Chi phí'!$E$77*A243+'Giả định'!$B$15*('Chi phí'!$F$77+'Chi phí'!$G$77*B243+'Chi phí'!$H$77*A243))*(1+'Giả định'!$B$16)</f>
        <v>440384120</v>
      </c>
      <c r="E243" s="25" t="n">
        <f aca="false">A243/'Giả định'!$B$19*'Giả định'!$B$20+A243*'Giả định'!$B$23+'Giả định'!$B$24</f>
        <v>88600000</v>
      </c>
      <c r="F243" s="25" t="n">
        <f aca="false">E243-D243</f>
        <v>-351784120</v>
      </c>
      <c r="G243" s="25" t="n">
        <f aca="false">E243-C243</f>
        <v>-208179120</v>
      </c>
      <c r="H243" s="7" t="str">
        <f aca="false">IF(F243&gt;=0,A243,"")</f>
        <v/>
      </c>
      <c r="I243" s="7" t="n">
        <f aca="false">IF(F243&lt;0,A243,0)</f>
        <v>238</v>
      </c>
      <c r="J243" s="7" t="str">
        <f aca="false">IF(G243&gt;=0,A243,"")</f>
        <v/>
      </c>
      <c r="K243" s="7" t="n">
        <f aca="false">IF(G243&lt;0,A243,0)</f>
        <v>238</v>
      </c>
    </row>
    <row r="244" customFormat="false" ht="15" hidden="false" customHeight="false" outlineLevel="0" collapsed="false">
      <c r="A244" s="7" t="n">
        <f aca="false">A243+1</f>
        <v>239</v>
      </c>
      <c r="B244" s="7" t="n">
        <f aca="false">MAX('Giả định'!$B$9,ROUNDUP(A244/'Giả định'!$B$7,0)+'Giả định'!$B$8)</f>
        <v>25</v>
      </c>
      <c r="C244" s="25" t="n">
        <f aca="false">('Chi phí'!$C$76+'Chi phí'!$D$76*B244+'Chi phí'!$E$76*A244+'Giả định'!$B$15*('Chi phí'!$F$76+'Chi phí'!$G$76*B244+'Chi phí'!$H$76*A244))*(1+'Giả định'!$B$16)</f>
        <v>296815860</v>
      </c>
      <c r="D244" s="25" t="n">
        <f aca="false">('Chi phí'!$C$77+'Chi phí'!$D$77*B244+'Chi phí'!$E$77*A244+'Giả định'!$B$15*('Chi phí'!$F$77+'Chi phí'!$G$77*B244+'Chi phí'!$H$77*A244))*(1+'Giả định'!$B$16)</f>
        <v>440420860</v>
      </c>
      <c r="E244" s="25" t="n">
        <f aca="false">A244/'Giả định'!$B$19*'Giả định'!$B$20+A244*'Giả định'!$B$23+'Giả định'!$B$24</f>
        <v>88972268.907563</v>
      </c>
      <c r="F244" s="25" t="n">
        <f aca="false">E244-D244</f>
        <v>-351448591.092437</v>
      </c>
      <c r="G244" s="25" t="n">
        <f aca="false">E244-C244</f>
        <v>-207843591.092437</v>
      </c>
      <c r="H244" s="7" t="str">
        <f aca="false">IF(F244&gt;=0,A244,"")</f>
        <v/>
      </c>
      <c r="I244" s="7" t="n">
        <f aca="false">IF(F244&lt;0,A244,0)</f>
        <v>239</v>
      </c>
      <c r="J244" s="7" t="str">
        <f aca="false">IF(G244&gt;=0,A244,"")</f>
        <v/>
      </c>
      <c r="K244" s="7" t="n">
        <f aca="false">IF(G244&lt;0,A244,0)</f>
        <v>239</v>
      </c>
    </row>
    <row r="245" customFormat="false" ht="15" hidden="false" customHeight="false" outlineLevel="0" collapsed="false">
      <c r="A245" s="7" t="n">
        <f aca="false">A244+1</f>
        <v>240</v>
      </c>
      <c r="B245" s="7" t="n">
        <f aca="false">MAX('Giả định'!$B$9,ROUNDUP(A245/'Giả định'!$B$7,0)+'Giả định'!$B$8)</f>
        <v>25</v>
      </c>
      <c r="C245" s="25" t="n">
        <f aca="false">('Chi phí'!$C$76+'Chi phí'!$D$76*B245+'Chi phí'!$E$76*A245+'Giả định'!$B$15*('Chi phí'!$F$76+'Chi phí'!$G$76*B245+'Chi phí'!$H$76*A245))*(1+'Giả định'!$B$16)</f>
        <v>296852600</v>
      </c>
      <c r="D245" s="25" t="n">
        <f aca="false">('Chi phí'!$C$77+'Chi phí'!$D$77*B245+'Chi phí'!$E$77*A245+'Giả định'!$B$15*('Chi phí'!$F$77+'Chi phí'!$G$77*B245+'Chi phí'!$H$77*A245))*(1+'Giả định'!$B$16)</f>
        <v>440457600</v>
      </c>
      <c r="E245" s="25" t="n">
        <f aca="false">A245/'Giả định'!$B$19*'Giả định'!$B$20+A245*'Giả định'!$B$23+'Giả định'!$B$24</f>
        <v>89344537.8151261</v>
      </c>
      <c r="F245" s="25" t="n">
        <f aca="false">E245-D245</f>
        <v>-351113062.184874</v>
      </c>
      <c r="G245" s="25" t="n">
        <f aca="false">E245-C245</f>
        <v>-207508062.184874</v>
      </c>
      <c r="H245" s="7" t="str">
        <f aca="false">IF(F245&gt;=0,A245,"")</f>
        <v/>
      </c>
      <c r="I245" s="7" t="n">
        <f aca="false">IF(F245&lt;0,A245,0)</f>
        <v>240</v>
      </c>
      <c r="J245" s="7" t="str">
        <f aca="false">IF(G245&gt;=0,A245,"")</f>
        <v/>
      </c>
      <c r="K245" s="7" t="n">
        <f aca="false">IF(G245&lt;0,A245,0)</f>
        <v>240</v>
      </c>
    </row>
    <row r="246" customFormat="false" ht="15" hidden="false" customHeight="false" outlineLevel="0" collapsed="false">
      <c r="A246" s="7" t="n">
        <f aca="false">A245+1</f>
        <v>241</v>
      </c>
      <c r="B246" s="7" t="n">
        <f aca="false">MAX('Giả định'!$B$9,ROUNDUP(A246/'Giả định'!$B$7,0)+'Giả định'!$B$8)</f>
        <v>26</v>
      </c>
      <c r="C246" s="25" t="n">
        <f aca="false">('Chi phí'!$C$76+'Chi phí'!$D$76*B246+'Chi phí'!$E$76*A246+'Giả định'!$B$15*('Chi phí'!$F$76+'Chi phí'!$G$76*B246+'Chi phí'!$H$76*A246))*(1+'Giả định'!$B$16)</f>
        <v>306063340</v>
      </c>
      <c r="D246" s="25" t="n">
        <f aca="false">('Chi phí'!$C$77+'Chi phí'!$D$77*B246+'Chi phí'!$E$77*A246+'Giả định'!$B$15*('Chi phí'!$F$77+'Chi phí'!$G$77*B246+'Chi phí'!$H$77*A246))*(1+'Giả định'!$B$16)</f>
        <v>449668340</v>
      </c>
      <c r="E246" s="25" t="n">
        <f aca="false">A246/'Giả định'!$B$19*'Giả định'!$B$20+A246*'Giả định'!$B$23+'Giả định'!$B$24</f>
        <v>89716806.7226891</v>
      </c>
      <c r="F246" s="25" t="n">
        <f aca="false">E246-D246</f>
        <v>-359951533.277311</v>
      </c>
      <c r="G246" s="25" t="n">
        <f aca="false">E246-C246</f>
        <v>-216346533.277311</v>
      </c>
      <c r="H246" s="7" t="str">
        <f aca="false">IF(F246&gt;=0,A246,"")</f>
        <v/>
      </c>
      <c r="I246" s="7" t="n">
        <f aca="false">IF(F246&lt;0,A246,0)</f>
        <v>241</v>
      </c>
      <c r="J246" s="7" t="str">
        <f aca="false">IF(G246&gt;=0,A246,"")</f>
        <v/>
      </c>
      <c r="K246" s="7" t="n">
        <f aca="false">IF(G246&lt;0,A246,0)</f>
        <v>241</v>
      </c>
    </row>
    <row r="247" customFormat="false" ht="15" hidden="false" customHeight="false" outlineLevel="0" collapsed="false">
      <c r="A247" s="7" t="n">
        <f aca="false">A246+1</f>
        <v>242</v>
      </c>
      <c r="B247" s="7" t="n">
        <f aca="false">MAX('Giả định'!$B$9,ROUNDUP(A247/'Giả định'!$B$7,0)+'Giả định'!$B$8)</f>
        <v>26</v>
      </c>
      <c r="C247" s="25" t="n">
        <f aca="false">('Chi phí'!$C$76+'Chi phí'!$D$76*B247+'Chi phí'!$E$76*A247+'Giả định'!$B$15*('Chi phí'!$F$76+'Chi phí'!$G$76*B247+'Chi phí'!$H$76*A247))*(1+'Giả định'!$B$16)</f>
        <v>306100080</v>
      </c>
      <c r="D247" s="25" t="n">
        <f aca="false">('Chi phí'!$C$77+'Chi phí'!$D$77*B247+'Chi phí'!$E$77*A247+'Giả định'!$B$15*('Chi phí'!$F$77+'Chi phí'!$G$77*B247+'Chi phí'!$H$77*A247))*(1+'Giả định'!$B$16)</f>
        <v>449705080</v>
      </c>
      <c r="E247" s="25" t="n">
        <f aca="false">A247/'Giả định'!$B$19*'Giả định'!$B$20+A247*'Giả định'!$B$23+'Giả định'!$B$24</f>
        <v>90089075.6302521</v>
      </c>
      <c r="F247" s="25" t="n">
        <f aca="false">E247-D247</f>
        <v>-359616004.369748</v>
      </c>
      <c r="G247" s="25" t="n">
        <f aca="false">E247-C247</f>
        <v>-216011004.369748</v>
      </c>
      <c r="H247" s="7" t="str">
        <f aca="false">IF(F247&gt;=0,A247,"")</f>
        <v/>
      </c>
      <c r="I247" s="7" t="n">
        <f aca="false">IF(F247&lt;0,A247,0)</f>
        <v>242</v>
      </c>
      <c r="J247" s="7" t="str">
        <f aca="false">IF(G247&gt;=0,A247,"")</f>
        <v/>
      </c>
      <c r="K247" s="7" t="n">
        <f aca="false">IF(G247&lt;0,A247,0)</f>
        <v>242</v>
      </c>
    </row>
    <row r="248" customFormat="false" ht="15" hidden="false" customHeight="false" outlineLevel="0" collapsed="false">
      <c r="A248" s="7" t="n">
        <f aca="false">A247+1</f>
        <v>243</v>
      </c>
      <c r="B248" s="7" t="n">
        <f aca="false">MAX('Giả định'!$B$9,ROUNDUP(A248/'Giả định'!$B$7,0)+'Giả định'!$B$8)</f>
        <v>26</v>
      </c>
      <c r="C248" s="25" t="n">
        <f aca="false">('Chi phí'!$C$76+'Chi phí'!$D$76*B248+'Chi phí'!$E$76*A248+'Giả định'!$B$15*('Chi phí'!$F$76+'Chi phí'!$G$76*B248+'Chi phí'!$H$76*A248))*(1+'Giả định'!$B$16)</f>
        <v>306136820</v>
      </c>
      <c r="D248" s="25" t="n">
        <f aca="false">('Chi phí'!$C$77+'Chi phí'!$D$77*B248+'Chi phí'!$E$77*A248+'Giả định'!$B$15*('Chi phí'!$F$77+'Chi phí'!$G$77*B248+'Chi phí'!$H$77*A248))*(1+'Giả định'!$B$16)</f>
        <v>449741820</v>
      </c>
      <c r="E248" s="25" t="n">
        <f aca="false">A248/'Giả định'!$B$19*'Giả định'!$B$20+A248*'Giả định'!$B$23+'Giả định'!$B$24</f>
        <v>90461344.5378151</v>
      </c>
      <c r="F248" s="25" t="n">
        <f aca="false">E248-D248</f>
        <v>-359280475.462185</v>
      </c>
      <c r="G248" s="25" t="n">
        <f aca="false">E248-C248</f>
        <v>-215675475.462185</v>
      </c>
      <c r="H248" s="7" t="str">
        <f aca="false">IF(F248&gt;=0,A248,"")</f>
        <v/>
      </c>
      <c r="I248" s="7" t="n">
        <f aca="false">IF(F248&lt;0,A248,0)</f>
        <v>243</v>
      </c>
      <c r="J248" s="7" t="str">
        <f aca="false">IF(G248&gt;=0,A248,"")</f>
        <v/>
      </c>
      <c r="K248" s="7" t="n">
        <f aca="false">IF(G248&lt;0,A248,0)</f>
        <v>243</v>
      </c>
    </row>
    <row r="249" customFormat="false" ht="15" hidden="false" customHeight="false" outlineLevel="0" collapsed="false">
      <c r="A249" s="7" t="n">
        <f aca="false">A248+1</f>
        <v>244</v>
      </c>
      <c r="B249" s="7" t="n">
        <f aca="false">MAX('Giả định'!$B$9,ROUNDUP(A249/'Giả định'!$B$7,0)+'Giả định'!$B$8)</f>
        <v>26</v>
      </c>
      <c r="C249" s="25" t="n">
        <f aca="false">('Chi phí'!$C$76+'Chi phí'!$D$76*B249+'Chi phí'!$E$76*A249+'Giả định'!$B$15*('Chi phí'!$F$76+'Chi phí'!$G$76*B249+'Chi phí'!$H$76*A249))*(1+'Giả định'!$B$16)</f>
        <v>306173560</v>
      </c>
      <c r="D249" s="25" t="n">
        <f aca="false">('Chi phí'!$C$77+'Chi phí'!$D$77*B249+'Chi phí'!$E$77*A249+'Giả định'!$B$15*('Chi phí'!$F$77+'Chi phí'!$G$77*B249+'Chi phí'!$H$77*A249))*(1+'Giả định'!$B$16)</f>
        <v>449778560</v>
      </c>
      <c r="E249" s="25" t="n">
        <f aca="false">A249/'Giả định'!$B$19*'Giả định'!$B$20+A249*'Giả định'!$B$23+'Giả định'!$B$24</f>
        <v>90833613.4453782</v>
      </c>
      <c r="F249" s="25" t="n">
        <f aca="false">E249-D249</f>
        <v>-358944946.554622</v>
      </c>
      <c r="G249" s="25" t="n">
        <f aca="false">E249-C249</f>
        <v>-215339946.554622</v>
      </c>
      <c r="H249" s="7" t="str">
        <f aca="false">IF(F249&gt;=0,A249,"")</f>
        <v/>
      </c>
      <c r="I249" s="7" t="n">
        <f aca="false">IF(F249&lt;0,A249,0)</f>
        <v>244</v>
      </c>
      <c r="J249" s="7" t="str">
        <f aca="false">IF(G249&gt;=0,A249,"")</f>
        <v/>
      </c>
      <c r="K249" s="7" t="n">
        <f aca="false">IF(G249&lt;0,A249,0)</f>
        <v>244</v>
      </c>
    </row>
    <row r="250" customFormat="false" ht="15" hidden="false" customHeight="false" outlineLevel="0" collapsed="false">
      <c r="A250" s="7" t="n">
        <f aca="false">A249+1</f>
        <v>245</v>
      </c>
      <c r="B250" s="7" t="n">
        <f aca="false">MAX('Giả định'!$B$9,ROUNDUP(A250/'Giả định'!$B$7,0)+'Giả định'!$B$8)</f>
        <v>26</v>
      </c>
      <c r="C250" s="25" t="n">
        <f aca="false">('Chi phí'!$C$76+'Chi phí'!$D$76*B250+'Chi phí'!$E$76*A250+'Giả định'!$B$15*('Chi phí'!$F$76+'Chi phí'!$G$76*B250+'Chi phí'!$H$76*A250))*(1+'Giả định'!$B$16)</f>
        <v>306210300</v>
      </c>
      <c r="D250" s="25" t="n">
        <f aca="false">('Chi phí'!$C$77+'Chi phí'!$D$77*B250+'Chi phí'!$E$77*A250+'Giả định'!$B$15*('Chi phí'!$F$77+'Chi phí'!$G$77*B250+'Chi phí'!$H$77*A250))*(1+'Giả định'!$B$16)</f>
        <v>449815300</v>
      </c>
      <c r="E250" s="25" t="n">
        <f aca="false">A250/'Giả định'!$B$19*'Giả định'!$B$20+A250*'Giả định'!$B$23+'Giả định'!$B$24</f>
        <v>91205882.3529412</v>
      </c>
      <c r="F250" s="25" t="n">
        <f aca="false">E250-D250</f>
        <v>-358609417.647059</v>
      </c>
      <c r="G250" s="25" t="n">
        <f aca="false">E250-C250</f>
        <v>-215004417.647059</v>
      </c>
      <c r="H250" s="7" t="str">
        <f aca="false">IF(F250&gt;=0,A250,"")</f>
        <v/>
      </c>
      <c r="I250" s="7" t="n">
        <f aca="false">IF(F250&lt;0,A250,0)</f>
        <v>245</v>
      </c>
      <c r="J250" s="7" t="str">
        <f aca="false">IF(G250&gt;=0,A250,"")</f>
        <v/>
      </c>
      <c r="K250" s="7" t="n">
        <f aca="false">IF(G250&lt;0,A250,0)</f>
        <v>245</v>
      </c>
    </row>
    <row r="251" customFormat="false" ht="15" hidden="false" customHeight="false" outlineLevel="0" collapsed="false">
      <c r="A251" s="7" t="n">
        <f aca="false">A250+1</f>
        <v>246</v>
      </c>
      <c r="B251" s="7" t="n">
        <f aca="false">MAX('Giả định'!$B$9,ROUNDUP(A251/'Giả định'!$B$7,0)+'Giả định'!$B$8)</f>
        <v>26</v>
      </c>
      <c r="C251" s="25" t="n">
        <f aca="false">('Chi phí'!$C$76+'Chi phí'!$D$76*B251+'Chi phí'!$E$76*A251+'Giả định'!$B$15*('Chi phí'!$F$76+'Chi phí'!$G$76*B251+'Chi phí'!$H$76*A251))*(1+'Giả định'!$B$16)</f>
        <v>306247040</v>
      </c>
      <c r="D251" s="25" t="n">
        <f aca="false">('Chi phí'!$C$77+'Chi phí'!$D$77*B251+'Chi phí'!$E$77*A251+'Giả định'!$B$15*('Chi phí'!$F$77+'Chi phí'!$G$77*B251+'Chi phí'!$H$77*A251))*(1+'Giả định'!$B$16)</f>
        <v>449852040</v>
      </c>
      <c r="E251" s="25" t="n">
        <f aca="false">A251/'Giả định'!$B$19*'Giả định'!$B$20+A251*'Giả định'!$B$23+'Giả định'!$B$24</f>
        <v>91578151.2605042</v>
      </c>
      <c r="F251" s="25" t="n">
        <f aca="false">E251-D251</f>
        <v>-358273888.739496</v>
      </c>
      <c r="G251" s="25" t="n">
        <f aca="false">E251-C251</f>
        <v>-214668888.739496</v>
      </c>
      <c r="H251" s="7" t="str">
        <f aca="false">IF(F251&gt;=0,A251,"")</f>
        <v/>
      </c>
      <c r="I251" s="7" t="n">
        <f aca="false">IF(F251&lt;0,A251,0)</f>
        <v>246</v>
      </c>
      <c r="J251" s="7" t="str">
        <f aca="false">IF(G251&gt;=0,A251,"")</f>
        <v/>
      </c>
      <c r="K251" s="7" t="n">
        <f aca="false">IF(G251&lt;0,A251,0)</f>
        <v>246</v>
      </c>
    </row>
    <row r="252" customFormat="false" ht="15" hidden="false" customHeight="false" outlineLevel="0" collapsed="false">
      <c r="A252" s="7" t="n">
        <f aca="false">A251+1</f>
        <v>247</v>
      </c>
      <c r="B252" s="7" t="n">
        <f aca="false">MAX('Giả định'!$B$9,ROUNDUP(A252/'Giả định'!$B$7,0)+'Giả định'!$B$8)</f>
        <v>26</v>
      </c>
      <c r="C252" s="25" t="n">
        <f aca="false">('Chi phí'!$C$76+'Chi phí'!$D$76*B252+'Chi phí'!$E$76*A252+'Giả định'!$B$15*('Chi phí'!$F$76+'Chi phí'!$G$76*B252+'Chi phí'!$H$76*A252))*(1+'Giả định'!$B$16)</f>
        <v>306283780</v>
      </c>
      <c r="D252" s="25" t="n">
        <f aca="false">('Chi phí'!$C$77+'Chi phí'!$D$77*B252+'Chi phí'!$E$77*A252+'Giả định'!$B$15*('Chi phí'!$F$77+'Chi phí'!$G$77*B252+'Chi phí'!$H$77*A252))*(1+'Giả định'!$B$16)</f>
        <v>449888780</v>
      </c>
      <c r="E252" s="25" t="n">
        <f aca="false">A252/'Giả định'!$B$19*'Giả định'!$B$20+A252*'Giả định'!$B$23+'Giả định'!$B$24</f>
        <v>91950420.1680672</v>
      </c>
      <c r="F252" s="25" t="n">
        <f aca="false">E252-D252</f>
        <v>-357938359.831933</v>
      </c>
      <c r="G252" s="25" t="n">
        <f aca="false">E252-C252</f>
        <v>-214333359.831933</v>
      </c>
      <c r="H252" s="7" t="str">
        <f aca="false">IF(F252&gt;=0,A252,"")</f>
        <v/>
      </c>
      <c r="I252" s="7" t="n">
        <f aca="false">IF(F252&lt;0,A252,0)</f>
        <v>247</v>
      </c>
      <c r="J252" s="7" t="str">
        <f aca="false">IF(G252&gt;=0,A252,"")</f>
        <v/>
      </c>
      <c r="K252" s="7" t="n">
        <f aca="false">IF(G252&lt;0,A252,0)</f>
        <v>247</v>
      </c>
    </row>
    <row r="253" customFormat="false" ht="15" hidden="false" customHeight="false" outlineLevel="0" collapsed="false">
      <c r="A253" s="7" t="n">
        <f aca="false">A252+1</f>
        <v>248</v>
      </c>
      <c r="B253" s="7" t="n">
        <f aca="false">MAX('Giả định'!$B$9,ROUNDUP(A253/'Giả định'!$B$7,0)+'Giả định'!$B$8)</f>
        <v>26</v>
      </c>
      <c r="C253" s="25" t="n">
        <f aca="false">('Chi phí'!$C$76+'Chi phí'!$D$76*B253+'Chi phí'!$E$76*A253+'Giả định'!$B$15*('Chi phí'!$F$76+'Chi phí'!$G$76*B253+'Chi phí'!$H$76*A253))*(1+'Giả định'!$B$16)</f>
        <v>306320520</v>
      </c>
      <c r="D253" s="25" t="n">
        <f aca="false">('Chi phí'!$C$77+'Chi phí'!$D$77*B253+'Chi phí'!$E$77*A253+'Giả định'!$B$15*('Chi phí'!$F$77+'Chi phí'!$G$77*B253+'Chi phí'!$H$77*A253))*(1+'Giả định'!$B$16)</f>
        <v>449925520</v>
      </c>
      <c r="E253" s="25" t="n">
        <f aca="false">A253/'Giả định'!$B$19*'Giả định'!$B$20+A253*'Giả định'!$B$23+'Giả định'!$B$24</f>
        <v>92322689.0756303</v>
      </c>
      <c r="F253" s="25" t="n">
        <f aca="false">E253-D253</f>
        <v>-357602830.92437</v>
      </c>
      <c r="G253" s="25" t="n">
        <f aca="false">E253-C253</f>
        <v>-213997830.92437</v>
      </c>
      <c r="H253" s="7" t="str">
        <f aca="false">IF(F253&gt;=0,A253,"")</f>
        <v/>
      </c>
      <c r="I253" s="7" t="n">
        <f aca="false">IF(F253&lt;0,A253,0)</f>
        <v>248</v>
      </c>
      <c r="J253" s="7" t="str">
        <f aca="false">IF(G253&gt;=0,A253,"")</f>
        <v/>
      </c>
      <c r="K253" s="7" t="n">
        <f aca="false">IF(G253&lt;0,A253,0)</f>
        <v>248</v>
      </c>
    </row>
    <row r="254" customFormat="false" ht="15" hidden="false" customHeight="false" outlineLevel="0" collapsed="false">
      <c r="A254" s="7" t="n">
        <f aca="false">A253+1</f>
        <v>249</v>
      </c>
      <c r="B254" s="7" t="n">
        <f aca="false">MAX('Giả định'!$B$9,ROUNDUP(A254/'Giả định'!$B$7,0)+'Giả định'!$B$8)</f>
        <v>26</v>
      </c>
      <c r="C254" s="25" t="n">
        <f aca="false">('Chi phí'!$C$76+'Chi phí'!$D$76*B254+'Chi phí'!$E$76*A254+'Giả định'!$B$15*('Chi phí'!$F$76+'Chi phí'!$G$76*B254+'Chi phí'!$H$76*A254))*(1+'Giả định'!$B$16)</f>
        <v>306357260</v>
      </c>
      <c r="D254" s="25" t="n">
        <f aca="false">('Chi phí'!$C$77+'Chi phí'!$D$77*B254+'Chi phí'!$E$77*A254+'Giả định'!$B$15*('Chi phí'!$F$77+'Chi phí'!$G$77*B254+'Chi phí'!$H$77*A254))*(1+'Giả định'!$B$16)</f>
        <v>449962260</v>
      </c>
      <c r="E254" s="25" t="n">
        <f aca="false">A254/'Giả định'!$B$19*'Giả định'!$B$20+A254*'Giả định'!$B$23+'Giả định'!$B$24</f>
        <v>92694957.9831933</v>
      </c>
      <c r="F254" s="25" t="n">
        <f aca="false">E254-D254</f>
        <v>-357267302.016807</v>
      </c>
      <c r="G254" s="25" t="n">
        <f aca="false">E254-C254</f>
        <v>-213662302.016807</v>
      </c>
      <c r="H254" s="7" t="str">
        <f aca="false">IF(F254&gt;=0,A254,"")</f>
        <v/>
      </c>
      <c r="I254" s="7" t="n">
        <f aca="false">IF(F254&lt;0,A254,0)</f>
        <v>249</v>
      </c>
      <c r="J254" s="7" t="str">
        <f aca="false">IF(G254&gt;=0,A254,"")</f>
        <v/>
      </c>
      <c r="K254" s="7" t="n">
        <f aca="false">IF(G254&lt;0,A254,0)</f>
        <v>249</v>
      </c>
    </row>
    <row r="255" customFormat="false" ht="15" hidden="false" customHeight="false" outlineLevel="0" collapsed="false">
      <c r="A255" s="7" t="n">
        <f aca="false">A254+1</f>
        <v>250</v>
      </c>
      <c r="B255" s="7" t="n">
        <f aca="false">MAX('Giả định'!$B$9,ROUNDUP(A255/'Giả định'!$B$7,0)+'Giả định'!$B$8)</f>
        <v>26</v>
      </c>
      <c r="C255" s="25" t="n">
        <f aca="false">('Chi phí'!$C$76+'Chi phí'!$D$76*B255+'Chi phí'!$E$76*A255+'Giả định'!$B$15*('Chi phí'!$F$76+'Chi phí'!$G$76*B255+'Chi phí'!$H$76*A255))*(1+'Giả định'!$B$16)</f>
        <v>306394000</v>
      </c>
      <c r="D255" s="25" t="n">
        <f aca="false">('Chi phí'!$C$77+'Chi phí'!$D$77*B255+'Chi phí'!$E$77*A255+'Giả định'!$B$15*('Chi phí'!$F$77+'Chi phí'!$G$77*B255+'Chi phí'!$H$77*A255))*(1+'Giả định'!$B$16)</f>
        <v>449999000</v>
      </c>
      <c r="E255" s="25" t="n">
        <f aca="false">A255/'Giả định'!$B$19*'Giả định'!$B$20+A255*'Giả định'!$B$23+'Giả định'!$B$24</f>
        <v>93067226.8907563</v>
      </c>
      <c r="F255" s="25" t="n">
        <f aca="false">E255-D255</f>
        <v>-356931773.109244</v>
      </c>
      <c r="G255" s="25" t="n">
        <f aca="false">E255-C255</f>
        <v>-213326773.109244</v>
      </c>
      <c r="H255" s="7" t="str">
        <f aca="false">IF(F255&gt;=0,A255,"")</f>
        <v/>
      </c>
      <c r="I255" s="7" t="n">
        <f aca="false">IF(F255&lt;0,A255,0)</f>
        <v>250</v>
      </c>
      <c r="J255" s="7" t="str">
        <f aca="false">IF(G255&gt;=0,A255,"")</f>
        <v/>
      </c>
      <c r="K255" s="7" t="n">
        <f aca="false">IF(G255&lt;0,A255,0)</f>
        <v>250</v>
      </c>
    </row>
    <row r="256" customFormat="false" ht="15" hidden="false" customHeight="false" outlineLevel="0" collapsed="false">
      <c r="A256" s="7" t="n">
        <f aca="false">A255+1</f>
        <v>251</v>
      </c>
      <c r="B256" s="7" t="n">
        <f aca="false">MAX('Giả định'!$B$9,ROUNDUP(A256/'Giả định'!$B$7,0)+'Giả định'!$B$8)</f>
        <v>27</v>
      </c>
      <c r="C256" s="25" t="n">
        <f aca="false">('Chi phí'!$C$76+'Chi phí'!$D$76*B256+'Chi phí'!$E$76*A256+'Giả định'!$B$15*('Chi phí'!$F$76+'Chi phí'!$G$76*B256+'Chi phí'!$H$76*A256))*(1+'Giả định'!$B$16)</f>
        <v>315604740</v>
      </c>
      <c r="D256" s="25" t="n">
        <f aca="false">('Chi phí'!$C$77+'Chi phí'!$D$77*B256+'Chi phí'!$E$77*A256+'Giả định'!$B$15*('Chi phí'!$F$77+'Chi phí'!$G$77*B256+'Chi phí'!$H$77*A256))*(1+'Giả định'!$B$16)</f>
        <v>459209740</v>
      </c>
      <c r="E256" s="25" t="n">
        <f aca="false">A256/'Giả định'!$B$19*'Giả định'!$B$20+A256*'Giả định'!$B$23+'Giả định'!$B$24</f>
        <v>93439495.7983193</v>
      </c>
      <c r="F256" s="25" t="n">
        <f aca="false">E256-D256</f>
        <v>-365770244.201681</v>
      </c>
      <c r="G256" s="25" t="n">
        <f aca="false">E256-C256</f>
        <v>-222165244.201681</v>
      </c>
      <c r="H256" s="7" t="str">
        <f aca="false">IF(F256&gt;=0,A256,"")</f>
        <v/>
      </c>
      <c r="I256" s="7" t="n">
        <f aca="false">IF(F256&lt;0,A256,0)</f>
        <v>251</v>
      </c>
      <c r="J256" s="7" t="str">
        <f aca="false">IF(G256&gt;=0,A256,"")</f>
        <v/>
      </c>
      <c r="K256" s="7" t="n">
        <f aca="false">IF(G256&lt;0,A256,0)</f>
        <v>251</v>
      </c>
    </row>
    <row r="257" customFormat="false" ht="15" hidden="false" customHeight="false" outlineLevel="0" collapsed="false">
      <c r="A257" s="7" t="n">
        <f aca="false">A256+1</f>
        <v>252</v>
      </c>
      <c r="B257" s="7" t="n">
        <f aca="false">MAX('Giả định'!$B$9,ROUNDUP(A257/'Giả định'!$B$7,0)+'Giả định'!$B$8)</f>
        <v>27</v>
      </c>
      <c r="C257" s="25" t="n">
        <f aca="false">('Chi phí'!$C$76+'Chi phí'!$D$76*B257+'Chi phí'!$E$76*A257+'Giả định'!$B$15*('Chi phí'!$F$76+'Chi phí'!$G$76*B257+'Chi phí'!$H$76*A257))*(1+'Giả định'!$B$16)</f>
        <v>315641480</v>
      </c>
      <c r="D257" s="25" t="n">
        <f aca="false">('Chi phí'!$C$77+'Chi phí'!$D$77*B257+'Chi phí'!$E$77*A257+'Giả định'!$B$15*('Chi phí'!$F$77+'Chi phí'!$G$77*B257+'Chi phí'!$H$77*A257))*(1+'Giả định'!$B$16)</f>
        <v>459246480</v>
      </c>
      <c r="E257" s="25" t="n">
        <f aca="false">A257/'Giả định'!$B$19*'Giả định'!$B$20+A257*'Giả định'!$B$23+'Giả định'!$B$24</f>
        <v>93811764.7058824</v>
      </c>
      <c r="F257" s="25" t="n">
        <f aca="false">E257-D257</f>
        <v>-365434715.294118</v>
      </c>
      <c r="G257" s="25" t="n">
        <f aca="false">E257-C257</f>
        <v>-221829715.294118</v>
      </c>
      <c r="H257" s="7" t="str">
        <f aca="false">IF(F257&gt;=0,A257,"")</f>
        <v/>
      </c>
      <c r="I257" s="7" t="n">
        <f aca="false">IF(F257&lt;0,A257,0)</f>
        <v>252</v>
      </c>
      <c r="J257" s="7" t="str">
        <f aca="false">IF(G257&gt;=0,A257,"")</f>
        <v/>
      </c>
      <c r="K257" s="7" t="n">
        <f aca="false">IF(G257&lt;0,A257,0)</f>
        <v>252</v>
      </c>
    </row>
    <row r="258" customFormat="false" ht="15" hidden="false" customHeight="false" outlineLevel="0" collapsed="false">
      <c r="A258" s="7" t="n">
        <f aca="false">A257+1</f>
        <v>253</v>
      </c>
      <c r="B258" s="7" t="n">
        <f aca="false">MAX('Giả định'!$B$9,ROUNDUP(A258/'Giả định'!$B$7,0)+'Giả định'!$B$8)</f>
        <v>27</v>
      </c>
      <c r="C258" s="25" t="n">
        <f aca="false">('Chi phí'!$C$76+'Chi phí'!$D$76*B258+'Chi phí'!$E$76*A258+'Giả định'!$B$15*('Chi phí'!$F$76+'Chi phí'!$G$76*B258+'Chi phí'!$H$76*A258))*(1+'Giả định'!$B$16)</f>
        <v>315678220</v>
      </c>
      <c r="D258" s="25" t="n">
        <f aca="false">('Chi phí'!$C$77+'Chi phí'!$D$77*B258+'Chi phí'!$E$77*A258+'Giả định'!$B$15*('Chi phí'!$F$77+'Chi phí'!$G$77*B258+'Chi phí'!$H$77*A258))*(1+'Giả định'!$B$16)</f>
        <v>459283220</v>
      </c>
      <c r="E258" s="25" t="n">
        <f aca="false">A258/'Giả định'!$B$19*'Giả định'!$B$20+A258*'Giả định'!$B$23+'Giả định'!$B$24</f>
        <v>94184033.6134454</v>
      </c>
      <c r="F258" s="25" t="n">
        <f aca="false">E258-D258</f>
        <v>-365099186.386555</v>
      </c>
      <c r="G258" s="25" t="n">
        <f aca="false">E258-C258</f>
        <v>-221494186.386555</v>
      </c>
      <c r="H258" s="7" t="str">
        <f aca="false">IF(F258&gt;=0,A258,"")</f>
        <v/>
      </c>
      <c r="I258" s="7" t="n">
        <f aca="false">IF(F258&lt;0,A258,0)</f>
        <v>253</v>
      </c>
      <c r="J258" s="7" t="str">
        <f aca="false">IF(G258&gt;=0,A258,"")</f>
        <v/>
      </c>
      <c r="K258" s="7" t="n">
        <f aca="false">IF(G258&lt;0,A258,0)</f>
        <v>253</v>
      </c>
    </row>
    <row r="259" customFormat="false" ht="15" hidden="false" customHeight="false" outlineLevel="0" collapsed="false">
      <c r="A259" s="7" t="n">
        <f aca="false">A258+1</f>
        <v>254</v>
      </c>
      <c r="B259" s="7" t="n">
        <f aca="false">MAX('Giả định'!$B$9,ROUNDUP(A259/'Giả định'!$B$7,0)+'Giả định'!$B$8)</f>
        <v>27</v>
      </c>
      <c r="C259" s="25" t="n">
        <f aca="false">('Chi phí'!$C$76+'Chi phí'!$D$76*B259+'Chi phí'!$E$76*A259+'Giả định'!$B$15*('Chi phí'!$F$76+'Chi phí'!$G$76*B259+'Chi phí'!$H$76*A259))*(1+'Giả định'!$B$16)</f>
        <v>315714960</v>
      </c>
      <c r="D259" s="25" t="n">
        <f aca="false">('Chi phí'!$C$77+'Chi phí'!$D$77*B259+'Chi phí'!$E$77*A259+'Giả định'!$B$15*('Chi phí'!$F$77+'Chi phí'!$G$77*B259+'Chi phí'!$H$77*A259))*(1+'Giả định'!$B$16)</f>
        <v>459319960</v>
      </c>
      <c r="E259" s="25" t="n">
        <f aca="false">A259/'Giả định'!$B$19*'Giả định'!$B$20+A259*'Giả định'!$B$23+'Giả định'!$B$24</f>
        <v>94556302.5210084</v>
      </c>
      <c r="F259" s="25" t="n">
        <f aca="false">E259-D259</f>
        <v>-364763657.478992</v>
      </c>
      <c r="G259" s="25" t="n">
        <f aca="false">E259-C259</f>
        <v>-221158657.478992</v>
      </c>
      <c r="H259" s="7" t="str">
        <f aca="false">IF(F259&gt;=0,A259,"")</f>
        <v/>
      </c>
      <c r="I259" s="7" t="n">
        <f aca="false">IF(F259&lt;0,A259,0)</f>
        <v>254</v>
      </c>
      <c r="J259" s="7" t="str">
        <f aca="false">IF(G259&gt;=0,A259,"")</f>
        <v/>
      </c>
      <c r="K259" s="7" t="n">
        <f aca="false">IF(G259&lt;0,A259,0)</f>
        <v>254</v>
      </c>
    </row>
    <row r="260" customFormat="false" ht="15" hidden="false" customHeight="false" outlineLevel="0" collapsed="false">
      <c r="A260" s="7" t="n">
        <f aca="false">A259+1</f>
        <v>255</v>
      </c>
      <c r="B260" s="7" t="n">
        <f aca="false">MAX('Giả định'!$B$9,ROUNDUP(A260/'Giả định'!$B$7,0)+'Giả định'!$B$8)</f>
        <v>27</v>
      </c>
      <c r="C260" s="25" t="n">
        <f aca="false">('Chi phí'!$C$76+'Chi phí'!$D$76*B260+'Chi phí'!$E$76*A260+'Giả định'!$B$15*('Chi phí'!$F$76+'Chi phí'!$G$76*B260+'Chi phí'!$H$76*A260))*(1+'Giả định'!$B$16)</f>
        <v>315751700</v>
      </c>
      <c r="D260" s="25" t="n">
        <f aca="false">('Chi phí'!$C$77+'Chi phí'!$D$77*B260+'Chi phí'!$E$77*A260+'Giả định'!$B$15*('Chi phí'!$F$77+'Chi phí'!$G$77*B260+'Chi phí'!$H$77*A260))*(1+'Giả định'!$B$16)</f>
        <v>459356700</v>
      </c>
      <c r="E260" s="25" t="n">
        <f aca="false">A260/'Giả định'!$B$19*'Giả định'!$B$20+A260*'Giả định'!$B$23+'Giả định'!$B$24</f>
        <v>94928571.4285714</v>
      </c>
      <c r="F260" s="25" t="n">
        <f aca="false">E260-D260</f>
        <v>-364428128.571429</v>
      </c>
      <c r="G260" s="25" t="n">
        <f aca="false">E260-C260</f>
        <v>-220823128.571429</v>
      </c>
      <c r="H260" s="7" t="str">
        <f aca="false">IF(F260&gt;=0,A260,"")</f>
        <v/>
      </c>
      <c r="I260" s="7" t="n">
        <f aca="false">IF(F260&lt;0,A260,0)</f>
        <v>255</v>
      </c>
      <c r="J260" s="7" t="str">
        <f aca="false">IF(G260&gt;=0,A260,"")</f>
        <v/>
      </c>
      <c r="K260" s="7" t="n">
        <f aca="false">IF(G260&lt;0,A260,0)</f>
        <v>255</v>
      </c>
    </row>
    <row r="261" customFormat="false" ht="15" hidden="false" customHeight="false" outlineLevel="0" collapsed="false">
      <c r="A261" s="7" t="n">
        <f aca="false">A260+1</f>
        <v>256</v>
      </c>
      <c r="B261" s="7" t="n">
        <f aca="false">MAX('Giả định'!$B$9,ROUNDUP(A261/'Giả định'!$B$7,0)+'Giả định'!$B$8)</f>
        <v>27</v>
      </c>
      <c r="C261" s="25" t="n">
        <f aca="false">('Chi phí'!$C$76+'Chi phí'!$D$76*B261+'Chi phí'!$E$76*A261+'Giả định'!$B$15*('Chi phí'!$F$76+'Chi phí'!$G$76*B261+'Chi phí'!$H$76*A261))*(1+'Giả định'!$B$16)</f>
        <v>315788440</v>
      </c>
      <c r="D261" s="25" t="n">
        <f aca="false">('Chi phí'!$C$77+'Chi phí'!$D$77*B261+'Chi phí'!$E$77*A261+'Giả định'!$B$15*('Chi phí'!$F$77+'Chi phí'!$G$77*B261+'Chi phí'!$H$77*A261))*(1+'Giả định'!$B$16)</f>
        <v>459393440</v>
      </c>
      <c r="E261" s="25" t="n">
        <f aca="false">A261/'Giả định'!$B$19*'Giả định'!$B$20+A261*'Giả định'!$B$23+'Giả định'!$B$24</f>
        <v>95300840.3361345</v>
      </c>
      <c r="F261" s="25" t="n">
        <f aca="false">E261-D261</f>
        <v>-364092599.663866</v>
      </c>
      <c r="G261" s="25" t="n">
        <f aca="false">E261-C261</f>
        <v>-220487599.663866</v>
      </c>
      <c r="H261" s="7" t="str">
        <f aca="false">IF(F261&gt;=0,A261,"")</f>
        <v/>
      </c>
      <c r="I261" s="7" t="n">
        <f aca="false">IF(F261&lt;0,A261,0)</f>
        <v>256</v>
      </c>
      <c r="J261" s="7" t="str">
        <f aca="false">IF(G261&gt;=0,A261,"")</f>
        <v/>
      </c>
      <c r="K261" s="7" t="n">
        <f aca="false">IF(G261&lt;0,A261,0)</f>
        <v>256</v>
      </c>
    </row>
    <row r="262" customFormat="false" ht="15" hidden="false" customHeight="false" outlineLevel="0" collapsed="false">
      <c r="A262" s="7" t="n">
        <f aca="false">A261+1</f>
        <v>257</v>
      </c>
      <c r="B262" s="7" t="n">
        <f aca="false">MAX('Giả định'!$B$9,ROUNDUP(A262/'Giả định'!$B$7,0)+'Giả định'!$B$8)</f>
        <v>27</v>
      </c>
      <c r="C262" s="25" t="n">
        <f aca="false">('Chi phí'!$C$76+'Chi phí'!$D$76*B262+'Chi phí'!$E$76*A262+'Giả định'!$B$15*('Chi phí'!$F$76+'Chi phí'!$G$76*B262+'Chi phí'!$H$76*A262))*(1+'Giả định'!$B$16)</f>
        <v>315825180</v>
      </c>
      <c r="D262" s="25" t="n">
        <f aca="false">('Chi phí'!$C$77+'Chi phí'!$D$77*B262+'Chi phí'!$E$77*A262+'Giả định'!$B$15*('Chi phí'!$F$77+'Chi phí'!$G$77*B262+'Chi phí'!$H$77*A262))*(1+'Giả định'!$B$16)</f>
        <v>459430180</v>
      </c>
      <c r="E262" s="25" t="n">
        <f aca="false">A262/'Giả định'!$B$19*'Giả định'!$B$20+A262*'Giả định'!$B$23+'Giả định'!$B$24</f>
        <v>95673109.2436975</v>
      </c>
      <c r="F262" s="25" t="n">
        <f aca="false">E262-D262</f>
        <v>-363757070.756303</v>
      </c>
      <c r="G262" s="25" t="n">
        <f aca="false">E262-C262</f>
        <v>-220152070.756303</v>
      </c>
      <c r="H262" s="7" t="str">
        <f aca="false">IF(F262&gt;=0,A262,"")</f>
        <v/>
      </c>
      <c r="I262" s="7" t="n">
        <f aca="false">IF(F262&lt;0,A262,0)</f>
        <v>257</v>
      </c>
      <c r="J262" s="7" t="str">
        <f aca="false">IF(G262&gt;=0,A262,"")</f>
        <v/>
      </c>
      <c r="K262" s="7" t="n">
        <f aca="false">IF(G262&lt;0,A262,0)</f>
        <v>257</v>
      </c>
    </row>
    <row r="263" customFormat="false" ht="15" hidden="false" customHeight="false" outlineLevel="0" collapsed="false">
      <c r="A263" s="7" t="n">
        <f aca="false">A262+1</f>
        <v>258</v>
      </c>
      <c r="B263" s="7" t="n">
        <f aca="false">MAX('Giả định'!$B$9,ROUNDUP(A263/'Giả định'!$B$7,0)+'Giả định'!$B$8)</f>
        <v>27</v>
      </c>
      <c r="C263" s="25" t="n">
        <f aca="false">('Chi phí'!$C$76+'Chi phí'!$D$76*B263+'Chi phí'!$E$76*A263+'Giả định'!$B$15*('Chi phí'!$F$76+'Chi phí'!$G$76*B263+'Chi phí'!$H$76*A263))*(1+'Giả định'!$B$16)</f>
        <v>315861920</v>
      </c>
      <c r="D263" s="25" t="n">
        <f aca="false">('Chi phí'!$C$77+'Chi phí'!$D$77*B263+'Chi phí'!$E$77*A263+'Giả định'!$B$15*('Chi phí'!$F$77+'Chi phí'!$G$77*B263+'Chi phí'!$H$77*A263))*(1+'Giả định'!$B$16)</f>
        <v>459466920</v>
      </c>
      <c r="E263" s="25" t="n">
        <f aca="false">A263/'Giả định'!$B$19*'Giả định'!$B$20+A263*'Giả định'!$B$23+'Giả định'!$B$24</f>
        <v>96045378.1512605</v>
      </c>
      <c r="F263" s="25" t="n">
        <f aca="false">E263-D263</f>
        <v>-363421541.84874</v>
      </c>
      <c r="G263" s="25" t="n">
        <f aca="false">E263-C263</f>
        <v>-219816541.84874</v>
      </c>
      <c r="H263" s="7" t="str">
        <f aca="false">IF(F263&gt;=0,A263,"")</f>
        <v/>
      </c>
      <c r="I263" s="7" t="n">
        <f aca="false">IF(F263&lt;0,A263,0)</f>
        <v>258</v>
      </c>
      <c r="J263" s="7" t="str">
        <f aca="false">IF(G263&gt;=0,A263,"")</f>
        <v/>
      </c>
      <c r="K263" s="7" t="n">
        <f aca="false">IF(G263&lt;0,A263,0)</f>
        <v>258</v>
      </c>
    </row>
    <row r="264" customFormat="false" ht="15" hidden="false" customHeight="false" outlineLevel="0" collapsed="false">
      <c r="A264" s="7" t="n">
        <f aca="false">A263+1</f>
        <v>259</v>
      </c>
      <c r="B264" s="7" t="n">
        <f aca="false">MAX('Giả định'!$B$9,ROUNDUP(A264/'Giả định'!$B$7,0)+'Giả định'!$B$8)</f>
        <v>27</v>
      </c>
      <c r="C264" s="25" t="n">
        <f aca="false">('Chi phí'!$C$76+'Chi phí'!$D$76*B264+'Chi phí'!$E$76*A264+'Giả định'!$B$15*('Chi phí'!$F$76+'Chi phí'!$G$76*B264+'Chi phí'!$H$76*A264))*(1+'Giả định'!$B$16)</f>
        <v>315898660</v>
      </c>
      <c r="D264" s="25" t="n">
        <f aca="false">('Chi phí'!$C$77+'Chi phí'!$D$77*B264+'Chi phí'!$E$77*A264+'Giả định'!$B$15*('Chi phí'!$F$77+'Chi phí'!$G$77*B264+'Chi phí'!$H$77*A264))*(1+'Giả định'!$B$16)</f>
        <v>459503660</v>
      </c>
      <c r="E264" s="25" t="n">
        <f aca="false">A264/'Giả định'!$B$19*'Giả định'!$B$20+A264*'Giả định'!$B$23+'Giả định'!$B$24</f>
        <v>96417647.0588235</v>
      </c>
      <c r="F264" s="25" t="n">
        <f aca="false">E264-D264</f>
        <v>-363086012.941177</v>
      </c>
      <c r="G264" s="25" t="n">
        <f aca="false">E264-C264</f>
        <v>-219481012.941176</v>
      </c>
      <c r="H264" s="7" t="str">
        <f aca="false">IF(F264&gt;=0,A264,"")</f>
        <v/>
      </c>
      <c r="I264" s="7" t="n">
        <f aca="false">IF(F264&lt;0,A264,0)</f>
        <v>259</v>
      </c>
      <c r="J264" s="7" t="str">
        <f aca="false">IF(G264&gt;=0,A264,"")</f>
        <v/>
      </c>
      <c r="K264" s="7" t="n">
        <f aca="false">IF(G264&lt;0,A264,0)</f>
        <v>259</v>
      </c>
    </row>
    <row r="265" customFormat="false" ht="15" hidden="false" customHeight="false" outlineLevel="0" collapsed="false">
      <c r="A265" s="7" t="n">
        <f aca="false">A264+1</f>
        <v>260</v>
      </c>
      <c r="B265" s="7" t="n">
        <f aca="false">MAX('Giả định'!$B$9,ROUNDUP(A265/'Giả định'!$B$7,0)+'Giả định'!$B$8)</f>
        <v>27</v>
      </c>
      <c r="C265" s="25" t="n">
        <f aca="false">('Chi phí'!$C$76+'Chi phí'!$D$76*B265+'Chi phí'!$E$76*A265+'Giả định'!$B$15*('Chi phí'!$F$76+'Chi phí'!$G$76*B265+'Chi phí'!$H$76*A265))*(1+'Giả định'!$B$16)</f>
        <v>315935400</v>
      </c>
      <c r="D265" s="25" t="n">
        <f aca="false">('Chi phí'!$C$77+'Chi phí'!$D$77*B265+'Chi phí'!$E$77*A265+'Giả định'!$B$15*('Chi phí'!$F$77+'Chi phí'!$G$77*B265+'Chi phí'!$H$77*A265))*(1+'Giả định'!$B$16)</f>
        <v>459540400</v>
      </c>
      <c r="E265" s="25" t="n">
        <f aca="false">A265/'Giả định'!$B$19*'Giả định'!$B$20+A265*'Giả định'!$B$23+'Giả định'!$B$24</f>
        <v>96789915.9663866</v>
      </c>
      <c r="F265" s="25" t="n">
        <f aca="false">E265-D265</f>
        <v>-362750484.033614</v>
      </c>
      <c r="G265" s="25" t="n">
        <f aca="false">E265-C265</f>
        <v>-219145484.033613</v>
      </c>
      <c r="H265" s="7" t="str">
        <f aca="false">IF(F265&gt;=0,A265,"")</f>
        <v/>
      </c>
      <c r="I265" s="7" t="n">
        <f aca="false">IF(F265&lt;0,A265,0)</f>
        <v>260</v>
      </c>
      <c r="J265" s="7" t="str">
        <f aca="false">IF(G265&gt;=0,A265,"")</f>
        <v/>
      </c>
      <c r="K265" s="7" t="n">
        <f aca="false">IF(G265&lt;0,A265,0)</f>
        <v>260</v>
      </c>
    </row>
    <row r="266" customFormat="false" ht="15" hidden="false" customHeight="false" outlineLevel="0" collapsed="false">
      <c r="A266" s="7" t="n">
        <f aca="false">A265+1</f>
        <v>261</v>
      </c>
      <c r="B266" s="7" t="n">
        <f aca="false">MAX('Giả định'!$B$9,ROUNDUP(A266/'Giả định'!$B$7,0)+'Giả định'!$B$8)</f>
        <v>28</v>
      </c>
      <c r="C266" s="25" t="n">
        <f aca="false">('Chi phí'!$C$76+'Chi phí'!$D$76*B266+'Chi phí'!$E$76*A266+'Giả định'!$B$15*('Chi phí'!$F$76+'Chi phí'!$G$76*B266+'Chi phí'!$H$76*A266))*(1+'Giả định'!$B$16)</f>
        <v>325146140</v>
      </c>
      <c r="D266" s="25" t="n">
        <f aca="false">('Chi phí'!$C$77+'Chi phí'!$D$77*B266+'Chi phí'!$E$77*A266+'Giả định'!$B$15*('Chi phí'!$F$77+'Chi phí'!$G$77*B266+'Chi phí'!$H$77*A266))*(1+'Giả định'!$B$16)</f>
        <v>468751140</v>
      </c>
      <c r="E266" s="25" t="n">
        <f aca="false">A266/'Giả định'!$B$19*'Giả định'!$B$20+A266*'Giả định'!$B$23+'Giả định'!$B$24</f>
        <v>97162184.8739496</v>
      </c>
      <c r="F266" s="25" t="n">
        <f aca="false">E266-D266</f>
        <v>-371588955.126051</v>
      </c>
      <c r="G266" s="25" t="n">
        <f aca="false">E266-C266</f>
        <v>-227983955.12605</v>
      </c>
      <c r="H266" s="7" t="str">
        <f aca="false">IF(F266&gt;=0,A266,"")</f>
        <v/>
      </c>
      <c r="I266" s="7" t="n">
        <f aca="false">IF(F266&lt;0,A266,0)</f>
        <v>261</v>
      </c>
      <c r="J266" s="7" t="str">
        <f aca="false">IF(G266&gt;=0,A266,"")</f>
        <v/>
      </c>
      <c r="K266" s="7" t="n">
        <f aca="false">IF(G266&lt;0,A266,0)</f>
        <v>261</v>
      </c>
    </row>
    <row r="267" customFormat="false" ht="15" hidden="false" customHeight="false" outlineLevel="0" collapsed="false">
      <c r="A267" s="7" t="n">
        <f aca="false">A266+1</f>
        <v>262</v>
      </c>
      <c r="B267" s="7" t="n">
        <f aca="false">MAX('Giả định'!$B$9,ROUNDUP(A267/'Giả định'!$B$7,0)+'Giả định'!$B$8)</f>
        <v>28</v>
      </c>
      <c r="C267" s="25" t="n">
        <f aca="false">('Chi phí'!$C$76+'Chi phí'!$D$76*B267+'Chi phí'!$E$76*A267+'Giả định'!$B$15*('Chi phí'!$F$76+'Chi phí'!$G$76*B267+'Chi phí'!$H$76*A267))*(1+'Giả định'!$B$16)</f>
        <v>325182880</v>
      </c>
      <c r="D267" s="25" t="n">
        <f aca="false">('Chi phí'!$C$77+'Chi phí'!$D$77*B267+'Chi phí'!$E$77*A267+'Giả định'!$B$15*('Chi phí'!$F$77+'Chi phí'!$G$77*B267+'Chi phí'!$H$77*A267))*(1+'Giả định'!$B$16)</f>
        <v>468787880</v>
      </c>
      <c r="E267" s="25" t="n">
        <f aca="false">A267/'Giả định'!$B$19*'Giả định'!$B$20+A267*'Giả định'!$B$23+'Giả định'!$B$24</f>
        <v>97534453.7815126</v>
      </c>
      <c r="F267" s="25" t="n">
        <f aca="false">E267-D267</f>
        <v>-371253426.218487</v>
      </c>
      <c r="G267" s="25" t="n">
        <f aca="false">E267-C267</f>
        <v>-227648426.218487</v>
      </c>
      <c r="H267" s="7" t="str">
        <f aca="false">IF(F267&gt;=0,A267,"")</f>
        <v/>
      </c>
      <c r="I267" s="7" t="n">
        <f aca="false">IF(F267&lt;0,A267,0)</f>
        <v>262</v>
      </c>
      <c r="J267" s="7" t="str">
        <f aca="false">IF(G267&gt;=0,A267,"")</f>
        <v/>
      </c>
      <c r="K267" s="7" t="n">
        <f aca="false">IF(G267&lt;0,A267,0)</f>
        <v>262</v>
      </c>
    </row>
    <row r="268" customFormat="false" ht="15" hidden="false" customHeight="false" outlineLevel="0" collapsed="false">
      <c r="A268" s="7" t="n">
        <f aca="false">A267+1</f>
        <v>263</v>
      </c>
      <c r="B268" s="7" t="n">
        <f aca="false">MAX('Giả định'!$B$9,ROUNDUP(A268/'Giả định'!$B$7,0)+'Giả định'!$B$8)</f>
        <v>28</v>
      </c>
      <c r="C268" s="25" t="n">
        <f aca="false">('Chi phí'!$C$76+'Chi phí'!$D$76*B268+'Chi phí'!$E$76*A268+'Giả định'!$B$15*('Chi phí'!$F$76+'Chi phí'!$G$76*B268+'Chi phí'!$H$76*A268))*(1+'Giả định'!$B$16)</f>
        <v>325219620</v>
      </c>
      <c r="D268" s="25" t="n">
        <f aca="false">('Chi phí'!$C$77+'Chi phí'!$D$77*B268+'Chi phí'!$E$77*A268+'Giả định'!$B$15*('Chi phí'!$F$77+'Chi phí'!$G$77*B268+'Chi phí'!$H$77*A268))*(1+'Giả định'!$B$16)</f>
        <v>468824620</v>
      </c>
      <c r="E268" s="25" t="n">
        <f aca="false">A268/'Giả định'!$B$19*'Giả định'!$B$20+A268*'Giả định'!$B$23+'Giả định'!$B$24</f>
        <v>97906722.6890756</v>
      </c>
      <c r="F268" s="25" t="n">
        <f aca="false">E268-D268</f>
        <v>-370917897.310924</v>
      </c>
      <c r="G268" s="25" t="n">
        <f aca="false">E268-C268</f>
        <v>-227312897.310924</v>
      </c>
      <c r="H268" s="7" t="str">
        <f aca="false">IF(F268&gt;=0,A268,"")</f>
        <v/>
      </c>
      <c r="I268" s="7" t="n">
        <f aca="false">IF(F268&lt;0,A268,0)</f>
        <v>263</v>
      </c>
      <c r="J268" s="7" t="str">
        <f aca="false">IF(G268&gt;=0,A268,"")</f>
        <v/>
      </c>
      <c r="K268" s="7" t="n">
        <f aca="false">IF(G268&lt;0,A268,0)</f>
        <v>263</v>
      </c>
    </row>
    <row r="269" customFormat="false" ht="15" hidden="false" customHeight="false" outlineLevel="0" collapsed="false">
      <c r="A269" s="7" t="n">
        <f aca="false">A268+1</f>
        <v>264</v>
      </c>
      <c r="B269" s="7" t="n">
        <f aca="false">MAX('Giả định'!$B$9,ROUNDUP(A269/'Giả định'!$B$7,0)+'Giả định'!$B$8)</f>
        <v>28</v>
      </c>
      <c r="C269" s="25" t="n">
        <f aca="false">('Chi phí'!$C$76+'Chi phí'!$D$76*B269+'Chi phí'!$E$76*A269+'Giả định'!$B$15*('Chi phí'!$F$76+'Chi phí'!$G$76*B269+'Chi phí'!$H$76*A269))*(1+'Giả định'!$B$16)</f>
        <v>325256360</v>
      </c>
      <c r="D269" s="25" t="n">
        <f aca="false">('Chi phí'!$C$77+'Chi phí'!$D$77*B269+'Chi phí'!$E$77*A269+'Giả định'!$B$15*('Chi phí'!$F$77+'Chi phí'!$G$77*B269+'Chi phí'!$H$77*A269))*(1+'Giả định'!$B$16)</f>
        <v>468861360</v>
      </c>
      <c r="E269" s="25" t="n">
        <f aca="false">A269/'Giả định'!$B$19*'Giả định'!$B$20+A269*'Giả định'!$B$23+'Giả định'!$B$24</f>
        <v>98278991.5966387</v>
      </c>
      <c r="F269" s="25" t="n">
        <f aca="false">E269-D269</f>
        <v>-370582368.403361</v>
      </c>
      <c r="G269" s="25" t="n">
        <f aca="false">E269-C269</f>
        <v>-226977368.403361</v>
      </c>
      <c r="H269" s="7" t="str">
        <f aca="false">IF(F269&gt;=0,A269,"")</f>
        <v/>
      </c>
      <c r="I269" s="7" t="n">
        <f aca="false">IF(F269&lt;0,A269,0)</f>
        <v>264</v>
      </c>
      <c r="J269" s="7" t="str">
        <f aca="false">IF(G269&gt;=0,A269,"")</f>
        <v/>
      </c>
      <c r="K269" s="7" t="n">
        <f aca="false">IF(G269&lt;0,A269,0)</f>
        <v>264</v>
      </c>
    </row>
    <row r="270" customFormat="false" ht="15" hidden="false" customHeight="false" outlineLevel="0" collapsed="false">
      <c r="A270" s="7" t="n">
        <f aca="false">A269+1</f>
        <v>265</v>
      </c>
      <c r="B270" s="7" t="n">
        <f aca="false">MAX('Giả định'!$B$9,ROUNDUP(A270/'Giả định'!$B$7,0)+'Giả định'!$B$8)</f>
        <v>28</v>
      </c>
      <c r="C270" s="25" t="n">
        <f aca="false">('Chi phí'!$C$76+'Chi phí'!$D$76*B270+'Chi phí'!$E$76*A270+'Giả định'!$B$15*('Chi phí'!$F$76+'Chi phí'!$G$76*B270+'Chi phí'!$H$76*A270))*(1+'Giả định'!$B$16)</f>
        <v>325293100</v>
      </c>
      <c r="D270" s="25" t="n">
        <f aca="false">('Chi phí'!$C$77+'Chi phí'!$D$77*B270+'Chi phí'!$E$77*A270+'Giả định'!$B$15*('Chi phí'!$F$77+'Chi phí'!$G$77*B270+'Chi phí'!$H$77*A270))*(1+'Giả định'!$B$16)</f>
        <v>468898100</v>
      </c>
      <c r="E270" s="25" t="n">
        <f aca="false">A270/'Giả định'!$B$19*'Giả định'!$B$20+A270*'Giả định'!$B$23+'Giả định'!$B$24</f>
        <v>98651260.5042017</v>
      </c>
      <c r="F270" s="25" t="n">
        <f aca="false">E270-D270</f>
        <v>-370246839.495798</v>
      </c>
      <c r="G270" s="25" t="n">
        <f aca="false">E270-C270</f>
        <v>-226641839.495798</v>
      </c>
      <c r="H270" s="7" t="str">
        <f aca="false">IF(F270&gt;=0,A270,"")</f>
        <v/>
      </c>
      <c r="I270" s="7" t="n">
        <f aca="false">IF(F270&lt;0,A270,0)</f>
        <v>265</v>
      </c>
      <c r="J270" s="7" t="str">
        <f aca="false">IF(G270&gt;=0,A270,"")</f>
        <v/>
      </c>
      <c r="K270" s="7" t="n">
        <f aca="false">IF(G270&lt;0,A270,0)</f>
        <v>265</v>
      </c>
    </row>
    <row r="271" customFormat="false" ht="15" hidden="false" customHeight="false" outlineLevel="0" collapsed="false">
      <c r="A271" s="7" t="n">
        <f aca="false">A270+1</f>
        <v>266</v>
      </c>
      <c r="B271" s="7" t="n">
        <f aca="false">MAX('Giả định'!$B$9,ROUNDUP(A271/'Giả định'!$B$7,0)+'Giả định'!$B$8)</f>
        <v>28</v>
      </c>
      <c r="C271" s="25" t="n">
        <f aca="false">('Chi phí'!$C$76+'Chi phí'!$D$76*B271+'Chi phí'!$E$76*A271+'Giả định'!$B$15*('Chi phí'!$F$76+'Chi phí'!$G$76*B271+'Chi phí'!$H$76*A271))*(1+'Giả định'!$B$16)</f>
        <v>325329840</v>
      </c>
      <c r="D271" s="25" t="n">
        <f aca="false">('Chi phí'!$C$77+'Chi phí'!$D$77*B271+'Chi phí'!$E$77*A271+'Giả định'!$B$15*('Chi phí'!$F$77+'Chi phí'!$G$77*B271+'Chi phí'!$H$77*A271))*(1+'Giả định'!$B$16)</f>
        <v>468934840</v>
      </c>
      <c r="E271" s="25" t="n">
        <f aca="false">A271/'Giả định'!$B$19*'Giả định'!$B$20+A271*'Giả định'!$B$23+'Giả định'!$B$24</f>
        <v>99023529.4117647</v>
      </c>
      <c r="F271" s="25" t="n">
        <f aca="false">E271-D271</f>
        <v>-369911310.588235</v>
      </c>
      <c r="G271" s="25" t="n">
        <f aca="false">E271-C271</f>
        <v>-226306310.588235</v>
      </c>
      <c r="H271" s="7" t="str">
        <f aca="false">IF(F271&gt;=0,A271,"")</f>
        <v/>
      </c>
      <c r="I271" s="7" t="n">
        <f aca="false">IF(F271&lt;0,A271,0)</f>
        <v>266</v>
      </c>
      <c r="J271" s="7" t="str">
        <f aca="false">IF(G271&gt;=0,A271,"")</f>
        <v/>
      </c>
      <c r="K271" s="7" t="n">
        <f aca="false">IF(G271&lt;0,A271,0)</f>
        <v>266</v>
      </c>
    </row>
    <row r="272" customFormat="false" ht="15" hidden="false" customHeight="false" outlineLevel="0" collapsed="false">
      <c r="A272" s="7" t="n">
        <f aca="false">A271+1</f>
        <v>267</v>
      </c>
      <c r="B272" s="7" t="n">
        <f aca="false">MAX('Giả định'!$B$9,ROUNDUP(A272/'Giả định'!$B$7,0)+'Giả định'!$B$8)</f>
        <v>28</v>
      </c>
      <c r="C272" s="25" t="n">
        <f aca="false">('Chi phí'!$C$76+'Chi phí'!$D$76*B272+'Chi phí'!$E$76*A272+'Giả định'!$B$15*('Chi phí'!$F$76+'Chi phí'!$G$76*B272+'Chi phí'!$H$76*A272))*(1+'Giả định'!$B$16)</f>
        <v>325366580</v>
      </c>
      <c r="D272" s="25" t="n">
        <f aca="false">('Chi phí'!$C$77+'Chi phí'!$D$77*B272+'Chi phí'!$E$77*A272+'Giả định'!$B$15*('Chi phí'!$F$77+'Chi phí'!$G$77*B272+'Chi phí'!$H$77*A272))*(1+'Giả định'!$B$16)</f>
        <v>468971580</v>
      </c>
      <c r="E272" s="25" t="n">
        <f aca="false">A272/'Giả định'!$B$19*'Giả định'!$B$20+A272*'Giả định'!$B$23+'Giả định'!$B$24</f>
        <v>99395798.3193277</v>
      </c>
      <c r="F272" s="25" t="n">
        <f aca="false">E272-D272</f>
        <v>-369575781.680672</v>
      </c>
      <c r="G272" s="25" t="n">
        <f aca="false">E272-C272</f>
        <v>-225970781.680672</v>
      </c>
      <c r="H272" s="7" t="str">
        <f aca="false">IF(F272&gt;=0,A272,"")</f>
        <v/>
      </c>
      <c r="I272" s="7" t="n">
        <f aca="false">IF(F272&lt;0,A272,0)</f>
        <v>267</v>
      </c>
      <c r="J272" s="7" t="str">
        <f aca="false">IF(G272&gt;=0,A272,"")</f>
        <v/>
      </c>
      <c r="K272" s="7" t="n">
        <f aca="false">IF(G272&lt;0,A272,0)</f>
        <v>267</v>
      </c>
    </row>
    <row r="273" customFormat="false" ht="15" hidden="false" customHeight="false" outlineLevel="0" collapsed="false">
      <c r="A273" s="7" t="n">
        <f aca="false">A272+1</f>
        <v>268</v>
      </c>
      <c r="B273" s="7" t="n">
        <f aca="false">MAX('Giả định'!$B$9,ROUNDUP(A273/'Giả định'!$B$7,0)+'Giả định'!$B$8)</f>
        <v>28</v>
      </c>
      <c r="C273" s="25" t="n">
        <f aca="false">('Chi phí'!$C$76+'Chi phí'!$D$76*B273+'Chi phí'!$E$76*A273+'Giả định'!$B$15*('Chi phí'!$F$76+'Chi phí'!$G$76*B273+'Chi phí'!$H$76*A273))*(1+'Giả định'!$B$16)</f>
        <v>325403320</v>
      </c>
      <c r="D273" s="25" t="n">
        <f aca="false">('Chi phí'!$C$77+'Chi phí'!$D$77*B273+'Chi phí'!$E$77*A273+'Giả định'!$B$15*('Chi phí'!$F$77+'Chi phí'!$G$77*B273+'Chi phí'!$H$77*A273))*(1+'Giả định'!$B$16)</f>
        <v>469008320</v>
      </c>
      <c r="E273" s="25" t="n">
        <f aca="false">A273/'Giả định'!$B$19*'Giả định'!$B$20+A273*'Giả định'!$B$23+'Giả định'!$B$24</f>
        <v>99768067.2268908</v>
      </c>
      <c r="F273" s="25" t="n">
        <f aca="false">E273-D273</f>
        <v>-369240252.773109</v>
      </c>
      <c r="G273" s="25" t="n">
        <f aca="false">E273-C273</f>
        <v>-225635252.773109</v>
      </c>
      <c r="H273" s="7" t="str">
        <f aca="false">IF(F273&gt;=0,A273,"")</f>
        <v/>
      </c>
      <c r="I273" s="7" t="n">
        <f aca="false">IF(F273&lt;0,A273,0)</f>
        <v>268</v>
      </c>
      <c r="J273" s="7" t="str">
        <f aca="false">IF(G273&gt;=0,A273,"")</f>
        <v/>
      </c>
      <c r="K273" s="7" t="n">
        <f aca="false">IF(G273&lt;0,A273,0)</f>
        <v>268</v>
      </c>
    </row>
    <row r="274" customFormat="false" ht="15" hidden="false" customHeight="false" outlineLevel="0" collapsed="false">
      <c r="A274" s="7" t="n">
        <f aca="false">A273+1</f>
        <v>269</v>
      </c>
      <c r="B274" s="7" t="n">
        <f aca="false">MAX('Giả định'!$B$9,ROUNDUP(A274/'Giả định'!$B$7,0)+'Giả định'!$B$8)</f>
        <v>28</v>
      </c>
      <c r="C274" s="25" t="n">
        <f aca="false">('Chi phí'!$C$76+'Chi phí'!$D$76*B274+'Chi phí'!$E$76*A274+'Giả định'!$B$15*('Chi phí'!$F$76+'Chi phí'!$G$76*B274+'Chi phí'!$H$76*A274))*(1+'Giả định'!$B$16)</f>
        <v>325440060</v>
      </c>
      <c r="D274" s="25" t="n">
        <f aca="false">('Chi phí'!$C$77+'Chi phí'!$D$77*B274+'Chi phí'!$E$77*A274+'Giả định'!$B$15*('Chi phí'!$F$77+'Chi phí'!$G$77*B274+'Chi phí'!$H$77*A274))*(1+'Giả định'!$B$16)</f>
        <v>469045060</v>
      </c>
      <c r="E274" s="25" t="n">
        <f aca="false">A274/'Giả định'!$B$19*'Giả định'!$B$20+A274*'Giả định'!$B$23+'Giả định'!$B$24</f>
        <v>100140336.134454</v>
      </c>
      <c r="F274" s="25" t="n">
        <f aca="false">E274-D274</f>
        <v>-368904723.865546</v>
      </c>
      <c r="G274" s="25" t="n">
        <f aca="false">E274-C274</f>
        <v>-225299723.865546</v>
      </c>
      <c r="H274" s="7" t="str">
        <f aca="false">IF(F274&gt;=0,A274,"")</f>
        <v/>
      </c>
      <c r="I274" s="7" t="n">
        <f aca="false">IF(F274&lt;0,A274,0)</f>
        <v>269</v>
      </c>
      <c r="J274" s="7" t="str">
        <f aca="false">IF(G274&gt;=0,A274,"")</f>
        <v/>
      </c>
      <c r="K274" s="7" t="n">
        <f aca="false">IF(G274&lt;0,A274,0)</f>
        <v>269</v>
      </c>
    </row>
    <row r="275" customFormat="false" ht="15" hidden="false" customHeight="false" outlineLevel="0" collapsed="false">
      <c r="A275" s="7" t="n">
        <f aca="false">A274+1</f>
        <v>270</v>
      </c>
      <c r="B275" s="7" t="n">
        <f aca="false">MAX('Giả định'!$B$9,ROUNDUP(A275/'Giả định'!$B$7,0)+'Giả định'!$B$8)</f>
        <v>28</v>
      </c>
      <c r="C275" s="25" t="n">
        <f aca="false">('Chi phí'!$C$76+'Chi phí'!$D$76*B275+'Chi phí'!$E$76*A275+'Giả định'!$B$15*('Chi phí'!$F$76+'Chi phí'!$G$76*B275+'Chi phí'!$H$76*A275))*(1+'Giả định'!$B$16)</f>
        <v>325476800</v>
      </c>
      <c r="D275" s="25" t="n">
        <f aca="false">('Chi phí'!$C$77+'Chi phí'!$D$77*B275+'Chi phí'!$E$77*A275+'Giả định'!$B$15*('Chi phí'!$F$77+'Chi phí'!$G$77*B275+'Chi phí'!$H$77*A275))*(1+'Giả định'!$B$16)</f>
        <v>469081800</v>
      </c>
      <c r="E275" s="25" t="n">
        <f aca="false">A275/'Giả định'!$B$19*'Giả định'!$B$20+A275*'Giả định'!$B$23+'Giả định'!$B$24</f>
        <v>100512605.042017</v>
      </c>
      <c r="F275" s="25" t="n">
        <f aca="false">E275-D275</f>
        <v>-368569194.957983</v>
      </c>
      <c r="G275" s="25" t="n">
        <f aca="false">E275-C275</f>
        <v>-224964194.957983</v>
      </c>
      <c r="H275" s="7" t="str">
        <f aca="false">IF(F275&gt;=0,A275,"")</f>
        <v/>
      </c>
      <c r="I275" s="7" t="n">
        <f aca="false">IF(F275&lt;0,A275,0)</f>
        <v>270</v>
      </c>
      <c r="J275" s="7" t="str">
        <f aca="false">IF(G275&gt;=0,A275,"")</f>
        <v/>
      </c>
      <c r="K275" s="7" t="n">
        <f aca="false">IF(G275&lt;0,A275,0)</f>
        <v>270</v>
      </c>
    </row>
    <row r="276" customFormat="false" ht="15" hidden="false" customHeight="false" outlineLevel="0" collapsed="false">
      <c r="A276" s="7" t="n">
        <f aca="false">A275+1</f>
        <v>271</v>
      </c>
      <c r="B276" s="7" t="n">
        <f aca="false">MAX('Giả định'!$B$9,ROUNDUP(A276/'Giả định'!$B$7,0)+'Giả định'!$B$8)</f>
        <v>29</v>
      </c>
      <c r="C276" s="25" t="n">
        <f aca="false">('Chi phí'!$C$76+'Chi phí'!$D$76*B276+'Chi phí'!$E$76*A276+'Giả định'!$B$15*('Chi phí'!$F$76+'Chi phí'!$G$76*B276+'Chi phí'!$H$76*A276))*(1+'Giả định'!$B$16)</f>
        <v>334687540</v>
      </c>
      <c r="D276" s="25" t="n">
        <f aca="false">('Chi phí'!$C$77+'Chi phí'!$D$77*B276+'Chi phí'!$E$77*A276+'Giả định'!$B$15*('Chi phí'!$F$77+'Chi phí'!$G$77*B276+'Chi phí'!$H$77*A276))*(1+'Giả định'!$B$16)</f>
        <v>478292540</v>
      </c>
      <c r="E276" s="25" t="n">
        <f aca="false">A276/'Giả định'!$B$19*'Giả định'!$B$20+A276*'Giả định'!$B$23+'Giả định'!$B$24</f>
        <v>100884873.94958</v>
      </c>
      <c r="F276" s="25" t="n">
        <f aca="false">E276-D276</f>
        <v>-377407666.05042</v>
      </c>
      <c r="G276" s="25" t="n">
        <f aca="false">E276-C276</f>
        <v>-233802666.05042</v>
      </c>
      <c r="H276" s="7" t="str">
        <f aca="false">IF(F276&gt;=0,A276,"")</f>
        <v/>
      </c>
      <c r="I276" s="7" t="n">
        <f aca="false">IF(F276&lt;0,A276,0)</f>
        <v>271</v>
      </c>
      <c r="J276" s="7" t="str">
        <f aca="false">IF(G276&gt;=0,A276,"")</f>
        <v/>
      </c>
      <c r="K276" s="7" t="n">
        <f aca="false">IF(G276&lt;0,A276,0)</f>
        <v>271</v>
      </c>
    </row>
    <row r="277" customFormat="false" ht="15" hidden="false" customHeight="false" outlineLevel="0" collapsed="false">
      <c r="A277" s="7" t="n">
        <f aca="false">A276+1</f>
        <v>272</v>
      </c>
      <c r="B277" s="7" t="n">
        <f aca="false">MAX('Giả định'!$B$9,ROUNDUP(A277/'Giả định'!$B$7,0)+'Giả định'!$B$8)</f>
        <v>29</v>
      </c>
      <c r="C277" s="25" t="n">
        <f aca="false">('Chi phí'!$C$76+'Chi phí'!$D$76*B277+'Chi phí'!$E$76*A277+'Giả định'!$B$15*('Chi phí'!$F$76+'Chi phí'!$G$76*B277+'Chi phí'!$H$76*A277))*(1+'Giả định'!$B$16)</f>
        <v>334724280</v>
      </c>
      <c r="D277" s="25" t="n">
        <f aca="false">('Chi phí'!$C$77+'Chi phí'!$D$77*B277+'Chi phí'!$E$77*A277+'Giả định'!$B$15*('Chi phí'!$F$77+'Chi phí'!$G$77*B277+'Chi phí'!$H$77*A277))*(1+'Giả định'!$B$16)</f>
        <v>478329280</v>
      </c>
      <c r="E277" s="25" t="n">
        <f aca="false">A277/'Giả định'!$B$19*'Giả định'!$B$20+A277*'Giả định'!$B$23+'Giả định'!$B$24</f>
        <v>101257142.857143</v>
      </c>
      <c r="F277" s="25" t="n">
        <f aca="false">E277-D277</f>
        <v>-377072137.142857</v>
      </c>
      <c r="G277" s="25" t="n">
        <f aca="false">E277-C277</f>
        <v>-233467137.142857</v>
      </c>
      <c r="H277" s="7" t="str">
        <f aca="false">IF(F277&gt;=0,A277,"")</f>
        <v/>
      </c>
      <c r="I277" s="7" t="n">
        <f aca="false">IF(F277&lt;0,A277,0)</f>
        <v>272</v>
      </c>
      <c r="J277" s="7" t="str">
        <f aca="false">IF(G277&gt;=0,A277,"")</f>
        <v/>
      </c>
      <c r="K277" s="7" t="n">
        <f aca="false">IF(G277&lt;0,A277,0)</f>
        <v>272</v>
      </c>
    </row>
    <row r="278" customFormat="false" ht="15" hidden="false" customHeight="false" outlineLevel="0" collapsed="false">
      <c r="A278" s="7" t="n">
        <f aca="false">A277+1</f>
        <v>273</v>
      </c>
      <c r="B278" s="7" t="n">
        <f aca="false">MAX('Giả định'!$B$9,ROUNDUP(A278/'Giả định'!$B$7,0)+'Giả định'!$B$8)</f>
        <v>29</v>
      </c>
      <c r="C278" s="25" t="n">
        <f aca="false">('Chi phí'!$C$76+'Chi phí'!$D$76*B278+'Chi phí'!$E$76*A278+'Giả định'!$B$15*('Chi phí'!$F$76+'Chi phí'!$G$76*B278+'Chi phí'!$H$76*A278))*(1+'Giả định'!$B$16)</f>
        <v>334761020</v>
      </c>
      <c r="D278" s="25" t="n">
        <f aca="false">('Chi phí'!$C$77+'Chi phí'!$D$77*B278+'Chi phí'!$E$77*A278+'Giả định'!$B$15*('Chi phí'!$F$77+'Chi phí'!$G$77*B278+'Chi phí'!$H$77*A278))*(1+'Giả định'!$B$16)</f>
        <v>478366020</v>
      </c>
      <c r="E278" s="25" t="n">
        <f aca="false">A278/'Giả định'!$B$19*'Giả định'!$B$20+A278*'Giả định'!$B$23+'Giả định'!$B$24</f>
        <v>101629411.764706</v>
      </c>
      <c r="F278" s="25" t="n">
        <f aca="false">E278-D278</f>
        <v>-376736608.235294</v>
      </c>
      <c r="G278" s="25" t="n">
        <f aca="false">E278-C278</f>
        <v>-233131608.235294</v>
      </c>
      <c r="H278" s="7" t="str">
        <f aca="false">IF(F278&gt;=0,A278,"")</f>
        <v/>
      </c>
      <c r="I278" s="7" t="n">
        <f aca="false">IF(F278&lt;0,A278,0)</f>
        <v>273</v>
      </c>
      <c r="J278" s="7" t="str">
        <f aca="false">IF(G278&gt;=0,A278,"")</f>
        <v/>
      </c>
      <c r="K278" s="7" t="n">
        <f aca="false">IF(G278&lt;0,A278,0)</f>
        <v>273</v>
      </c>
    </row>
    <row r="279" customFormat="false" ht="15" hidden="false" customHeight="false" outlineLevel="0" collapsed="false">
      <c r="A279" s="7" t="n">
        <f aca="false">A278+1</f>
        <v>274</v>
      </c>
      <c r="B279" s="7" t="n">
        <f aca="false">MAX('Giả định'!$B$9,ROUNDUP(A279/'Giả định'!$B$7,0)+'Giả định'!$B$8)</f>
        <v>29</v>
      </c>
      <c r="C279" s="25" t="n">
        <f aca="false">('Chi phí'!$C$76+'Chi phí'!$D$76*B279+'Chi phí'!$E$76*A279+'Giả định'!$B$15*('Chi phí'!$F$76+'Chi phí'!$G$76*B279+'Chi phí'!$H$76*A279))*(1+'Giả định'!$B$16)</f>
        <v>334797760</v>
      </c>
      <c r="D279" s="25" t="n">
        <f aca="false">('Chi phí'!$C$77+'Chi phí'!$D$77*B279+'Chi phí'!$E$77*A279+'Giả định'!$B$15*('Chi phí'!$F$77+'Chi phí'!$G$77*B279+'Chi phí'!$H$77*A279))*(1+'Giả định'!$B$16)</f>
        <v>478402760</v>
      </c>
      <c r="E279" s="25" t="n">
        <f aca="false">A279/'Giả định'!$B$19*'Giả định'!$B$20+A279*'Giả định'!$B$23+'Giả định'!$B$24</f>
        <v>102001680.672269</v>
      </c>
      <c r="F279" s="25" t="n">
        <f aca="false">E279-D279</f>
        <v>-376401079.327731</v>
      </c>
      <c r="G279" s="25" t="n">
        <f aca="false">E279-C279</f>
        <v>-232796079.327731</v>
      </c>
      <c r="H279" s="7" t="str">
        <f aca="false">IF(F279&gt;=0,A279,"")</f>
        <v/>
      </c>
      <c r="I279" s="7" t="n">
        <f aca="false">IF(F279&lt;0,A279,0)</f>
        <v>274</v>
      </c>
      <c r="J279" s="7" t="str">
        <f aca="false">IF(G279&gt;=0,A279,"")</f>
        <v/>
      </c>
      <c r="K279" s="7" t="n">
        <f aca="false">IF(G279&lt;0,A279,0)</f>
        <v>274</v>
      </c>
    </row>
    <row r="280" customFormat="false" ht="15" hidden="false" customHeight="false" outlineLevel="0" collapsed="false">
      <c r="A280" s="7" t="n">
        <f aca="false">A279+1</f>
        <v>275</v>
      </c>
      <c r="B280" s="7" t="n">
        <f aca="false">MAX('Giả định'!$B$9,ROUNDUP(A280/'Giả định'!$B$7,0)+'Giả định'!$B$8)</f>
        <v>29</v>
      </c>
      <c r="C280" s="25" t="n">
        <f aca="false">('Chi phí'!$C$76+'Chi phí'!$D$76*B280+'Chi phí'!$E$76*A280+'Giả định'!$B$15*('Chi phí'!$F$76+'Chi phí'!$G$76*B280+'Chi phí'!$H$76*A280))*(1+'Giả định'!$B$16)</f>
        <v>334834500</v>
      </c>
      <c r="D280" s="25" t="n">
        <f aca="false">('Chi phí'!$C$77+'Chi phí'!$D$77*B280+'Chi phí'!$E$77*A280+'Giả định'!$B$15*('Chi phí'!$F$77+'Chi phí'!$G$77*B280+'Chi phí'!$H$77*A280))*(1+'Giả định'!$B$16)</f>
        <v>478439500</v>
      </c>
      <c r="E280" s="25" t="n">
        <f aca="false">A280/'Giả định'!$B$19*'Giả định'!$B$20+A280*'Giả định'!$B$23+'Giả định'!$B$24</f>
        <v>102373949.579832</v>
      </c>
      <c r="F280" s="25" t="n">
        <f aca="false">E280-D280</f>
        <v>-376065550.420168</v>
      </c>
      <c r="G280" s="25" t="n">
        <f aca="false">E280-C280</f>
        <v>-232460550.420168</v>
      </c>
      <c r="H280" s="7" t="str">
        <f aca="false">IF(F280&gt;=0,A280,"")</f>
        <v/>
      </c>
      <c r="I280" s="7" t="n">
        <f aca="false">IF(F280&lt;0,A280,0)</f>
        <v>275</v>
      </c>
      <c r="J280" s="7" t="str">
        <f aca="false">IF(G280&gt;=0,A280,"")</f>
        <v/>
      </c>
      <c r="K280" s="7" t="n">
        <f aca="false">IF(G280&lt;0,A280,0)</f>
        <v>275</v>
      </c>
    </row>
    <row r="281" customFormat="false" ht="15" hidden="false" customHeight="false" outlineLevel="0" collapsed="false">
      <c r="A281" s="7" t="n">
        <f aca="false">A280+1</f>
        <v>276</v>
      </c>
      <c r="B281" s="7" t="n">
        <f aca="false">MAX('Giả định'!$B$9,ROUNDUP(A281/'Giả định'!$B$7,0)+'Giả định'!$B$8)</f>
        <v>29</v>
      </c>
      <c r="C281" s="25" t="n">
        <f aca="false">('Chi phí'!$C$76+'Chi phí'!$D$76*B281+'Chi phí'!$E$76*A281+'Giả định'!$B$15*('Chi phí'!$F$76+'Chi phí'!$G$76*B281+'Chi phí'!$H$76*A281))*(1+'Giả định'!$B$16)</f>
        <v>334871240</v>
      </c>
      <c r="D281" s="25" t="n">
        <f aca="false">('Chi phí'!$C$77+'Chi phí'!$D$77*B281+'Chi phí'!$E$77*A281+'Giả định'!$B$15*('Chi phí'!$F$77+'Chi phí'!$G$77*B281+'Chi phí'!$H$77*A281))*(1+'Giả định'!$B$16)</f>
        <v>478476240</v>
      </c>
      <c r="E281" s="25" t="n">
        <f aca="false">A281/'Giả định'!$B$19*'Giả định'!$B$20+A281*'Giả định'!$B$23+'Giả định'!$B$24</f>
        <v>102746218.487395</v>
      </c>
      <c r="F281" s="25" t="n">
        <f aca="false">E281-D281</f>
        <v>-375730021.512605</v>
      </c>
      <c r="G281" s="25" t="n">
        <f aca="false">E281-C281</f>
        <v>-232125021.512605</v>
      </c>
      <c r="H281" s="7" t="str">
        <f aca="false">IF(F281&gt;=0,A281,"")</f>
        <v/>
      </c>
      <c r="I281" s="7" t="n">
        <f aca="false">IF(F281&lt;0,A281,0)</f>
        <v>276</v>
      </c>
      <c r="J281" s="7" t="str">
        <f aca="false">IF(G281&gt;=0,A281,"")</f>
        <v/>
      </c>
      <c r="K281" s="7" t="n">
        <f aca="false">IF(G281&lt;0,A281,0)</f>
        <v>276</v>
      </c>
    </row>
    <row r="282" customFormat="false" ht="15" hidden="false" customHeight="false" outlineLevel="0" collapsed="false">
      <c r="A282" s="7" t="n">
        <f aca="false">A281+1</f>
        <v>277</v>
      </c>
      <c r="B282" s="7" t="n">
        <f aca="false">MAX('Giả định'!$B$9,ROUNDUP(A282/'Giả định'!$B$7,0)+'Giả định'!$B$8)</f>
        <v>29</v>
      </c>
      <c r="C282" s="25" t="n">
        <f aca="false">('Chi phí'!$C$76+'Chi phí'!$D$76*B282+'Chi phí'!$E$76*A282+'Giả định'!$B$15*('Chi phí'!$F$76+'Chi phí'!$G$76*B282+'Chi phí'!$H$76*A282))*(1+'Giả định'!$B$16)</f>
        <v>334907980</v>
      </c>
      <c r="D282" s="25" t="n">
        <f aca="false">('Chi phí'!$C$77+'Chi phí'!$D$77*B282+'Chi phí'!$E$77*A282+'Giả định'!$B$15*('Chi phí'!$F$77+'Chi phí'!$G$77*B282+'Chi phí'!$H$77*A282))*(1+'Giả định'!$B$16)</f>
        <v>478512980</v>
      </c>
      <c r="E282" s="25" t="n">
        <f aca="false">A282/'Giả định'!$B$19*'Giả định'!$B$20+A282*'Giả định'!$B$23+'Giả định'!$B$24</f>
        <v>103118487.394958</v>
      </c>
      <c r="F282" s="25" t="n">
        <f aca="false">E282-D282</f>
        <v>-375394492.605042</v>
      </c>
      <c r="G282" s="25" t="n">
        <f aca="false">E282-C282</f>
        <v>-231789492.605042</v>
      </c>
      <c r="H282" s="7" t="str">
        <f aca="false">IF(F282&gt;=0,A282,"")</f>
        <v/>
      </c>
      <c r="I282" s="7" t="n">
        <f aca="false">IF(F282&lt;0,A282,0)</f>
        <v>277</v>
      </c>
      <c r="J282" s="7" t="str">
        <f aca="false">IF(G282&gt;=0,A282,"")</f>
        <v/>
      </c>
      <c r="K282" s="7" t="n">
        <f aca="false">IF(G282&lt;0,A282,0)</f>
        <v>277</v>
      </c>
    </row>
    <row r="283" customFormat="false" ht="15" hidden="false" customHeight="false" outlineLevel="0" collapsed="false">
      <c r="A283" s="7" t="n">
        <f aca="false">A282+1</f>
        <v>278</v>
      </c>
      <c r="B283" s="7" t="n">
        <f aca="false">MAX('Giả định'!$B$9,ROUNDUP(A283/'Giả định'!$B$7,0)+'Giả định'!$B$8)</f>
        <v>29</v>
      </c>
      <c r="C283" s="25" t="n">
        <f aca="false">('Chi phí'!$C$76+'Chi phí'!$D$76*B283+'Chi phí'!$E$76*A283+'Giả định'!$B$15*('Chi phí'!$F$76+'Chi phí'!$G$76*B283+'Chi phí'!$H$76*A283))*(1+'Giả định'!$B$16)</f>
        <v>334944720</v>
      </c>
      <c r="D283" s="25" t="n">
        <f aca="false">('Chi phí'!$C$77+'Chi phí'!$D$77*B283+'Chi phí'!$E$77*A283+'Giả định'!$B$15*('Chi phí'!$F$77+'Chi phí'!$G$77*B283+'Chi phí'!$H$77*A283))*(1+'Giả định'!$B$16)</f>
        <v>478549720</v>
      </c>
      <c r="E283" s="25" t="n">
        <f aca="false">A283/'Giả định'!$B$19*'Giả định'!$B$20+A283*'Giả định'!$B$23+'Giả định'!$B$24</f>
        <v>103490756.302521</v>
      </c>
      <c r="F283" s="25" t="n">
        <f aca="false">E283-D283</f>
        <v>-375058963.697479</v>
      </c>
      <c r="G283" s="25" t="n">
        <f aca="false">E283-C283</f>
        <v>-231453963.697479</v>
      </c>
      <c r="H283" s="7" t="str">
        <f aca="false">IF(F283&gt;=0,A283,"")</f>
        <v/>
      </c>
      <c r="I283" s="7" t="n">
        <f aca="false">IF(F283&lt;0,A283,0)</f>
        <v>278</v>
      </c>
      <c r="J283" s="7" t="str">
        <f aca="false">IF(G283&gt;=0,A283,"")</f>
        <v/>
      </c>
      <c r="K283" s="7" t="n">
        <f aca="false">IF(G283&lt;0,A283,0)</f>
        <v>278</v>
      </c>
    </row>
    <row r="284" customFormat="false" ht="15" hidden="false" customHeight="false" outlineLevel="0" collapsed="false">
      <c r="A284" s="7" t="n">
        <f aca="false">A283+1</f>
        <v>279</v>
      </c>
      <c r="B284" s="7" t="n">
        <f aca="false">MAX('Giả định'!$B$9,ROUNDUP(A284/'Giả định'!$B$7,0)+'Giả định'!$B$8)</f>
        <v>29</v>
      </c>
      <c r="C284" s="25" t="n">
        <f aca="false">('Chi phí'!$C$76+'Chi phí'!$D$76*B284+'Chi phí'!$E$76*A284+'Giả định'!$B$15*('Chi phí'!$F$76+'Chi phí'!$G$76*B284+'Chi phí'!$H$76*A284))*(1+'Giả định'!$B$16)</f>
        <v>334981460</v>
      </c>
      <c r="D284" s="25" t="n">
        <f aca="false">('Chi phí'!$C$77+'Chi phí'!$D$77*B284+'Chi phí'!$E$77*A284+'Giả định'!$B$15*('Chi phí'!$F$77+'Chi phí'!$G$77*B284+'Chi phí'!$H$77*A284))*(1+'Giả định'!$B$16)</f>
        <v>478586460</v>
      </c>
      <c r="E284" s="25" t="n">
        <f aca="false">A284/'Giả định'!$B$19*'Giả định'!$B$20+A284*'Giả định'!$B$23+'Giả định'!$B$24</f>
        <v>103863025.210084</v>
      </c>
      <c r="F284" s="25" t="n">
        <f aca="false">E284-D284</f>
        <v>-374723434.789916</v>
      </c>
      <c r="G284" s="25" t="n">
        <f aca="false">E284-C284</f>
        <v>-231118434.789916</v>
      </c>
      <c r="H284" s="7" t="str">
        <f aca="false">IF(F284&gt;=0,A284,"")</f>
        <v/>
      </c>
      <c r="I284" s="7" t="n">
        <f aca="false">IF(F284&lt;0,A284,0)</f>
        <v>279</v>
      </c>
      <c r="J284" s="7" t="str">
        <f aca="false">IF(G284&gt;=0,A284,"")</f>
        <v/>
      </c>
      <c r="K284" s="7" t="n">
        <f aca="false">IF(G284&lt;0,A284,0)</f>
        <v>279</v>
      </c>
    </row>
    <row r="285" customFormat="false" ht="15" hidden="false" customHeight="false" outlineLevel="0" collapsed="false">
      <c r="A285" s="7" t="n">
        <f aca="false">A284+1</f>
        <v>280</v>
      </c>
      <c r="B285" s="7" t="n">
        <f aca="false">MAX('Giả định'!$B$9,ROUNDUP(A285/'Giả định'!$B$7,0)+'Giả định'!$B$8)</f>
        <v>29</v>
      </c>
      <c r="C285" s="25" t="n">
        <f aca="false">('Chi phí'!$C$76+'Chi phí'!$D$76*B285+'Chi phí'!$E$76*A285+'Giả định'!$B$15*('Chi phí'!$F$76+'Chi phí'!$G$76*B285+'Chi phí'!$H$76*A285))*(1+'Giả định'!$B$16)</f>
        <v>335018200</v>
      </c>
      <c r="D285" s="25" t="n">
        <f aca="false">('Chi phí'!$C$77+'Chi phí'!$D$77*B285+'Chi phí'!$E$77*A285+'Giả định'!$B$15*('Chi phí'!$F$77+'Chi phí'!$G$77*B285+'Chi phí'!$H$77*A285))*(1+'Giả định'!$B$16)</f>
        <v>478623200</v>
      </c>
      <c r="E285" s="25" t="n">
        <f aca="false">A285/'Giả định'!$B$19*'Giả định'!$B$20+A285*'Giả định'!$B$23+'Giả định'!$B$24</f>
        <v>104235294.117647</v>
      </c>
      <c r="F285" s="25" t="n">
        <f aca="false">E285-D285</f>
        <v>-374387905.882353</v>
      </c>
      <c r="G285" s="25" t="n">
        <f aca="false">E285-C285</f>
        <v>-230782905.882353</v>
      </c>
      <c r="H285" s="7" t="str">
        <f aca="false">IF(F285&gt;=0,A285,"")</f>
        <v/>
      </c>
      <c r="I285" s="7" t="n">
        <f aca="false">IF(F285&lt;0,A285,0)</f>
        <v>280</v>
      </c>
      <c r="J285" s="7" t="str">
        <f aca="false">IF(G285&gt;=0,A285,"")</f>
        <v/>
      </c>
      <c r="K285" s="7" t="n">
        <f aca="false">IF(G285&lt;0,A285,0)</f>
        <v>280</v>
      </c>
    </row>
    <row r="286" customFormat="false" ht="15" hidden="false" customHeight="false" outlineLevel="0" collapsed="false">
      <c r="A286" s="7" t="n">
        <f aca="false">A285+1</f>
        <v>281</v>
      </c>
      <c r="B286" s="7" t="n">
        <f aca="false">MAX('Giả định'!$B$9,ROUNDUP(A286/'Giả định'!$B$7,0)+'Giả định'!$B$8)</f>
        <v>30</v>
      </c>
      <c r="C286" s="25" t="n">
        <f aca="false">('Chi phí'!$C$76+'Chi phí'!$D$76*B286+'Chi phí'!$E$76*A286+'Giả định'!$B$15*('Chi phí'!$F$76+'Chi phí'!$G$76*B286+'Chi phí'!$H$76*A286))*(1+'Giả định'!$B$16)</f>
        <v>344228940</v>
      </c>
      <c r="D286" s="25" t="n">
        <f aca="false">('Chi phí'!$C$77+'Chi phí'!$D$77*B286+'Chi phí'!$E$77*A286+'Giả định'!$B$15*('Chi phí'!$F$77+'Chi phí'!$G$77*B286+'Chi phí'!$H$77*A286))*(1+'Giả định'!$B$16)</f>
        <v>487833940</v>
      </c>
      <c r="E286" s="25" t="n">
        <f aca="false">A286/'Giả định'!$B$19*'Giả định'!$B$20+A286*'Giả định'!$B$23+'Giả định'!$B$24</f>
        <v>104607563.02521</v>
      </c>
      <c r="F286" s="25" t="n">
        <f aca="false">E286-D286</f>
        <v>-383226376.97479</v>
      </c>
      <c r="G286" s="25" t="n">
        <f aca="false">E286-C286</f>
        <v>-239621376.97479</v>
      </c>
      <c r="H286" s="7" t="str">
        <f aca="false">IF(F286&gt;=0,A286,"")</f>
        <v/>
      </c>
      <c r="I286" s="7" t="n">
        <f aca="false">IF(F286&lt;0,A286,0)</f>
        <v>281</v>
      </c>
      <c r="J286" s="7" t="str">
        <f aca="false">IF(G286&gt;=0,A286,"")</f>
        <v/>
      </c>
      <c r="K286" s="7" t="n">
        <f aca="false">IF(G286&lt;0,A286,0)</f>
        <v>281</v>
      </c>
    </row>
    <row r="287" customFormat="false" ht="15" hidden="false" customHeight="false" outlineLevel="0" collapsed="false">
      <c r="A287" s="7" t="n">
        <f aca="false">A286+1</f>
        <v>282</v>
      </c>
      <c r="B287" s="7" t="n">
        <f aca="false">MAX('Giả định'!$B$9,ROUNDUP(A287/'Giả định'!$B$7,0)+'Giả định'!$B$8)</f>
        <v>30</v>
      </c>
      <c r="C287" s="25" t="n">
        <f aca="false">('Chi phí'!$C$76+'Chi phí'!$D$76*B287+'Chi phí'!$E$76*A287+'Giả định'!$B$15*('Chi phí'!$F$76+'Chi phí'!$G$76*B287+'Chi phí'!$H$76*A287))*(1+'Giả định'!$B$16)</f>
        <v>344265680</v>
      </c>
      <c r="D287" s="25" t="n">
        <f aca="false">('Chi phí'!$C$77+'Chi phí'!$D$77*B287+'Chi phí'!$E$77*A287+'Giả định'!$B$15*('Chi phí'!$F$77+'Chi phí'!$G$77*B287+'Chi phí'!$H$77*A287))*(1+'Giả định'!$B$16)</f>
        <v>487870680</v>
      </c>
      <c r="E287" s="25" t="n">
        <f aca="false">A287/'Giả định'!$B$19*'Giả định'!$B$20+A287*'Giả định'!$B$23+'Giả định'!$B$24</f>
        <v>104979831.932773</v>
      </c>
      <c r="F287" s="25" t="n">
        <f aca="false">E287-D287</f>
        <v>-382890848.067227</v>
      </c>
      <c r="G287" s="25" t="n">
        <f aca="false">E287-C287</f>
        <v>-239285848.067227</v>
      </c>
      <c r="H287" s="7" t="str">
        <f aca="false">IF(F287&gt;=0,A287,"")</f>
        <v/>
      </c>
      <c r="I287" s="7" t="n">
        <f aca="false">IF(F287&lt;0,A287,0)</f>
        <v>282</v>
      </c>
      <c r="J287" s="7" t="str">
        <f aca="false">IF(G287&gt;=0,A287,"")</f>
        <v/>
      </c>
      <c r="K287" s="7" t="n">
        <f aca="false">IF(G287&lt;0,A287,0)</f>
        <v>282</v>
      </c>
    </row>
    <row r="288" customFormat="false" ht="15" hidden="false" customHeight="false" outlineLevel="0" collapsed="false">
      <c r="A288" s="7" t="n">
        <f aca="false">A287+1</f>
        <v>283</v>
      </c>
      <c r="B288" s="7" t="n">
        <f aca="false">MAX('Giả định'!$B$9,ROUNDUP(A288/'Giả định'!$B$7,0)+'Giả định'!$B$8)</f>
        <v>30</v>
      </c>
      <c r="C288" s="25" t="n">
        <f aca="false">('Chi phí'!$C$76+'Chi phí'!$D$76*B288+'Chi phí'!$E$76*A288+'Giả định'!$B$15*('Chi phí'!$F$76+'Chi phí'!$G$76*B288+'Chi phí'!$H$76*A288))*(1+'Giả định'!$B$16)</f>
        <v>344302420</v>
      </c>
      <c r="D288" s="25" t="n">
        <f aca="false">('Chi phí'!$C$77+'Chi phí'!$D$77*B288+'Chi phí'!$E$77*A288+'Giả định'!$B$15*('Chi phí'!$F$77+'Chi phí'!$G$77*B288+'Chi phí'!$H$77*A288))*(1+'Giả định'!$B$16)</f>
        <v>487907420</v>
      </c>
      <c r="E288" s="25" t="n">
        <f aca="false">A288/'Giả định'!$B$19*'Giả định'!$B$20+A288*'Giả định'!$B$23+'Giả định'!$B$24</f>
        <v>105352100.840336</v>
      </c>
      <c r="F288" s="25" t="n">
        <f aca="false">E288-D288</f>
        <v>-382555319.159664</v>
      </c>
      <c r="G288" s="25" t="n">
        <f aca="false">E288-C288</f>
        <v>-238950319.159664</v>
      </c>
      <c r="H288" s="7" t="str">
        <f aca="false">IF(F288&gt;=0,A288,"")</f>
        <v/>
      </c>
      <c r="I288" s="7" t="n">
        <f aca="false">IF(F288&lt;0,A288,0)</f>
        <v>283</v>
      </c>
      <c r="J288" s="7" t="str">
        <f aca="false">IF(G288&gt;=0,A288,"")</f>
        <v/>
      </c>
      <c r="K288" s="7" t="n">
        <f aca="false">IF(G288&lt;0,A288,0)</f>
        <v>283</v>
      </c>
    </row>
    <row r="289" customFormat="false" ht="15" hidden="false" customHeight="false" outlineLevel="0" collapsed="false">
      <c r="A289" s="7" t="n">
        <f aca="false">A288+1</f>
        <v>284</v>
      </c>
      <c r="B289" s="7" t="n">
        <f aca="false">MAX('Giả định'!$B$9,ROUNDUP(A289/'Giả định'!$B$7,0)+'Giả định'!$B$8)</f>
        <v>30</v>
      </c>
      <c r="C289" s="25" t="n">
        <f aca="false">('Chi phí'!$C$76+'Chi phí'!$D$76*B289+'Chi phí'!$E$76*A289+'Giả định'!$B$15*('Chi phí'!$F$76+'Chi phí'!$G$76*B289+'Chi phí'!$H$76*A289))*(1+'Giả định'!$B$16)</f>
        <v>344339160</v>
      </c>
      <c r="D289" s="25" t="n">
        <f aca="false">('Chi phí'!$C$77+'Chi phí'!$D$77*B289+'Chi phí'!$E$77*A289+'Giả định'!$B$15*('Chi phí'!$F$77+'Chi phí'!$G$77*B289+'Chi phí'!$H$77*A289))*(1+'Giả định'!$B$16)</f>
        <v>487944160</v>
      </c>
      <c r="E289" s="25" t="n">
        <f aca="false">A289/'Giả định'!$B$19*'Giả định'!$B$20+A289*'Giả định'!$B$23+'Giả định'!$B$24</f>
        <v>105724369.747899</v>
      </c>
      <c r="F289" s="25" t="n">
        <f aca="false">E289-D289</f>
        <v>-382219790.252101</v>
      </c>
      <c r="G289" s="25" t="n">
        <f aca="false">E289-C289</f>
        <v>-238614790.252101</v>
      </c>
      <c r="H289" s="7" t="str">
        <f aca="false">IF(F289&gt;=0,A289,"")</f>
        <v/>
      </c>
      <c r="I289" s="7" t="n">
        <f aca="false">IF(F289&lt;0,A289,0)</f>
        <v>284</v>
      </c>
      <c r="J289" s="7" t="str">
        <f aca="false">IF(G289&gt;=0,A289,"")</f>
        <v/>
      </c>
      <c r="K289" s="7" t="n">
        <f aca="false">IF(G289&lt;0,A289,0)</f>
        <v>284</v>
      </c>
    </row>
    <row r="290" customFormat="false" ht="15" hidden="false" customHeight="false" outlineLevel="0" collapsed="false">
      <c r="A290" s="7" t="n">
        <f aca="false">A289+1</f>
        <v>285</v>
      </c>
      <c r="B290" s="7" t="n">
        <f aca="false">MAX('Giả định'!$B$9,ROUNDUP(A290/'Giả định'!$B$7,0)+'Giả định'!$B$8)</f>
        <v>30</v>
      </c>
      <c r="C290" s="25" t="n">
        <f aca="false">('Chi phí'!$C$76+'Chi phí'!$D$76*B290+'Chi phí'!$E$76*A290+'Giả định'!$B$15*('Chi phí'!$F$76+'Chi phí'!$G$76*B290+'Chi phí'!$H$76*A290))*(1+'Giả định'!$B$16)</f>
        <v>344375900</v>
      </c>
      <c r="D290" s="25" t="n">
        <f aca="false">('Chi phí'!$C$77+'Chi phí'!$D$77*B290+'Chi phí'!$E$77*A290+'Giả định'!$B$15*('Chi phí'!$F$77+'Chi phí'!$G$77*B290+'Chi phí'!$H$77*A290))*(1+'Giả định'!$B$16)</f>
        <v>487980900</v>
      </c>
      <c r="E290" s="25" t="n">
        <f aca="false">A290/'Giả định'!$B$19*'Giả định'!$B$20+A290*'Giả định'!$B$23+'Giả định'!$B$24</f>
        <v>106096638.655462</v>
      </c>
      <c r="F290" s="25" t="n">
        <f aca="false">E290-D290</f>
        <v>-381884261.344538</v>
      </c>
      <c r="G290" s="25" t="n">
        <f aca="false">E290-C290</f>
        <v>-238279261.344538</v>
      </c>
      <c r="H290" s="7" t="str">
        <f aca="false">IF(F290&gt;=0,A290,"")</f>
        <v/>
      </c>
      <c r="I290" s="7" t="n">
        <f aca="false">IF(F290&lt;0,A290,0)</f>
        <v>285</v>
      </c>
      <c r="J290" s="7" t="str">
        <f aca="false">IF(G290&gt;=0,A290,"")</f>
        <v/>
      </c>
      <c r="K290" s="7" t="n">
        <f aca="false">IF(G290&lt;0,A290,0)</f>
        <v>285</v>
      </c>
    </row>
    <row r="291" customFormat="false" ht="15" hidden="false" customHeight="false" outlineLevel="0" collapsed="false">
      <c r="A291" s="7" t="n">
        <f aca="false">A290+1</f>
        <v>286</v>
      </c>
      <c r="B291" s="7" t="n">
        <f aca="false">MAX('Giả định'!$B$9,ROUNDUP(A291/'Giả định'!$B$7,0)+'Giả định'!$B$8)</f>
        <v>30</v>
      </c>
      <c r="C291" s="25" t="n">
        <f aca="false">('Chi phí'!$C$76+'Chi phí'!$D$76*B291+'Chi phí'!$E$76*A291+'Giả định'!$B$15*('Chi phí'!$F$76+'Chi phí'!$G$76*B291+'Chi phí'!$H$76*A291))*(1+'Giả định'!$B$16)</f>
        <v>344412640</v>
      </c>
      <c r="D291" s="25" t="n">
        <f aca="false">('Chi phí'!$C$77+'Chi phí'!$D$77*B291+'Chi phí'!$E$77*A291+'Giả định'!$B$15*('Chi phí'!$F$77+'Chi phí'!$G$77*B291+'Chi phí'!$H$77*A291))*(1+'Giả định'!$B$16)</f>
        <v>488017640</v>
      </c>
      <c r="E291" s="25" t="n">
        <f aca="false">A291/'Giả định'!$B$19*'Giả định'!$B$20+A291*'Giả định'!$B$23+'Giả định'!$B$24</f>
        <v>106468907.563025</v>
      </c>
      <c r="F291" s="25" t="n">
        <f aca="false">E291-D291</f>
        <v>-381548732.436975</v>
      </c>
      <c r="G291" s="25" t="n">
        <f aca="false">E291-C291</f>
        <v>-237943732.436975</v>
      </c>
      <c r="H291" s="7" t="str">
        <f aca="false">IF(F291&gt;=0,A291,"")</f>
        <v/>
      </c>
      <c r="I291" s="7" t="n">
        <f aca="false">IF(F291&lt;0,A291,0)</f>
        <v>286</v>
      </c>
      <c r="J291" s="7" t="str">
        <f aca="false">IF(G291&gt;=0,A291,"")</f>
        <v/>
      </c>
      <c r="K291" s="7" t="n">
        <f aca="false">IF(G291&lt;0,A291,0)</f>
        <v>286</v>
      </c>
    </row>
    <row r="292" customFormat="false" ht="15" hidden="false" customHeight="false" outlineLevel="0" collapsed="false">
      <c r="A292" s="7" t="n">
        <f aca="false">A291+1</f>
        <v>287</v>
      </c>
      <c r="B292" s="7" t="n">
        <f aca="false">MAX('Giả định'!$B$9,ROUNDUP(A292/'Giả định'!$B$7,0)+'Giả định'!$B$8)</f>
        <v>30</v>
      </c>
      <c r="C292" s="25" t="n">
        <f aca="false">('Chi phí'!$C$76+'Chi phí'!$D$76*B292+'Chi phí'!$E$76*A292+'Giả định'!$B$15*('Chi phí'!$F$76+'Chi phí'!$G$76*B292+'Chi phí'!$H$76*A292))*(1+'Giả định'!$B$16)</f>
        <v>344449380</v>
      </c>
      <c r="D292" s="25" t="n">
        <f aca="false">('Chi phí'!$C$77+'Chi phí'!$D$77*B292+'Chi phí'!$E$77*A292+'Giả định'!$B$15*('Chi phí'!$F$77+'Chi phí'!$G$77*B292+'Chi phí'!$H$77*A292))*(1+'Giả định'!$B$16)</f>
        <v>488054380</v>
      </c>
      <c r="E292" s="25" t="n">
        <f aca="false">A292/'Giả định'!$B$19*'Giả định'!$B$20+A292*'Giả định'!$B$23+'Giả định'!$B$24</f>
        <v>106841176.470588</v>
      </c>
      <c r="F292" s="25" t="n">
        <f aca="false">E292-D292</f>
        <v>-381213203.529412</v>
      </c>
      <c r="G292" s="25" t="n">
        <f aca="false">E292-C292</f>
        <v>-237608203.529412</v>
      </c>
      <c r="H292" s="7" t="str">
        <f aca="false">IF(F292&gt;=0,A292,"")</f>
        <v/>
      </c>
      <c r="I292" s="7" t="n">
        <f aca="false">IF(F292&lt;0,A292,0)</f>
        <v>287</v>
      </c>
      <c r="J292" s="7" t="str">
        <f aca="false">IF(G292&gt;=0,A292,"")</f>
        <v/>
      </c>
      <c r="K292" s="7" t="n">
        <f aca="false">IF(G292&lt;0,A292,0)</f>
        <v>287</v>
      </c>
    </row>
    <row r="293" customFormat="false" ht="15" hidden="false" customHeight="false" outlineLevel="0" collapsed="false">
      <c r="A293" s="7" t="n">
        <f aca="false">A292+1</f>
        <v>288</v>
      </c>
      <c r="B293" s="7" t="n">
        <f aca="false">MAX('Giả định'!$B$9,ROUNDUP(A293/'Giả định'!$B$7,0)+'Giả định'!$B$8)</f>
        <v>30</v>
      </c>
      <c r="C293" s="25" t="n">
        <f aca="false">('Chi phí'!$C$76+'Chi phí'!$D$76*B293+'Chi phí'!$E$76*A293+'Giả định'!$B$15*('Chi phí'!$F$76+'Chi phí'!$G$76*B293+'Chi phí'!$H$76*A293))*(1+'Giả định'!$B$16)</f>
        <v>344486120</v>
      </c>
      <c r="D293" s="25" t="n">
        <f aca="false">('Chi phí'!$C$77+'Chi phí'!$D$77*B293+'Chi phí'!$E$77*A293+'Giả định'!$B$15*('Chi phí'!$F$77+'Chi phí'!$G$77*B293+'Chi phí'!$H$77*A293))*(1+'Giả định'!$B$16)</f>
        <v>488091120</v>
      </c>
      <c r="E293" s="25" t="n">
        <f aca="false">A293/'Giả định'!$B$19*'Giả định'!$B$20+A293*'Giả định'!$B$23+'Giả định'!$B$24</f>
        <v>107213445.378151</v>
      </c>
      <c r="F293" s="25" t="n">
        <f aca="false">E293-D293</f>
        <v>-380877674.621849</v>
      </c>
      <c r="G293" s="25" t="n">
        <f aca="false">E293-C293</f>
        <v>-237272674.621849</v>
      </c>
      <c r="H293" s="7" t="str">
        <f aca="false">IF(F293&gt;=0,A293,"")</f>
        <v/>
      </c>
      <c r="I293" s="7" t="n">
        <f aca="false">IF(F293&lt;0,A293,0)</f>
        <v>288</v>
      </c>
      <c r="J293" s="7" t="str">
        <f aca="false">IF(G293&gt;=0,A293,"")</f>
        <v/>
      </c>
      <c r="K293" s="7" t="n">
        <f aca="false">IF(G293&lt;0,A293,0)</f>
        <v>288</v>
      </c>
    </row>
    <row r="294" customFormat="false" ht="15" hidden="false" customHeight="false" outlineLevel="0" collapsed="false">
      <c r="A294" s="7" t="n">
        <f aca="false">A293+1</f>
        <v>289</v>
      </c>
      <c r="B294" s="7" t="n">
        <f aca="false">MAX('Giả định'!$B$9,ROUNDUP(A294/'Giả định'!$B$7,0)+'Giả định'!$B$8)</f>
        <v>30</v>
      </c>
      <c r="C294" s="25" t="n">
        <f aca="false">('Chi phí'!$C$76+'Chi phí'!$D$76*B294+'Chi phí'!$E$76*A294+'Giả định'!$B$15*('Chi phí'!$F$76+'Chi phí'!$G$76*B294+'Chi phí'!$H$76*A294))*(1+'Giả định'!$B$16)</f>
        <v>344522860</v>
      </c>
      <c r="D294" s="25" t="n">
        <f aca="false">('Chi phí'!$C$77+'Chi phí'!$D$77*B294+'Chi phí'!$E$77*A294+'Giả định'!$B$15*('Chi phí'!$F$77+'Chi phí'!$G$77*B294+'Chi phí'!$H$77*A294))*(1+'Giả định'!$B$16)</f>
        <v>488127860</v>
      </c>
      <c r="E294" s="25" t="n">
        <f aca="false">A294/'Giả định'!$B$19*'Giả định'!$B$20+A294*'Giả định'!$B$23+'Giả định'!$B$24</f>
        <v>107585714.285714</v>
      </c>
      <c r="F294" s="25" t="n">
        <f aca="false">E294-D294</f>
        <v>-380542145.714286</v>
      </c>
      <c r="G294" s="25" t="n">
        <f aca="false">E294-C294</f>
        <v>-236937145.714286</v>
      </c>
      <c r="H294" s="7" t="str">
        <f aca="false">IF(F294&gt;=0,A294,"")</f>
        <v/>
      </c>
      <c r="I294" s="7" t="n">
        <f aca="false">IF(F294&lt;0,A294,0)</f>
        <v>289</v>
      </c>
      <c r="J294" s="7" t="str">
        <f aca="false">IF(G294&gt;=0,A294,"")</f>
        <v/>
      </c>
      <c r="K294" s="7" t="n">
        <f aca="false">IF(G294&lt;0,A294,0)</f>
        <v>289</v>
      </c>
    </row>
    <row r="295" customFormat="false" ht="15" hidden="false" customHeight="false" outlineLevel="0" collapsed="false">
      <c r="A295" s="7" t="n">
        <f aca="false">A294+1</f>
        <v>290</v>
      </c>
      <c r="B295" s="7" t="n">
        <f aca="false">MAX('Giả định'!$B$9,ROUNDUP(A295/'Giả định'!$B$7,0)+'Giả định'!$B$8)</f>
        <v>30</v>
      </c>
      <c r="C295" s="25" t="n">
        <f aca="false">('Chi phí'!$C$76+'Chi phí'!$D$76*B295+'Chi phí'!$E$76*A295+'Giả định'!$B$15*('Chi phí'!$F$76+'Chi phí'!$G$76*B295+'Chi phí'!$H$76*A295))*(1+'Giả định'!$B$16)</f>
        <v>344559600</v>
      </c>
      <c r="D295" s="25" t="n">
        <f aca="false">('Chi phí'!$C$77+'Chi phí'!$D$77*B295+'Chi phí'!$E$77*A295+'Giả định'!$B$15*('Chi phí'!$F$77+'Chi phí'!$G$77*B295+'Chi phí'!$H$77*A295))*(1+'Giả định'!$B$16)</f>
        <v>488164600</v>
      </c>
      <c r="E295" s="25" t="n">
        <f aca="false">A295/'Giả định'!$B$19*'Giả định'!$B$20+A295*'Giả định'!$B$23+'Giả định'!$B$24</f>
        <v>107957983.193277</v>
      </c>
      <c r="F295" s="25" t="n">
        <f aca="false">E295-D295</f>
        <v>-380206616.806723</v>
      </c>
      <c r="G295" s="25" t="n">
        <f aca="false">E295-C295</f>
        <v>-236601616.806723</v>
      </c>
      <c r="H295" s="7" t="str">
        <f aca="false">IF(F295&gt;=0,A295,"")</f>
        <v/>
      </c>
      <c r="I295" s="7" t="n">
        <f aca="false">IF(F295&lt;0,A295,0)</f>
        <v>290</v>
      </c>
      <c r="J295" s="7" t="str">
        <f aca="false">IF(G295&gt;=0,A295,"")</f>
        <v/>
      </c>
      <c r="K295" s="7" t="n">
        <f aca="false">IF(G295&lt;0,A295,0)</f>
        <v>290</v>
      </c>
    </row>
    <row r="296" customFormat="false" ht="15" hidden="false" customHeight="false" outlineLevel="0" collapsed="false">
      <c r="A296" s="7" t="n">
        <f aca="false">A295+1</f>
        <v>291</v>
      </c>
      <c r="B296" s="7" t="n">
        <f aca="false">MAX('Giả định'!$B$9,ROUNDUP(A296/'Giả định'!$B$7,0)+'Giả định'!$B$8)</f>
        <v>31</v>
      </c>
      <c r="C296" s="25" t="n">
        <f aca="false">('Chi phí'!$C$76+'Chi phí'!$D$76*B296+'Chi phí'!$E$76*A296+'Giả định'!$B$15*('Chi phí'!$F$76+'Chi phí'!$G$76*B296+'Chi phí'!$H$76*A296))*(1+'Giả định'!$B$16)</f>
        <v>353770340</v>
      </c>
      <c r="D296" s="25" t="n">
        <f aca="false">('Chi phí'!$C$77+'Chi phí'!$D$77*B296+'Chi phí'!$E$77*A296+'Giả định'!$B$15*('Chi phí'!$F$77+'Chi phí'!$G$77*B296+'Chi phí'!$H$77*A296))*(1+'Giả định'!$B$16)</f>
        <v>497375340</v>
      </c>
      <c r="E296" s="25" t="n">
        <f aca="false">A296/'Giả định'!$B$19*'Giả định'!$B$20+A296*'Giả định'!$B$23+'Giả định'!$B$24</f>
        <v>108330252.10084</v>
      </c>
      <c r="F296" s="25" t="n">
        <f aca="false">E296-D296</f>
        <v>-389045087.89916</v>
      </c>
      <c r="G296" s="25" t="n">
        <f aca="false">E296-C296</f>
        <v>-245440087.89916</v>
      </c>
      <c r="H296" s="7" t="str">
        <f aca="false">IF(F296&gt;=0,A296,"")</f>
        <v/>
      </c>
      <c r="I296" s="7" t="n">
        <f aca="false">IF(F296&lt;0,A296,0)</f>
        <v>291</v>
      </c>
      <c r="J296" s="7" t="str">
        <f aca="false">IF(G296&gt;=0,A296,"")</f>
        <v/>
      </c>
      <c r="K296" s="7" t="n">
        <f aca="false">IF(G296&lt;0,A296,0)</f>
        <v>291</v>
      </c>
    </row>
    <row r="297" customFormat="false" ht="15" hidden="false" customHeight="false" outlineLevel="0" collapsed="false">
      <c r="A297" s="7" t="n">
        <f aca="false">A296+1</f>
        <v>292</v>
      </c>
      <c r="B297" s="7" t="n">
        <f aca="false">MAX('Giả định'!$B$9,ROUNDUP(A297/'Giả định'!$B$7,0)+'Giả định'!$B$8)</f>
        <v>31</v>
      </c>
      <c r="C297" s="25" t="n">
        <f aca="false">('Chi phí'!$C$76+'Chi phí'!$D$76*B297+'Chi phí'!$E$76*A297+'Giả định'!$B$15*('Chi phí'!$F$76+'Chi phí'!$G$76*B297+'Chi phí'!$H$76*A297))*(1+'Giả định'!$B$16)</f>
        <v>353807080</v>
      </c>
      <c r="D297" s="25" t="n">
        <f aca="false">('Chi phí'!$C$77+'Chi phí'!$D$77*B297+'Chi phí'!$E$77*A297+'Giả định'!$B$15*('Chi phí'!$F$77+'Chi phí'!$G$77*B297+'Chi phí'!$H$77*A297))*(1+'Giả định'!$B$16)</f>
        <v>497412080</v>
      </c>
      <c r="E297" s="25" t="n">
        <f aca="false">A297/'Giả định'!$B$19*'Giả định'!$B$20+A297*'Giả định'!$B$23+'Giả định'!$B$24</f>
        <v>108702521.008403</v>
      </c>
      <c r="F297" s="25" t="n">
        <f aca="false">E297-D297</f>
        <v>-388709558.991597</v>
      </c>
      <c r="G297" s="25" t="n">
        <f aca="false">E297-C297</f>
        <v>-245104558.991597</v>
      </c>
      <c r="H297" s="7" t="str">
        <f aca="false">IF(F297&gt;=0,A297,"")</f>
        <v/>
      </c>
      <c r="I297" s="7" t="n">
        <f aca="false">IF(F297&lt;0,A297,0)</f>
        <v>292</v>
      </c>
      <c r="J297" s="7" t="str">
        <f aca="false">IF(G297&gt;=0,A297,"")</f>
        <v/>
      </c>
      <c r="K297" s="7" t="n">
        <f aca="false">IF(G297&lt;0,A297,0)</f>
        <v>292</v>
      </c>
    </row>
    <row r="298" customFormat="false" ht="15" hidden="false" customHeight="false" outlineLevel="0" collapsed="false">
      <c r="A298" s="7" t="n">
        <f aca="false">A297+1</f>
        <v>293</v>
      </c>
      <c r="B298" s="7" t="n">
        <f aca="false">MAX('Giả định'!$B$9,ROUNDUP(A298/'Giả định'!$B$7,0)+'Giả định'!$B$8)</f>
        <v>31</v>
      </c>
      <c r="C298" s="25" t="n">
        <f aca="false">('Chi phí'!$C$76+'Chi phí'!$D$76*B298+'Chi phí'!$E$76*A298+'Giả định'!$B$15*('Chi phí'!$F$76+'Chi phí'!$G$76*B298+'Chi phí'!$H$76*A298))*(1+'Giả định'!$B$16)</f>
        <v>353843820</v>
      </c>
      <c r="D298" s="25" t="n">
        <f aca="false">('Chi phí'!$C$77+'Chi phí'!$D$77*B298+'Chi phí'!$E$77*A298+'Giả định'!$B$15*('Chi phí'!$F$77+'Chi phí'!$G$77*B298+'Chi phí'!$H$77*A298))*(1+'Giả định'!$B$16)</f>
        <v>497448820</v>
      </c>
      <c r="E298" s="25" t="n">
        <f aca="false">A298/'Giả định'!$B$19*'Giả định'!$B$20+A298*'Giả định'!$B$23+'Giả định'!$B$24</f>
        <v>109074789.915966</v>
      </c>
      <c r="F298" s="25" t="n">
        <f aca="false">E298-D298</f>
        <v>-388374030.084034</v>
      </c>
      <c r="G298" s="25" t="n">
        <f aca="false">E298-C298</f>
        <v>-244769030.084034</v>
      </c>
      <c r="H298" s="7" t="str">
        <f aca="false">IF(F298&gt;=0,A298,"")</f>
        <v/>
      </c>
      <c r="I298" s="7" t="n">
        <f aca="false">IF(F298&lt;0,A298,0)</f>
        <v>293</v>
      </c>
      <c r="J298" s="7" t="str">
        <f aca="false">IF(G298&gt;=0,A298,"")</f>
        <v/>
      </c>
      <c r="K298" s="7" t="n">
        <f aca="false">IF(G298&lt;0,A298,0)</f>
        <v>293</v>
      </c>
    </row>
    <row r="299" customFormat="false" ht="15" hidden="false" customHeight="false" outlineLevel="0" collapsed="false">
      <c r="A299" s="7" t="n">
        <f aca="false">A298+1</f>
        <v>294</v>
      </c>
      <c r="B299" s="7" t="n">
        <f aca="false">MAX('Giả định'!$B$9,ROUNDUP(A299/'Giả định'!$B$7,0)+'Giả định'!$B$8)</f>
        <v>31</v>
      </c>
      <c r="C299" s="25" t="n">
        <f aca="false">('Chi phí'!$C$76+'Chi phí'!$D$76*B299+'Chi phí'!$E$76*A299+'Giả định'!$B$15*('Chi phí'!$F$76+'Chi phí'!$G$76*B299+'Chi phí'!$H$76*A299))*(1+'Giả định'!$B$16)</f>
        <v>353880560</v>
      </c>
      <c r="D299" s="25" t="n">
        <f aca="false">('Chi phí'!$C$77+'Chi phí'!$D$77*B299+'Chi phí'!$E$77*A299+'Giả định'!$B$15*('Chi phí'!$F$77+'Chi phí'!$G$77*B299+'Chi phí'!$H$77*A299))*(1+'Giả định'!$B$16)</f>
        <v>497485560</v>
      </c>
      <c r="E299" s="25" t="n">
        <f aca="false">A299/'Giả định'!$B$19*'Giả định'!$B$20+A299*'Giả định'!$B$23+'Giả định'!$B$24</f>
        <v>109447058.823529</v>
      </c>
      <c r="F299" s="25" t="n">
        <f aca="false">E299-D299</f>
        <v>-388038501.176471</v>
      </c>
      <c r="G299" s="25" t="n">
        <f aca="false">E299-C299</f>
        <v>-244433501.176471</v>
      </c>
      <c r="H299" s="7" t="str">
        <f aca="false">IF(F299&gt;=0,A299,"")</f>
        <v/>
      </c>
      <c r="I299" s="7" t="n">
        <f aca="false">IF(F299&lt;0,A299,0)</f>
        <v>294</v>
      </c>
      <c r="J299" s="7" t="str">
        <f aca="false">IF(G299&gt;=0,A299,"")</f>
        <v/>
      </c>
      <c r="K299" s="7" t="n">
        <f aca="false">IF(G299&lt;0,A299,0)</f>
        <v>294</v>
      </c>
    </row>
    <row r="300" customFormat="false" ht="15" hidden="false" customHeight="false" outlineLevel="0" collapsed="false">
      <c r="A300" s="7" t="n">
        <f aca="false">A299+1</f>
        <v>295</v>
      </c>
      <c r="B300" s="7" t="n">
        <f aca="false">MAX('Giả định'!$B$9,ROUNDUP(A300/'Giả định'!$B$7,0)+'Giả định'!$B$8)</f>
        <v>31</v>
      </c>
      <c r="C300" s="25" t="n">
        <f aca="false">('Chi phí'!$C$76+'Chi phí'!$D$76*B300+'Chi phí'!$E$76*A300+'Giả định'!$B$15*('Chi phí'!$F$76+'Chi phí'!$G$76*B300+'Chi phí'!$H$76*A300))*(1+'Giả định'!$B$16)</f>
        <v>353917300</v>
      </c>
      <c r="D300" s="25" t="n">
        <f aca="false">('Chi phí'!$C$77+'Chi phí'!$D$77*B300+'Chi phí'!$E$77*A300+'Giả định'!$B$15*('Chi phí'!$F$77+'Chi phí'!$G$77*B300+'Chi phí'!$H$77*A300))*(1+'Giả định'!$B$16)</f>
        <v>497522300</v>
      </c>
      <c r="E300" s="25" t="n">
        <f aca="false">A300/'Giả định'!$B$19*'Giả định'!$B$20+A300*'Giả định'!$B$23+'Giả định'!$B$24</f>
        <v>109819327.731092</v>
      </c>
      <c r="F300" s="25" t="n">
        <f aca="false">E300-D300</f>
        <v>-387702972.268908</v>
      </c>
      <c r="G300" s="25" t="n">
        <f aca="false">E300-C300</f>
        <v>-244097972.268908</v>
      </c>
      <c r="H300" s="7" t="str">
        <f aca="false">IF(F300&gt;=0,A300,"")</f>
        <v/>
      </c>
      <c r="I300" s="7" t="n">
        <f aca="false">IF(F300&lt;0,A300,0)</f>
        <v>295</v>
      </c>
      <c r="J300" s="7" t="str">
        <f aca="false">IF(G300&gt;=0,A300,"")</f>
        <v/>
      </c>
      <c r="K300" s="7" t="n">
        <f aca="false">IF(G300&lt;0,A300,0)</f>
        <v>295</v>
      </c>
    </row>
    <row r="301" customFormat="false" ht="15" hidden="false" customHeight="false" outlineLevel="0" collapsed="false">
      <c r="A301" s="7" t="n">
        <f aca="false">A300+1</f>
        <v>296</v>
      </c>
      <c r="B301" s="7" t="n">
        <f aca="false">MAX('Giả định'!$B$9,ROUNDUP(A301/'Giả định'!$B$7,0)+'Giả định'!$B$8)</f>
        <v>31</v>
      </c>
      <c r="C301" s="25" t="n">
        <f aca="false">('Chi phí'!$C$76+'Chi phí'!$D$76*B301+'Chi phí'!$E$76*A301+'Giả định'!$B$15*('Chi phí'!$F$76+'Chi phí'!$G$76*B301+'Chi phí'!$H$76*A301))*(1+'Giả định'!$B$16)</f>
        <v>353954040</v>
      </c>
      <c r="D301" s="25" t="n">
        <f aca="false">('Chi phí'!$C$77+'Chi phí'!$D$77*B301+'Chi phí'!$E$77*A301+'Giả định'!$B$15*('Chi phí'!$F$77+'Chi phí'!$G$77*B301+'Chi phí'!$H$77*A301))*(1+'Giả định'!$B$16)</f>
        <v>497559040</v>
      </c>
      <c r="E301" s="25" t="n">
        <f aca="false">A301/'Giả định'!$B$19*'Giả định'!$B$20+A301*'Giả định'!$B$23+'Giả định'!$B$24</f>
        <v>110191596.638655</v>
      </c>
      <c r="F301" s="25" t="n">
        <f aca="false">E301-D301</f>
        <v>-387367443.361345</v>
      </c>
      <c r="G301" s="25" t="n">
        <f aca="false">E301-C301</f>
        <v>-243762443.361345</v>
      </c>
      <c r="H301" s="7" t="str">
        <f aca="false">IF(F301&gt;=0,A301,"")</f>
        <v/>
      </c>
      <c r="I301" s="7" t="n">
        <f aca="false">IF(F301&lt;0,A301,0)</f>
        <v>296</v>
      </c>
      <c r="J301" s="7" t="str">
        <f aca="false">IF(G301&gt;=0,A301,"")</f>
        <v/>
      </c>
      <c r="K301" s="7" t="n">
        <f aca="false">IF(G301&lt;0,A301,0)</f>
        <v>296</v>
      </c>
    </row>
    <row r="302" customFormat="false" ht="15" hidden="false" customHeight="false" outlineLevel="0" collapsed="false">
      <c r="A302" s="7" t="n">
        <f aca="false">A301+1</f>
        <v>297</v>
      </c>
      <c r="B302" s="7" t="n">
        <f aca="false">MAX('Giả định'!$B$9,ROUNDUP(A302/'Giả định'!$B$7,0)+'Giả định'!$B$8)</f>
        <v>31</v>
      </c>
      <c r="C302" s="25" t="n">
        <f aca="false">('Chi phí'!$C$76+'Chi phí'!$D$76*B302+'Chi phí'!$E$76*A302+'Giả định'!$B$15*('Chi phí'!$F$76+'Chi phí'!$G$76*B302+'Chi phí'!$H$76*A302))*(1+'Giả định'!$B$16)</f>
        <v>353990780</v>
      </c>
      <c r="D302" s="25" t="n">
        <f aca="false">('Chi phí'!$C$77+'Chi phí'!$D$77*B302+'Chi phí'!$E$77*A302+'Giả định'!$B$15*('Chi phí'!$F$77+'Chi phí'!$G$77*B302+'Chi phí'!$H$77*A302))*(1+'Giả định'!$B$16)</f>
        <v>497595780</v>
      </c>
      <c r="E302" s="25" t="n">
        <f aca="false">A302/'Giả định'!$B$19*'Giả định'!$B$20+A302*'Giả định'!$B$23+'Giả định'!$B$24</f>
        <v>110563865.546219</v>
      </c>
      <c r="F302" s="25" t="n">
        <f aca="false">E302-D302</f>
        <v>-387031914.453782</v>
      </c>
      <c r="G302" s="25" t="n">
        <f aca="false">E302-C302</f>
        <v>-243426914.453782</v>
      </c>
      <c r="H302" s="7" t="str">
        <f aca="false">IF(F302&gt;=0,A302,"")</f>
        <v/>
      </c>
      <c r="I302" s="7" t="n">
        <f aca="false">IF(F302&lt;0,A302,0)</f>
        <v>297</v>
      </c>
      <c r="J302" s="7" t="str">
        <f aca="false">IF(G302&gt;=0,A302,"")</f>
        <v/>
      </c>
      <c r="K302" s="7" t="n">
        <f aca="false">IF(G302&lt;0,A302,0)</f>
        <v>297</v>
      </c>
    </row>
    <row r="303" customFormat="false" ht="15" hidden="false" customHeight="false" outlineLevel="0" collapsed="false">
      <c r="A303" s="7" t="n">
        <f aca="false">A302+1</f>
        <v>298</v>
      </c>
      <c r="B303" s="7" t="n">
        <f aca="false">MAX('Giả định'!$B$9,ROUNDUP(A303/'Giả định'!$B$7,0)+'Giả định'!$B$8)</f>
        <v>31</v>
      </c>
      <c r="C303" s="25" t="n">
        <f aca="false">('Chi phí'!$C$76+'Chi phí'!$D$76*B303+'Chi phí'!$E$76*A303+'Giả định'!$B$15*('Chi phí'!$F$76+'Chi phí'!$G$76*B303+'Chi phí'!$H$76*A303))*(1+'Giả định'!$B$16)</f>
        <v>354027520</v>
      </c>
      <c r="D303" s="25" t="n">
        <f aca="false">('Chi phí'!$C$77+'Chi phí'!$D$77*B303+'Chi phí'!$E$77*A303+'Giả định'!$B$15*('Chi phí'!$F$77+'Chi phí'!$G$77*B303+'Chi phí'!$H$77*A303))*(1+'Giả định'!$B$16)</f>
        <v>497632520</v>
      </c>
      <c r="E303" s="25" t="n">
        <f aca="false">A303/'Giả định'!$B$19*'Giả định'!$B$20+A303*'Giả định'!$B$23+'Giả định'!$B$24</f>
        <v>110936134.453782</v>
      </c>
      <c r="F303" s="25" t="n">
        <f aca="false">E303-D303</f>
        <v>-386696385.546219</v>
      </c>
      <c r="G303" s="25" t="n">
        <f aca="false">E303-C303</f>
        <v>-243091385.546218</v>
      </c>
      <c r="H303" s="7" t="str">
        <f aca="false">IF(F303&gt;=0,A303,"")</f>
        <v/>
      </c>
      <c r="I303" s="7" t="n">
        <f aca="false">IF(F303&lt;0,A303,0)</f>
        <v>298</v>
      </c>
      <c r="J303" s="7" t="str">
        <f aca="false">IF(G303&gt;=0,A303,"")</f>
        <v/>
      </c>
      <c r="K303" s="7" t="n">
        <f aca="false">IF(G303&lt;0,A303,0)</f>
        <v>298</v>
      </c>
    </row>
    <row r="304" customFormat="false" ht="15" hidden="false" customHeight="false" outlineLevel="0" collapsed="false">
      <c r="A304" s="7" t="n">
        <f aca="false">A303+1</f>
        <v>299</v>
      </c>
      <c r="B304" s="7" t="n">
        <f aca="false">MAX('Giả định'!$B$9,ROUNDUP(A304/'Giả định'!$B$7,0)+'Giả định'!$B$8)</f>
        <v>31</v>
      </c>
      <c r="C304" s="25" t="n">
        <f aca="false">('Chi phí'!$C$76+'Chi phí'!$D$76*B304+'Chi phí'!$E$76*A304+'Giả định'!$B$15*('Chi phí'!$F$76+'Chi phí'!$G$76*B304+'Chi phí'!$H$76*A304))*(1+'Giả định'!$B$16)</f>
        <v>354064260</v>
      </c>
      <c r="D304" s="25" t="n">
        <f aca="false">('Chi phí'!$C$77+'Chi phí'!$D$77*B304+'Chi phí'!$E$77*A304+'Giả định'!$B$15*('Chi phí'!$F$77+'Chi phí'!$G$77*B304+'Chi phí'!$H$77*A304))*(1+'Giả định'!$B$16)</f>
        <v>497669260</v>
      </c>
      <c r="E304" s="25" t="n">
        <f aca="false">A304/'Giả định'!$B$19*'Giả định'!$B$20+A304*'Giả định'!$B$23+'Giả định'!$B$24</f>
        <v>111308403.361345</v>
      </c>
      <c r="F304" s="25" t="n">
        <f aca="false">E304-D304</f>
        <v>-386360856.638656</v>
      </c>
      <c r="G304" s="25" t="n">
        <f aca="false">E304-C304</f>
        <v>-242755856.638655</v>
      </c>
      <c r="H304" s="7" t="str">
        <f aca="false">IF(F304&gt;=0,A304,"")</f>
        <v/>
      </c>
      <c r="I304" s="7" t="n">
        <f aca="false">IF(F304&lt;0,A304,0)</f>
        <v>299</v>
      </c>
      <c r="J304" s="7" t="str">
        <f aca="false">IF(G304&gt;=0,A304,"")</f>
        <v/>
      </c>
      <c r="K304" s="7" t="n">
        <f aca="false">IF(G304&lt;0,A304,0)</f>
        <v>299</v>
      </c>
    </row>
    <row r="305" customFormat="false" ht="15" hidden="false" customHeight="false" outlineLevel="0" collapsed="false">
      <c r="A305" s="7" t="n">
        <f aca="false">A304+1</f>
        <v>300</v>
      </c>
      <c r="B305" s="7" t="n">
        <f aca="false">MAX('Giả định'!$B$9,ROUNDUP(A305/'Giả định'!$B$7,0)+'Giả định'!$B$8)</f>
        <v>31</v>
      </c>
      <c r="C305" s="25" t="n">
        <f aca="false">('Chi phí'!$C$76+'Chi phí'!$D$76*B305+'Chi phí'!$E$76*A305+'Giả định'!$B$15*('Chi phí'!$F$76+'Chi phí'!$G$76*B305+'Chi phí'!$H$76*A305))*(1+'Giả định'!$B$16)</f>
        <v>354101000</v>
      </c>
      <c r="D305" s="25" t="n">
        <f aca="false">('Chi phí'!$C$77+'Chi phí'!$D$77*B305+'Chi phí'!$E$77*A305+'Giả định'!$B$15*('Chi phí'!$F$77+'Chi phí'!$G$77*B305+'Chi phí'!$H$77*A305))*(1+'Giả định'!$B$16)</f>
        <v>497706000</v>
      </c>
      <c r="E305" s="25" t="n">
        <f aca="false">A305/'Giả định'!$B$19*'Giả định'!$B$20+A305*'Giả định'!$B$23+'Giả định'!$B$24</f>
        <v>111680672.268908</v>
      </c>
      <c r="F305" s="25" t="n">
        <f aca="false">E305-D305</f>
        <v>-386025327.731092</v>
      </c>
      <c r="G305" s="25" t="n">
        <f aca="false">E305-C305</f>
        <v>-242420327.731092</v>
      </c>
      <c r="H305" s="7" t="str">
        <f aca="false">IF(F305&gt;=0,A305,"")</f>
        <v/>
      </c>
      <c r="I305" s="7" t="n">
        <f aca="false">IF(F305&lt;0,A305,0)</f>
        <v>300</v>
      </c>
      <c r="J305" s="7" t="str">
        <f aca="false">IF(G305&gt;=0,A305,"")</f>
        <v/>
      </c>
      <c r="K305" s="7" t="n">
        <f aca="false">IF(G305&lt;0,A305,0)</f>
        <v>300</v>
      </c>
    </row>
    <row r="306" customFormat="false" ht="15" hidden="false" customHeight="false" outlineLevel="0" collapsed="false">
      <c r="A306" s="7" t="n">
        <f aca="false">A305+1</f>
        <v>301</v>
      </c>
      <c r="B306" s="7" t="n">
        <f aca="false">MAX('Giả định'!$B$9,ROUNDUP(A306/'Giả định'!$B$7,0)+'Giả định'!$B$8)</f>
        <v>32</v>
      </c>
      <c r="C306" s="25" t="n">
        <f aca="false">('Chi phí'!$C$76+'Chi phí'!$D$76*B306+'Chi phí'!$E$76*A306+'Giả định'!$B$15*('Chi phí'!$F$76+'Chi phí'!$G$76*B306+'Chi phí'!$H$76*A306))*(1+'Giả định'!$B$16)</f>
        <v>363311740</v>
      </c>
      <c r="D306" s="25" t="n">
        <f aca="false">('Chi phí'!$C$77+'Chi phí'!$D$77*B306+'Chi phí'!$E$77*A306+'Giả định'!$B$15*('Chi phí'!$F$77+'Chi phí'!$G$77*B306+'Chi phí'!$H$77*A306))*(1+'Giả định'!$B$16)</f>
        <v>506916740</v>
      </c>
      <c r="E306" s="25" t="n">
        <f aca="false">A306/'Giả định'!$B$19*'Giả định'!$B$20+A306*'Giả định'!$B$23+'Giả định'!$B$24</f>
        <v>112052941.176471</v>
      </c>
      <c r="F306" s="25" t="n">
        <f aca="false">E306-D306</f>
        <v>-394863798.82353</v>
      </c>
      <c r="G306" s="25" t="n">
        <f aca="false">E306-C306</f>
        <v>-251258798.823529</v>
      </c>
      <c r="H306" s="7" t="str">
        <f aca="false">IF(F306&gt;=0,A306,"")</f>
        <v/>
      </c>
      <c r="I306" s="7" t="n">
        <f aca="false">IF(F306&lt;0,A306,0)</f>
        <v>301</v>
      </c>
      <c r="J306" s="7" t="str">
        <f aca="false">IF(G306&gt;=0,A306,"")</f>
        <v/>
      </c>
      <c r="K306" s="7" t="n">
        <f aca="false">IF(G306&lt;0,A306,0)</f>
        <v>301</v>
      </c>
    </row>
    <row r="307" customFormat="false" ht="15" hidden="false" customHeight="false" outlineLevel="0" collapsed="false">
      <c r="A307" s="7" t="n">
        <f aca="false">A306+1</f>
        <v>302</v>
      </c>
      <c r="B307" s="7" t="n">
        <f aca="false">MAX('Giả định'!$B$9,ROUNDUP(A307/'Giả định'!$B$7,0)+'Giả định'!$B$8)</f>
        <v>32</v>
      </c>
      <c r="C307" s="25" t="n">
        <f aca="false">('Chi phí'!$C$76+'Chi phí'!$D$76*B307+'Chi phí'!$E$76*A307+'Giả định'!$B$15*('Chi phí'!$F$76+'Chi phí'!$G$76*B307+'Chi phí'!$H$76*A307))*(1+'Giả định'!$B$16)</f>
        <v>363348480</v>
      </c>
      <c r="D307" s="25" t="n">
        <f aca="false">('Chi phí'!$C$77+'Chi phí'!$D$77*B307+'Chi phí'!$E$77*A307+'Giả định'!$B$15*('Chi phí'!$F$77+'Chi phí'!$G$77*B307+'Chi phí'!$H$77*A307))*(1+'Giả định'!$B$16)</f>
        <v>506953480</v>
      </c>
      <c r="E307" s="25" t="n">
        <f aca="false">A307/'Giả định'!$B$19*'Giả định'!$B$20+A307*'Giả định'!$B$23+'Giả định'!$B$24</f>
        <v>112425210.084034</v>
      </c>
      <c r="F307" s="25" t="n">
        <f aca="false">E307-D307</f>
        <v>-394528269.915966</v>
      </c>
      <c r="G307" s="25" t="n">
        <f aca="false">E307-C307</f>
        <v>-250923269.915966</v>
      </c>
      <c r="H307" s="7" t="str">
        <f aca="false">IF(F307&gt;=0,A307,"")</f>
        <v/>
      </c>
      <c r="I307" s="7" t="n">
        <f aca="false">IF(F307&lt;0,A307,0)</f>
        <v>302</v>
      </c>
      <c r="J307" s="7" t="str">
        <f aca="false">IF(G307&gt;=0,A307,"")</f>
        <v/>
      </c>
      <c r="K307" s="7" t="n">
        <f aca="false">IF(G307&lt;0,A307,0)</f>
        <v>302</v>
      </c>
    </row>
    <row r="308" customFormat="false" ht="15" hidden="false" customHeight="false" outlineLevel="0" collapsed="false">
      <c r="A308" s="7" t="n">
        <f aca="false">A307+1</f>
        <v>303</v>
      </c>
      <c r="B308" s="7" t="n">
        <f aca="false">MAX('Giả định'!$B$9,ROUNDUP(A308/'Giả định'!$B$7,0)+'Giả định'!$B$8)</f>
        <v>32</v>
      </c>
      <c r="C308" s="25" t="n">
        <f aca="false">('Chi phí'!$C$76+'Chi phí'!$D$76*B308+'Chi phí'!$E$76*A308+'Giả định'!$B$15*('Chi phí'!$F$76+'Chi phí'!$G$76*B308+'Chi phí'!$H$76*A308))*(1+'Giả định'!$B$16)</f>
        <v>363385220</v>
      </c>
      <c r="D308" s="25" t="n">
        <f aca="false">('Chi phí'!$C$77+'Chi phí'!$D$77*B308+'Chi phí'!$E$77*A308+'Giả định'!$B$15*('Chi phí'!$F$77+'Chi phí'!$G$77*B308+'Chi phí'!$H$77*A308))*(1+'Giả định'!$B$16)</f>
        <v>506990220</v>
      </c>
      <c r="E308" s="25" t="n">
        <f aca="false">A308/'Giả định'!$B$19*'Giả định'!$B$20+A308*'Giả định'!$B$23+'Giả định'!$B$24</f>
        <v>112797478.991597</v>
      </c>
      <c r="F308" s="25" t="n">
        <f aca="false">E308-D308</f>
        <v>-394192741.008403</v>
      </c>
      <c r="G308" s="25" t="n">
        <f aca="false">E308-C308</f>
        <v>-250587741.008403</v>
      </c>
      <c r="H308" s="7" t="str">
        <f aca="false">IF(F308&gt;=0,A308,"")</f>
        <v/>
      </c>
      <c r="I308" s="7" t="n">
        <f aca="false">IF(F308&lt;0,A308,0)</f>
        <v>303</v>
      </c>
      <c r="J308" s="7" t="str">
        <f aca="false">IF(G308&gt;=0,A308,"")</f>
        <v/>
      </c>
      <c r="K308" s="7" t="n">
        <f aca="false">IF(G308&lt;0,A308,0)</f>
        <v>303</v>
      </c>
    </row>
    <row r="309" customFormat="false" ht="15" hidden="false" customHeight="false" outlineLevel="0" collapsed="false">
      <c r="A309" s="7" t="n">
        <f aca="false">A308+1</f>
        <v>304</v>
      </c>
      <c r="B309" s="7" t="n">
        <f aca="false">MAX('Giả định'!$B$9,ROUNDUP(A309/'Giả định'!$B$7,0)+'Giả định'!$B$8)</f>
        <v>32</v>
      </c>
      <c r="C309" s="25" t="n">
        <f aca="false">('Chi phí'!$C$76+'Chi phí'!$D$76*B309+'Chi phí'!$E$76*A309+'Giả định'!$B$15*('Chi phí'!$F$76+'Chi phí'!$G$76*B309+'Chi phí'!$H$76*A309))*(1+'Giả định'!$B$16)</f>
        <v>363421960</v>
      </c>
      <c r="D309" s="25" t="n">
        <f aca="false">('Chi phí'!$C$77+'Chi phí'!$D$77*B309+'Chi phí'!$E$77*A309+'Giả định'!$B$15*('Chi phí'!$F$77+'Chi phí'!$G$77*B309+'Chi phí'!$H$77*A309))*(1+'Giả định'!$B$16)</f>
        <v>507026960</v>
      </c>
      <c r="E309" s="25" t="n">
        <f aca="false">A309/'Giả định'!$B$19*'Giả định'!$B$20+A309*'Giả định'!$B$23+'Giả định'!$B$24</f>
        <v>113169747.89916</v>
      </c>
      <c r="F309" s="25" t="n">
        <f aca="false">E309-D309</f>
        <v>-393857212.10084</v>
      </c>
      <c r="G309" s="25" t="n">
        <f aca="false">E309-C309</f>
        <v>-250252212.10084</v>
      </c>
      <c r="H309" s="7" t="str">
        <f aca="false">IF(F309&gt;=0,A309,"")</f>
        <v/>
      </c>
      <c r="I309" s="7" t="n">
        <f aca="false">IF(F309&lt;0,A309,0)</f>
        <v>304</v>
      </c>
      <c r="J309" s="7" t="str">
        <f aca="false">IF(G309&gt;=0,A309,"")</f>
        <v/>
      </c>
      <c r="K309" s="7" t="n">
        <f aca="false">IF(G309&lt;0,A309,0)</f>
        <v>304</v>
      </c>
    </row>
    <row r="310" customFormat="false" ht="15" hidden="false" customHeight="false" outlineLevel="0" collapsed="false">
      <c r="A310" s="7" t="n">
        <f aca="false">A309+1</f>
        <v>305</v>
      </c>
      <c r="B310" s="7" t="n">
        <f aca="false">MAX('Giả định'!$B$9,ROUNDUP(A310/'Giả định'!$B$7,0)+'Giả định'!$B$8)</f>
        <v>32</v>
      </c>
      <c r="C310" s="25" t="n">
        <f aca="false">('Chi phí'!$C$76+'Chi phí'!$D$76*B310+'Chi phí'!$E$76*A310+'Giả định'!$B$15*('Chi phí'!$F$76+'Chi phí'!$G$76*B310+'Chi phí'!$H$76*A310))*(1+'Giả định'!$B$16)</f>
        <v>363458700</v>
      </c>
      <c r="D310" s="25" t="n">
        <f aca="false">('Chi phí'!$C$77+'Chi phí'!$D$77*B310+'Chi phí'!$E$77*A310+'Giả định'!$B$15*('Chi phí'!$F$77+'Chi phí'!$G$77*B310+'Chi phí'!$H$77*A310))*(1+'Giả định'!$B$16)</f>
        <v>507063700</v>
      </c>
      <c r="E310" s="25" t="n">
        <f aca="false">A310/'Giả định'!$B$19*'Giả định'!$B$20+A310*'Giả định'!$B$23+'Giả định'!$B$24</f>
        <v>113542016.806723</v>
      </c>
      <c r="F310" s="25" t="n">
        <f aca="false">E310-D310</f>
        <v>-393521683.193277</v>
      </c>
      <c r="G310" s="25" t="n">
        <f aca="false">E310-C310</f>
        <v>-249916683.193277</v>
      </c>
      <c r="H310" s="7" t="str">
        <f aca="false">IF(F310&gt;=0,A310,"")</f>
        <v/>
      </c>
      <c r="I310" s="7" t="n">
        <f aca="false">IF(F310&lt;0,A310,0)</f>
        <v>305</v>
      </c>
      <c r="J310" s="7" t="str">
        <f aca="false">IF(G310&gt;=0,A310,"")</f>
        <v/>
      </c>
      <c r="K310" s="7" t="n">
        <f aca="false">IF(G310&lt;0,A310,0)</f>
        <v>305</v>
      </c>
    </row>
    <row r="311" customFormat="false" ht="15" hidden="false" customHeight="false" outlineLevel="0" collapsed="false">
      <c r="A311" s="7" t="n">
        <f aca="false">A310+1</f>
        <v>306</v>
      </c>
      <c r="B311" s="7" t="n">
        <f aca="false">MAX('Giả định'!$B$9,ROUNDUP(A311/'Giả định'!$B$7,0)+'Giả định'!$B$8)</f>
        <v>32</v>
      </c>
      <c r="C311" s="25" t="n">
        <f aca="false">('Chi phí'!$C$76+'Chi phí'!$D$76*B311+'Chi phí'!$E$76*A311+'Giả định'!$B$15*('Chi phí'!$F$76+'Chi phí'!$G$76*B311+'Chi phí'!$H$76*A311))*(1+'Giả định'!$B$16)</f>
        <v>363495440</v>
      </c>
      <c r="D311" s="25" t="n">
        <f aca="false">('Chi phí'!$C$77+'Chi phí'!$D$77*B311+'Chi phí'!$E$77*A311+'Giả định'!$B$15*('Chi phí'!$F$77+'Chi phí'!$G$77*B311+'Chi phí'!$H$77*A311))*(1+'Giả định'!$B$16)</f>
        <v>507100440</v>
      </c>
      <c r="E311" s="25" t="n">
        <f aca="false">A311/'Giả định'!$B$19*'Giả định'!$B$20+A311*'Giả định'!$B$23+'Giả định'!$B$24</f>
        <v>113914285.714286</v>
      </c>
      <c r="F311" s="25" t="n">
        <f aca="false">E311-D311</f>
        <v>-393186154.285714</v>
      </c>
      <c r="G311" s="25" t="n">
        <f aca="false">E311-C311</f>
        <v>-249581154.285714</v>
      </c>
      <c r="H311" s="7" t="str">
        <f aca="false">IF(F311&gt;=0,A311,"")</f>
        <v/>
      </c>
      <c r="I311" s="7" t="n">
        <f aca="false">IF(F311&lt;0,A311,0)</f>
        <v>306</v>
      </c>
      <c r="J311" s="7" t="str">
        <f aca="false">IF(G311&gt;=0,A311,"")</f>
        <v/>
      </c>
      <c r="K311" s="7" t="n">
        <f aca="false">IF(G311&lt;0,A311,0)</f>
        <v>306</v>
      </c>
    </row>
    <row r="312" customFormat="false" ht="15" hidden="false" customHeight="false" outlineLevel="0" collapsed="false">
      <c r="A312" s="7" t="n">
        <f aca="false">A311+1</f>
        <v>307</v>
      </c>
      <c r="B312" s="7" t="n">
        <f aca="false">MAX('Giả định'!$B$9,ROUNDUP(A312/'Giả định'!$B$7,0)+'Giả định'!$B$8)</f>
        <v>32</v>
      </c>
      <c r="C312" s="25" t="n">
        <f aca="false">('Chi phí'!$C$76+'Chi phí'!$D$76*B312+'Chi phí'!$E$76*A312+'Giả định'!$B$15*('Chi phí'!$F$76+'Chi phí'!$G$76*B312+'Chi phí'!$H$76*A312))*(1+'Giả định'!$B$16)</f>
        <v>363532180</v>
      </c>
      <c r="D312" s="25" t="n">
        <f aca="false">('Chi phí'!$C$77+'Chi phí'!$D$77*B312+'Chi phí'!$E$77*A312+'Giả định'!$B$15*('Chi phí'!$F$77+'Chi phí'!$G$77*B312+'Chi phí'!$H$77*A312))*(1+'Giả định'!$B$16)</f>
        <v>507137180</v>
      </c>
      <c r="E312" s="25" t="n">
        <f aca="false">A312/'Giả định'!$B$19*'Giả định'!$B$20+A312*'Giả định'!$B$23+'Giả định'!$B$24</f>
        <v>114286554.621849</v>
      </c>
      <c r="F312" s="25" t="n">
        <f aca="false">E312-D312</f>
        <v>-392850625.378151</v>
      </c>
      <c r="G312" s="25" t="n">
        <f aca="false">E312-C312</f>
        <v>-249245625.378151</v>
      </c>
      <c r="H312" s="7" t="str">
        <f aca="false">IF(F312&gt;=0,A312,"")</f>
        <v/>
      </c>
      <c r="I312" s="7" t="n">
        <f aca="false">IF(F312&lt;0,A312,0)</f>
        <v>307</v>
      </c>
      <c r="J312" s="7" t="str">
        <f aca="false">IF(G312&gt;=0,A312,"")</f>
        <v/>
      </c>
      <c r="K312" s="7" t="n">
        <f aca="false">IF(G312&lt;0,A312,0)</f>
        <v>307</v>
      </c>
    </row>
    <row r="313" customFormat="false" ht="15" hidden="false" customHeight="false" outlineLevel="0" collapsed="false">
      <c r="A313" s="7" t="n">
        <f aca="false">A312+1</f>
        <v>308</v>
      </c>
      <c r="B313" s="7" t="n">
        <f aca="false">MAX('Giả định'!$B$9,ROUNDUP(A313/'Giả định'!$B$7,0)+'Giả định'!$B$8)</f>
        <v>32</v>
      </c>
      <c r="C313" s="25" t="n">
        <f aca="false">('Chi phí'!$C$76+'Chi phí'!$D$76*B313+'Chi phí'!$E$76*A313+'Giả định'!$B$15*('Chi phí'!$F$76+'Chi phí'!$G$76*B313+'Chi phí'!$H$76*A313))*(1+'Giả định'!$B$16)</f>
        <v>363568920</v>
      </c>
      <c r="D313" s="25" t="n">
        <f aca="false">('Chi phí'!$C$77+'Chi phí'!$D$77*B313+'Chi phí'!$E$77*A313+'Giả định'!$B$15*('Chi phí'!$F$77+'Chi phí'!$G$77*B313+'Chi phí'!$H$77*A313))*(1+'Giả định'!$B$16)</f>
        <v>507173920</v>
      </c>
      <c r="E313" s="25" t="n">
        <f aca="false">A313/'Giả định'!$B$19*'Giả định'!$B$20+A313*'Giả định'!$B$23+'Giả định'!$B$24</f>
        <v>114658823.529412</v>
      </c>
      <c r="F313" s="25" t="n">
        <f aca="false">E313-D313</f>
        <v>-392515096.470588</v>
      </c>
      <c r="G313" s="25" t="n">
        <f aca="false">E313-C313</f>
        <v>-248910096.470588</v>
      </c>
      <c r="H313" s="7" t="str">
        <f aca="false">IF(F313&gt;=0,A313,"")</f>
        <v/>
      </c>
      <c r="I313" s="7" t="n">
        <f aca="false">IF(F313&lt;0,A313,0)</f>
        <v>308</v>
      </c>
      <c r="J313" s="7" t="str">
        <f aca="false">IF(G313&gt;=0,A313,"")</f>
        <v/>
      </c>
      <c r="K313" s="7" t="n">
        <f aca="false">IF(G313&lt;0,A313,0)</f>
        <v>308</v>
      </c>
    </row>
    <row r="314" customFormat="false" ht="15" hidden="false" customHeight="false" outlineLevel="0" collapsed="false">
      <c r="A314" s="7" t="n">
        <f aca="false">A313+1</f>
        <v>309</v>
      </c>
      <c r="B314" s="7" t="n">
        <f aca="false">MAX('Giả định'!$B$9,ROUNDUP(A314/'Giả định'!$B$7,0)+'Giả định'!$B$8)</f>
        <v>32</v>
      </c>
      <c r="C314" s="25" t="n">
        <f aca="false">('Chi phí'!$C$76+'Chi phí'!$D$76*B314+'Chi phí'!$E$76*A314+'Giả định'!$B$15*('Chi phí'!$F$76+'Chi phí'!$G$76*B314+'Chi phí'!$H$76*A314))*(1+'Giả định'!$B$16)</f>
        <v>363605660</v>
      </c>
      <c r="D314" s="25" t="n">
        <f aca="false">('Chi phí'!$C$77+'Chi phí'!$D$77*B314+'Chi phí'!$E$77*A314+'Giả định'!$B$15*('Chi phí'!$F$77+'Chi phí'!$G$77*B314+'Chi phí'!$H$77*A314))*(1+'Giả định'!$B$16)</f>
        <v>507210660</v>
      </c>
      <c r="E314" s="25" t="n">
        <f aca="false">A314/'Giả định'!$B$19*'Giả định'!$B$20+A314*'Giả định'!$B$23+'Giả định'!$B$24</f>
        <v>115031092.436975</v>
      </c>
      <c r="F314" s="25" t="n">
        <f aca="false">E314-D314</f>
        <v>-392179567.563025</v>
      </c>
      <c r="G314" s="25" t="n">
        <f aca="false">E314-C314</f>
        <v>-248574567.563025</v>
      </c>
      <c r="H314" s="7" t="str">
        <f aca="false">IF(F314&gt;=0,A314,"")</f>
        <v/>
      </c>
      <c r="I314" s="7" t="n">
        <f aca="false">IF(F314&lt;0,A314,0)</f>
        <v>309</v>
      </c>
      <c r="J314" s="7" t="str">
        <f aca="false">IF(G314&gt;=0,A314,"")</f>
        <v/>
      </c>
      <c r="K314" s="7" t="n">
        <f aca="false">IF(G314&lt;0,A314,0)</f>
        <v>309</v>
      </c>
    </row>
    <row r="315" customFormat="false" ht="15" hidden="false" customHeight="false" outlineLevel="0" collapsed="false">
      <c r="A315" s="7" t="n">
        <f aca="false">A314+1</f>
        <v>310</v>
      </c>
      <c r="B315" s="7" t="n">
        <f aca="false">MAX('Giả định'!$B$9,ROUNDUP(A315/'Giả định'!$B$7,0)+'Giả định'!$B$8)</f>
        <v>32</v>
      </c>
      <c r="C315" s="25" t="n">
        <f aca="false">('Chi phí'!$C$76+'Chi phí'!$D$76*B315+'Chi phí'!$E$76*A315+'Giả định'!$B$15*('Chi phí'!$F$76+'Chi phí'!$G$76*B315+'Chi phí'!$H$76*A315))*(1+'Giả định'!$B$16)</f>
        <v>363642400</v>
      </c>
      <c r="D315" s="25" t="n">
        <f aca="false">('Chi phí'!$C$77+'Chi phí'!$D$77*B315+'Chi phí'!$E$77*A315+'Giả định'!$B$15*('Chi phí'!$F$77+'Chi phí'!$G$77*B315+'Chi phí'!$H$77*A315))*(1+'Giả định'!$B$16)</f>
        <v>507247400</v>
      </c>
      <c r="E315" s="25" t="n">
        <f aca="false">A315/'Giả định'!$B$19*'Giả định'!$B$20+A315*'Giả định'!$B$23+'Giả định'!$B$24</f>
        <v>115403361.344538</v>
      </c>
      <c r="F315" s="25" t="n">
        <f aca="false">E315-D315</f>
        <v>-391844038.655462</v>
      </c>
      <c r="G315" s="25" t="n">
        <f aca="false">E315-C315</f>
        <v>-248239038.655462</v>
      </c>
      <c r="H315" s="7" t="str">
        <f aca="false">IF(F315&gt;=0,A315,"")</f>
        <v/>
      </c>
      <c r="I315" s="7" t="n">
        <f aca="false">IF(F315&lt;0,A315,0)</f>
        <v>310</v>
      </c>
      <c r="J315" s="7" t="str">
        <f aca="false">IF(G315&gt;=0,A315,"")</f>
        <v/>
      </c>
      <c r="K315" s="7" t="n">
        <f aca="false">IF(G315&lt;0,A315,0)</f>
        <v>310</v>
      </c>
    </row>
    <row r="316" customFormat="false" ht="15" hidden="false" customHeight="false" outlineLevel="0" collapsed="false">
      <c r="A316" s="7" t="n">
        <f aca="false">A315+1</f>
        <v>311</v>
      </c>
      <c r="B316" s="7" t="n">
        <f aca="false">MAX('Giả định'!$B$9,ROUNDUP(A316/'Giả định'!$B$7,0)+'Giả định'!$B$8)</f>
        <v>33</v>
      </c>
      <c r="C316" s="25" t="n">
        <f aca="false">('Chi phí'!$C$76+'Chi phí'!$D$76*B316+'Chi phí'!$E$76*A316+'Giả định'!$B$15*('Chi phí'!$F$76+'Chi phí'!$G$76*B316+'Chi phí'!$H$76*A316))*(1+'Giả định'!$B$16)</f>
        <v>372853140</v>
      </c>
      <c r="D316" s="25" t="n">
        <f aca="false">('Chi phí'!$C$77+'Chi phí'!$D$77*B316+'Chi phí'!$E$77*A316+'Giả định'!$B$15*('Chi phí'!$F$77+'Chi phí'!$G$77*B316+'Chi phí'!$H$77*A316))*(1+'Giả định'!$B$16)</f>
        <v>516458140</v>
      </c>
      <c r="E316" s="25" t="n">
        <f aca="false">A316/'Giả định'!$B$19*'Giả định'!$B$20+A316*'Giả định'!$B$23+'Giả định'!$B$24</f>
        <v>115775630.252101</v>
      </c>
      <c r="F316" s="25" t="n">
        <f aca="false">E316-D316</f>
        <v>-400682509.747899</v>
      </c>
      <c r="G316" s="25" t="n">
        <f aca="false">E316-C316</f>
        <v>-257077509.747899</v>
      </c>
      <c r="H316" s="7" t="str">
        <f aca="false">IF(F316&gt;=0,A316,"")</f>
        <v/>
      </c>
      <c r="I316" s="7" t="n">
        <f aca="false">IF(F316&lt;0,A316,0)</f>
        <v>311</v>
      </c>
      <c r="J316" s="7" t="str">
        <f aca="false">IF(G316&gt;=0,A316,"")</f>
        <v/>
      </c>
      <c r="K316" s="7" t="n">
        <f aca="false">IF(G316&lt;0,A316,0)</f>
        <v>311</v>
      </c>
    </row>
    <row r="317" customFormat="false" ht="15" hidden="false" customHeight="false" outlineLevel="0" collapsed="false">
      <c r="A317" s="7" t="n">
        <f aca="false">A316+1</f>
        <v>312</v>
      </c>
      <c r="B317" s="7" t="n">
        <f aca="false">MAX('Giả định'!$B$9,ROUNDUP(A317/'Giả định'!$B$7,0)+'Giả định'!$B$8)</f>
        <v>33</v>
      </c>
      <c r="C317" s="25" t="n">
        <f aca="false">('Chi phí'!$C$76+'Chi phí'!$D$76*B317+'Chi phí'!$E$76*A317+'Giả định'!$B$15*('Chi phí'!$F$76+'Chi phí'!$G$76*B317+'Chi phí'!$H$76*A317))*(1+'Giả định'!$B$16)</f>
        <v>372889880</v>
      </c>
      <c r="D317" s="25" t="n">
        <f aca="false">('Chi phí'!$C$77+'Chi phí'!$D$77*B317+'Chi phí'!$E$77*A317+'Giả định'!$B$15*('Chi phí'!$F$77+'Chi phí'!$G$77*B317+'Chi phí'!$H$77*A317))*(1+'Giả định'!$B$16)</f>
        <v>516494880</v>
      </c>
      <c r="E317" s="25" t="n">
        <f aca="false">A317/'Giả định'!$B$19*'Giả định'!$B$20+A317*'Giả định'!$B$23+'Giả định'!$B$24</f>
        <v>116147899.159664</v>
      </c>
      <c r="F317" s="25" t="n">
        <f aca="false">E317-D317</f>
        <v>-400346980.840336</v>
      </c>
      <c r="G317" s="25" t="n">
        <f aca="false">E317-C317</f>
        <v>-256741980.840336</v>
      </c>
      <c r="H317" s="7" t="str">
        <f aca="false">IF(F317&gt;=0,A317,"")</f>
        <v/>
      </c>
      <c r="I317" s="7" t="n">
        <f aca="false">IF(F317&lt;0,A317,0)</f>
        <v>312</v>
      </c>
      <c r="J317" s="7" t="str">
        <f aca="false">IF(G317&gt;=0,A317,"")</f>
        <v/>
      </c>
      <c r="K317" s="7" t="n">
        <f aca="false">IF(G317&lt;0,A317,0)</f>
        <v>312</v>
      </c>
    </row>
    <row r="318" customFormat="false" ht="15" hidden="false" customHeight="false" outlineLevel="0" collapsed="false">
      <c r="A318" s="7" t="n">
        <f aca="false">A317+1</f>
        <v>313</v>
      </c>
      <c r="B318" s="7" t="n">
        <f aca="false">MAX('Giả định'!$B$9,ROUNDUP(A318/'Giả định'!$B$7,0)+'Giả định'!$B$8)</f>
        <v>33</v>
      </c>
      <c r="C318" s="25" t="n">
        <f aca="false">('Chi phí'!$C$76+'Chi phí'!$D$76*B318+'Chi phí'!$E$76*A318+'Giả định'!$B$15*('Chi phí'!$F$76+'Chi phí'!$G$76*B318+'Chi phí'!$H$76*A318))*(1+'Giả định'!$B$16)</f>
        <v>372926620</v>
      </c>
      <c r="D318" s="25" t="n">
        <f aca="false">('Chi phí'!$C$77+'Chi phí'!$D$77*B318+'Chi phí'!$E$77*A318+'Giả định'!$B$15*('Chi phí'!$F$77+'Chi phí'!$G$77*B318+'Chi phí'!$H$77*A318))*(1+'Giả định'!$B$16)</f>
        <v>516531620</v>
      </c>
      <c r="E318" s="25" t="n">
        <f aca="false">A318/'Giả định'!$B$19*'Giả định'!$B$20+A318*'Giả định'!$B$23+'Giả định'!$B$24</f>
        <v>116520168.067227</v>
      </c>
      <c r="F318" s="25" t="n">
        <f aca="false">E318-D318</f>
        <v>-400011451.932773</v>
      </c>
      <c r="G318" s="25" t="n">
        <f aca="false">E318-C318</f>
        <v>-256406451.932773</v>
      </c>
      <c r="H318" s="7" t="str">
        <f aca="false">IF(F318&gt;=0,A318,"")</f>
        <v/>
      </c>
      <c r="I318" s="7" t="n">
        <f aca="false">IF(F318&lt;0,A318,0)</f>
        <v>313</v>
      </c>
      <c r="J318" s="7" t="str">
        <f aca="false">IF(G318&gt;=0,A318,"")</f>
        <v/>
      </c>
      <c r="K318" s="7" t="n">
        <f aca="false">IF(G318&lt;0,A318,0)</f>
        <v>313</v>
      </c>
    </row>
    <row r="319" customFormat="false" ht="15" hidden="false" customHeight="false" outlineLevel="0" collapsed="false">
      <c r="A319" s="7" t="n">
        <f aca="false">A318+1</f>
        <v>314</v>
      </c>
      <c r="B319" s="7" t="n">
        <f aca="false">MAX('Giả định'!$B$9,ROUNDUP(A319/'Giả định'!$B$7,0)+'Giả định'!$B$8)</f>
        <v>33</v>
      </c>
      <c r="C319" s="25" t="n">
        <f aca="false">('Chi phí'!$C$76+'Chi phí'!$D$76*B319+'Chi phí'!$E$76*A319+'Giả định'!$B$15*('Chi phí'!$F$76+'Chi phí'!$G$76*B319+'Chi phí'!$H$76*A319))*(1+'Giả định'!$B$16)</f>
        <v>372963360</v>
      </c>
      <c r="D319" s="25" t="n">
        <f aca="false">('Chi phí'!$C$77+'Chi phí'!$D$77*B319+'Chi phí'!$E$77*A319+'Giả định'!$B$15*('Chi phí'!$F$77+'Chi phí'!$G$77*B319+'Chi phí'!$H$77*A319))*(1+'Giả định'!$B$16)</f>
        <v>516568360</v>
      </c>
      <c r="E319" s="25" t="n">
        <f aca="false">A319/'Giả định'!$B$19*'Giả định'!$B$20+A319*'Giả định'!$B$23+'Giả định'!$B$24</f>
        <v>116892436.97479</v>
      </c>
      <c r="F319" s="25" t="n">
        <f aca="false">E319-D319</f>
        <v>-399675923.02521</v>
      </c>
      <c r="G319" s="25" t="n">
        <f aca="false">E319-C319</f>
        <v>-256070923.02521</v>
      </c>
      <c r="H319" s="7" t="str">
        <f aca="false">IF(F319&gt;=0,A319,"")</f>
        <v/>
      </c>
      <c r="I319" s="7" t="n">
        <f aca="false">IF(F319&lt;0,A319,0)</f>
        <v>314</v>
      </c>
      <c r="J319" s="7" t="str">
        <f aca="false">IF(G319&gt;=0,A319,"")</f>
        <v/>
      </c>
      <c r="K319" s="7" t="n">
        <f aca="false">IF(G319&lt;0,A319,0)</f>
        <v>314</v>
      </c>
    </row>
    <row r="320" customFormat="false" ht="15" hidden="false" customHeight="false" outlineLevel="0" collapsed="false">
      <c r="A320" s="7" t="n">
        <f aca="false">A319+1</f>
        <v>315</v>
      </c>
      <c r="B320" s="7" t="n">
        <f aca="false">MAX('Giả định'!$B$9,ROUNDUP(A320/'Giả định'!$B$7,0)+'Giả định'!$B$8)</f>
        <v>33</v>
      </c>
      <c r="C320" s="25" t="n">
        <f aca="false">('Chi phí'!$C$76+'Chi phí'!$D$76*B320+'Chi phí'!$E$76*A320+'Giả định'!$B$15*('Chi phí'!$F$76+'Chi phí'!$G$76*B320+'Chi phí'!$H$76*A320))*(1+'Giả định'!$B$16)</f>
        <v>373000100</v>
      </c>
      <c r="D320" s="25" t="n">
        <f aca="false">('Chi phí'!$C$77+'Chi phí'!$D$77*B320+'Chi phí'!$E$77*A320+'Giả định'!$B$15*('Chi phí'!$F$77+'Chi phí'!$G$77*B320+'Chi phí'!$H$77*A320))*(1+'Giả định'!$B$16)</f>
        <v>516605100</v>
      </c>
      <c r="E320" s="25" t="n">
        <f aca="false">A320/'Giả định'!$B$19*'Giả định'!$B$20+A320*'Giả định'!$B$23+'Giả định'!$B$24</f>
        <v>117264705.882353</v>
      </c>
      <c r="F320" s="25" t="n">
        <f aca="false">E320-D320</f>
        <v>-399340394.117647</v>
      </c>
      <c r="G320" s="25" t="n">
        <f aca="false">E320-C320</f>
        <v>-255735394.117647</v>
      </c>
      <c r="H320" s="7" t="str">
        <f aca="false">IF(F320&gt;=0,A320,"")</f>
        <v/>
      </c>
      <c r="I320" s="7" t="n">
        <f aca="false">IF(F320&lt;0,A320,0)</f>
        <v>315</v>
      </c>
      <c r="J320" s="7" t="str">
        <f aca="false">IF(G320&gt;=0,A320,"")</f>
        <v/>
      </c>
      <c r="K320" s="7" t="n">
        <f aca="false">IF(G320&lt;0,A320,0)</f>
        <v>315</v>
      </c>
    </row>
    <row r="321" customFormat="false" ht="15" hidden="false" customHeight="false" outlineLevel="0" collapsed="false">
      <c r="A321" s="7" t="n">
        <f aca="false">A320+1</f>
        <v>316</v>
      </c>
      <c r="B321" s="7" t="n">
        <f aca="false">MAX('Giả định'!$B$9,ROUNDUP(A321/'Giả định'!$B$7,0)+'Giả định'!$B$8)</f>
        <v>33</v>
      </c>
      <c r="C321" s="25" t="n">
        <f aca="false">('Chi phí'!$C$76+'Chi phí'!$D$76*B321+'Chi phí'!$E$76*A321+'Giả định'!$B$15*('Chi phí'!$F$76+'Chi phí'!$G$76*B321+'Chi phí'!$H$76*A321))*(1+'Giả định'!$B$16)</f>
        <v>373036840</v>
      </c>
      <c r="D321" s="25" t="n">
        <f aca="false">('Chi phí'!$C$77+'Chi phí'!$D$77*B321+'Chi phí'!$E$77*A321+'Giả định'!$B$15*('Chi phí'!$F$77+'Chi phí'!$G$77*B321+'Chi phí'!$H$77*A321))*(1+'Giả định'!$B$16)</f>
        <v>516641840</v>
      </c>
      <c r="E321" s="25" t="n">
        <f aca="false">A321/'Giả định'!$B$19*'Giả định'!$B$20+A321*'Giả định'!$B$23+'Giả định'!$B$24</f>
        <v>117636974.789916</v>
      </c>
      <c r="F321" s="25" t="n">
        <f aca="false">E321-D321</f>
        <v>-399004865.210084</v>
      </c>
      <c r="G321" s="25" t="n">
        <f aca="false">E321-C321</f>
        <v>-255399865.210084</v>
      </c>
      <c r="H321" s="7" t="str">
        <f aca="false">IF(F321&gt;=0,A321,"")</f>
        <v/>
      </c>
      <c r="I321" s="7" t="n">
        <f aca="false">IF(F321&lt;0,A321,0)</f>
        <v>316</v>
      </c>
      <c r="J321" s="7" t="str">
        <f aca="false">IF(G321&gt;=0,A321,"")</f>
        <v/>
      </c>
      <c r="K321" s="7" t="n">
        <f aca="false">IF(G321&lt;0,A321,0)</f>
        <v>316</v>
      </c>
    </row>
    <row r="322" customFormat="false" ht="15" hidden="false" customHeight="false" outlineLevel="0" collapsed="false">
      <c r="A322" s="7" t="n">
        <f aca="false">A321+1</f>
        <v>317</v>
      </c>
      <c r="B322" s="7" t="n">
        <f aca="false">MAX('Giả định'!$B$9,ROUNDUP(A322/'Giả định'!$B$7,0)+'Giả định'!$B$8)</f>
        <v>33</v>
      </c>
      <c r="C322" s="25" t="n">
        <f aca="false">('Chi phí'!$C$76+'Chi phí'!$D$76*B322+'Chi phí'!$E$76*A322+'Giả định'!$B$15*('Chi phí'!$F$76+'Chi phí'!$G$76*B322+'Chi phí'!$H$76*A322))*(1+'Giả định'!$B$16)</f>
        <v>373073580</v>
      </c>
      <c r="D322" s="25" t="n">
        <f aca="false">('Chi phí'!$C$77+'Chi phí'!$D$77*B322+'Chi phí'!$E$77*A322+'Giả định'!$B$15*('Chi phí'!$F$77+'Chi phí'!$G$77*B322+'Chi phí'!$H$77*A322))*(1+'Giả định'!$B$16)</f>
        <v>516678580</v>
      </c>
      <c r="E322" s="25" t="n">
        <f aca="false">A322/'Giả định'!$B$19*'Giả định'!$B$20+A322*'Giả định'!$B$23+'Giả định'!$B$24</f>
        <v>118009243.697479</v>
      </c>
      <c r="F322" s="25" t="n">
        <f aca="false">E322-D322</f>
        <v>-398669336.302521</v>
      </c>
      <c r="G322" s="25" t="n">
        <f aca="false">E322-C322</f>
        <v>-255064336.302521</v>
      </c>
      <c r="H322" s="7" t="str">
        <f aca="false">IF(F322&gt;=0,A322,"")</f>
        <v/>
      </c>
      <c r="I322" s="7" t="n">
        <f aca="false">IF(F322&lt;0,A322,0)</f>
        <v>317</v>
      </c>
      <c r="J322" s="7" t="str">
        <f aca="false">IF(G322&gt;=0,A322,"")</f>
        <v/>
      </c>
      <c r="K322" s="7" t="n">
        <f aca="false">IF(G322&lt;0,A322,0)</f>
        <v>317</v>
      </c>
    </row>
    <row r="323" customFormat="false" ht="15" hidden="false" customHeight="false" outlineLevel="0" collapsed="false">
      <c r="A323" s="7" t="n">
        <f aca="false">A322+1</f>
        <v>318</v>
      </c>
      <c r="B323" s="7" t="n">
        <f aca="false">MAX('Giả định'!$B$9,ROUNDUP(A323/'Giả định'!$B$7,0)+'Giả định'!$B$8)</f>
        <v>33</v>
      </c>
      <c r="C323" s="25" t="n">
        <f aca="false">('Chi phí'!$C$76+'Chi phí'!$D$76*B323+'Chi phí'!$E$76*A323+'Giả định'!$B$15*('Chi phí'!$F$76+'Chi phí'!$G$76*B323+'Chi phí'!$H$76*A323))*(1+'Giả định'!$B$16)</f>
        <v>373110320</v>
      </c>
      <c r="D323" s="25" t="n">
        <f aca="false">('Chi phí'!$C$77+'Chi phí'!$D$77*B323+'Chi phí'!$E$77*A323+'Giả định'!$B$15*('Chi phí'!$F$77+'Chi phí'!$G$77*B323+'Chi phí'!$H$77*A323))*(1+'Giả định'!$B$16)</f>
        <v>516715320</v>
      </c>
      <c r="E323" s="25" t="n">
        <f aca="false">A323/'Giả định'!$B$19*'Giả định'!$B$20+A323*'Giả định'!$B$23+'Giả định'!$B$24</f>
        <v>118381512.605042</v>
      </c>
      <c r="F323" s="25" t="n">
        <f aca="false">E323-D323</f>
        <v>-398333807.394958</v>
      </c>
      <c r="G323" s="25" t="n">
        <f aca="false">E323-C323</f>
        <v>-254728807.394958</v>
      </c>
      <c r="H323" s="7" t="str">
        <f aca="false">IF(F323&gt;=0,A323,"")</f>
        <v/>
      </c>
      <c r="I323" s="7" t="n">
        <f aca="false">IF(F323&lt;0,A323,0)</f>
        <v>318</v>
      </c>
      <c r="J323" s="7" t="str">
        <f aca="false">IF(G323&gt;=0,A323,"")</f>
        <v/>
      </c>
      <c r="K323" s="7" t="n">
        <f aca="false">IF(G323&lt;0,A323,0)</f>
        <v>318</v>
      </c>
    </row>
    <row r="324" customFormat="false" ht="15" hidden="false" customHeight="false" outlineLevel="0" collapsed="false">
      <c r="A324" s="7" t="n">
        <f aca="false">A323+1</f>
        <v>319</v>
      </c>
      <c r="B324" s="7" t="n">
        <f aca="false">MAX('Giả định'!$B$9,ROUNDUP(A324/'Giả định'!$B$7,0)+'Giả định'!$B$8)</f>
        <v>33</v>
      </c>
      <c r="C324" s="25" t="n">
        <f aca="false">('Chi phí'!$C$76+'Chi phí'!$D$76*B324+'Chi phí'!$E$76*A324+'Giả định'!$B$15*('Chi phí'!$F$76+'Chi phí'!$G$76*B324+'Chi phí'!$H$76*A324))*(1+'Giả định'!$B$16)</f>
        <v>373147060</v>
      </c>
      <c r="D324" s="25" t="n">
        <f aca="false">('Chi phí'!$C$77+'Chi phí'!$D$77*B324+'Chi phí'!$E$77*A324+'Giả định'!$B$15*('Chi phí'!$F$77+'Chi phí'!$G$77*B324+'Chi phí'!$H$77*A324))*(1+'Giả định'!$B$16)</f>
        <v>516752060</v>
      </c>
      <c r="E324" s="25" t="n">
        <f aca="false">A324/'Giả định'!$B$19*'Giả định'!$B$20+A324*'Giả định'!$B$23+'Giả định'!$B$24</f>
        <v>118753781.512605</v>
      </c>
      <c r="F324" s="25" t="n">
        <f aca="false">E324-D324</f>
        <v>-397998278.487395</v>
      </c>
      <c r="G324" s="25" t="n">
        <f aca="false">E324-C324</f>
        <v>-254393278.487395</v>
      </c>
      <c r="H324" s="7" t="str">
        <f aca="false">IF(F324&gt;=0,A324,"")</f>
        <v/>
      </c>
      <c r="I324" s="7" t="n">
        <f aca="false">IF(F324&lt;0,A324,0)</f>
        <v>319</v>
      </c>
      <c r="J324" s="7" t="str">
        <f aca="false">IF(G324&gt;=0,A324,"")</f>
        <v/>
      </c>
      <c r="K324" s="7" t="n">
        <f aca="false">IF(G324&lt;0,A324,0)</f>
        <v>319</v>
      </c>
    </row>
    <row r="325" customFormat="false" ht="15" hidden="false" customHeight="false" outlineLevel="0" collapsed="false">
      <c r="A325" s="7" t="n">
        <f aca="false">A324+1</f>
        <v>320</v>
      </c>
      <c r="B325" s="7" t="n">
        <f aca="false">MAX('Giả định'!$B$9,ROUNDUP(A325/'Giả định'!$B$7,0)+'Giả định'!$B$8)</f>
        <v>33</v>
      </c>
      <c r="C325" s="25" t="n">
        <f aca="false">('Chi phí'!$C$76+'Chi phí'!$D$76*B325+'Chi phí'!$E$76*A325+'Giả định'!$B$15*('Chi phí'!$F$76+'Chi phí'!$G$76*B325+'Chi phí'!$H$76*A325))*(1+'Giả định'!$B$16)</f>
        <v>373183800</v>
      </c>
      <c r="D325" s="25" t="n">
        <f aca="false">('Chi phí'!$C$77+'Chi phí'!$D$77*B325+'Chi phí'!$E$77*A325+'Giả định'!$B$15*('Chi phí'!$F$77+'Chi phí'!$G$77*B325+'Chi phí'!$H$77*A325))*(1+'Giả định'!$B$16)</f>
        <v>516788800</v>
      </c>
      <c r="E325" s="25" t="n">
        <f aca="false">A325/'Giả định'!$B$19*'Giả định'!$B$20+A325*'Giả định'!$B$23+'Giả định'!$B$24</f>
        <v>119126050.420168</v>
      </c>
      <c r="F325" s="25" t="n">
        <f aca="false">E325-D325</f>
        <v>-397662749.579832</v>
      </c>
      <c r="G325" s="25" t="n">
        <f aca="false">E325-C325</f>
        <v>-254057749.579832</v>
      </c>
      <c r="H325" s="7" t="str">
        <f aca="false">IF(F325&gt;=0,A325,"")</f>
        <v/>
      </c>
      <c r="I325" s="7" t="n">
        <f aca="false">IF(F325&lt;0,A325,0)</f>
        <v>320</v>
      </c>
      <c r="J325" s="7" t="str">
        <f aca="false">IF(G325&gt;=0,A325,"")</f>
        <v/>
      </c>
      <c r="K325" s="7" t="n">
        <f aca="false">IF(G325&lt;0,A325,0)</f>
        <v>320</v>
      </c>
    </row>
    <row r="326" customFormat="false" ht="15" hidden="false" customHeight="false" outlineLevel="0" collapsed="false">
      <c r="A326" s="7" t="n">
        <f aca="false">A325+1</f>
        <v>321</v>
      </c>
      <c r="B326" s="7" t="n">
        <f aca="false">MAX('Giả định'!$B$9,ROUNDUP(A326/'Giả định'!$B$7,0)+'Giả định'!$B$8)</f>
        <v>34</v>
      </c>
      <c r="C326" s="25" t="n">
        <f aca="false">('Chi phí'!$C$76+'Chi phí'!$D$76*B326+'Chi phí'!$E$76*A326+'Giả định'!$B$15*('Chi phí'!$F$76+'Chi phí'!$G$76*B326+'Chi phí'!$H$76*A326))*(1+'Giả định'!$B$16)</f>
        <v>382394540</v>
      </c>
      <c r="D326" s="25" t="n">
        <f aca="false">('Chi phí'!$C$77+'Chi phí'!$D$77*B326+'Chi phí'!$E$77*A326+'Giả định'!$B$15*('Chi phí'!$F$77+'Chi phí'!$G$77*B326+'Chi phí'!$H$77*A326))*(1+'Giả định'!$B$16)</f>
        <v>525999540</v>
      </c>
      <c r="E326" s="25" t="n">
        <f aca="false">A326/'Giả định'!$B$19*'Giả định'!$B$20+A326*'Giả định'!$B$23+'Giả định'!$B$24</f>
        <v>119498319.327731</v>
      </c>
      <c r="F326" s="25" t="n">
        <f aca="false">E326-D326</f>
        <v>-406501220.672269</v>
      </c>
      <c r="G326" s="25" t="n">
        <f aca="false">E326-C326</f>
        <v>-262896220.672269</v>
      </c>
      <c r="H326" s="7" t="str">
        <f aca="false">IF(F326&gt;=0,A326,"")</f>
        <v/>
      </c>
      <c r="I326" s="7" t="n">
        <f aca="false">IF(F326&lt;0,A326,0)</f>
        <v>321</v>
      </c>
      <c r="J326" s="7" t="str">
        <f aca="false">IF(G326&gt;=0,A326,"")</f>
        <v/>
      </c>
      <c r="K326" s="7" t="n">
        <f aca="false">IF(G326&lt;0,A326,0)</f>
        <v>321</v>
      </c>
    </row>
    <row r="327" customFormat="false" ht="15" hidden="false" customHeight="false" outlineLevel="0" collapsed="false">
      <c r="A327" s="7" t="n">
        <f aca="false">A326+1</f>
        <v>322</v>
      </c>
      <c r="B327" s="7" t="n">
        <f aca="false">MAX('Giả định'!$B$9,ROUNDUP(A327/'Giả định'!$B$7,0)+'Giả định'!$B$8)</f>
        <v>34</v>
      </c>
      <c r="C327" s="25" t="n">
        <f aca="false">('Chi phí'!$C$76+'Chi phí'!$D$76*B327+'Chi phí'!$E$76*A327+'Giả định'!$B$15*('Chi phí'!$F$76+'Chi phí'!$G$76*B327+'Chi phí'!$H$76*A327))*(1+'Giả định'!$B$16)</f>
        <v>382431280</v>
      </c>
      <c r="D327" s="25" t="n">
        <f aca="false">('Chi phí'!$C$77+'Chi phí'!$D$77*B327+'Chi phí'!$E$77*A327+'Giả định'!$B$15*('Chi phí'!$F$77+'Chi phí'!$G$77*B327+'Chi phí'!$H$77*A327))*(1+'Giả định'!$B$16)</f>
        <v>526036280</v>
      </c>
      <c r="E327" s="25" t="n">
        <f aca="false">A327/'Giả định'!$B$19*'Giả định'!$B$20+A327*'Giả định'!$B$23+'Giả định'!$B$24</f>
        <v>119870588.235294</v>
      </c>
      <c r="F327" s="25" t="n">
        <f aca="false">E327-D327</f>
        <v>-406165691.764706</v>
      </c>
      <c r="G327" s="25" t="n">
        <f aca="false">E327-C327</f>
        <v>-262560691.764706</v>
      </c>
      <c r="H327" s="7" t="str">
        <f aca="false">IF(F327&gt;=0,A327,"")</f>
        <v/>
      </c>
      <c r="I327" s="7" t="n">
        <f aca="false">IF(F327&lt;0,A327,0)</f>
        <v>322</v>
      </c>
      <c r="J327" s="7" t="str">
        <f aca="false">IF(G327&gt;=0,A327,"")</f>
        <v/>
      </c>
      <c r="K327" s="7" t="n">
        <f aca="false">IF(G327&lt;0,A327,0)</f>
        <v>322</v>
      </c>
    </row>
    <row r="328" customFormat="false" ht="15" hidden="false" customHeight="false" outlineLevel="0" collapsed="false">
      <c r="A328" s="7" t="n">
        <f aca="false">A327+1</f>
        <v>323</v>
      </c>
      <c r="B328" s="7" t="n">
        <f aca="false">MAX('Giả định'!$B$9,ROUNDUP(A328/'Giả định'!$B$7,0)+'Giả định'!$B$8)</f>
        <v>34</v>
      </c>
      <c r="C328" s="25" t="n">
        <f aca="false">('Chi phí'!$C$76+'Chi phí'!$D$76*B328+'Chi phí'!$E$76*A328+'Giả định'!$B$15*('Chi phí'!$F$76+'Chi phí'!$G$76*B328+'Chi phí'!$H$76*A328))*(1+'Giả định'!$B$16)</f>
        <v>382468020</v>
      </c>
      <c r="D328" s="25" t="n">
        <f aca="false">('Chi phí'!$C$77+'Chi phí'!$D$77*B328+'Chi phí'!$E$77*A328+'Giả định'!$B$15*('Chi phí'!$F$77+'Chi phí'!$G$77*B328+'Chi phí'!$H$77*A328))*(1+'Giả định'!$B$16)</f>
        <v>526073020</v>
      </c>
      <c r="E328" s="25" t="n">
        <f aca="false">A328/'Giả định'!$B$19*'Giả định'!$B$20+A328*'Giả định'!$B$23+'Giả định'!$B$24</f>
        <v>120242857.142857</v>
      </c>
      <c r="F328" s="25" t="n">
        <f aca="false">E328-D328</f>
        <v>-405830162.857143</v>
      </c>
      <c r="G328" s="25" t="n">
        <f aca="false">E328-C328</f>
        <v>-262225162.857143</v>
      </c>
      <c r="H328" s="7" t="str">
        <f aca="false">IF(F328&gt;=0,A328,"")</f>
        <v/>
      </c>
      <c r="I328" s="7" t="n">
        <f aca="false">IF(F328&lt;0,A328,0)</f>
        <v>323</v>
      </c>
      <c r="J328" s="7" t="str">
        <f aca="false">IF(G328&gt;=0,A328,"")</f>
        <v/>
      </c>
      <c r="K328" s="7" t="n">
        <f aca="false">IF(G328&lt;0,A328,0)</f>
        <v>323</v>
      </c>
    </row>
    <row r="329" customFormat="false" ht="15" hidden="false" customHeight="false" outlineLevel="0" collapsed="false">
      <c r="A329" s="7" t="n">
        <f aca="false">A328+1</f>
        <v>324</v>
      </c>
      <c r="B329" s="7" t="n">
        <f aca="false">MAX('Giả định'!$B$9,ROUNDUP(A329/'Giả định'!$B$7,0)+'Giả định'!$B$8)</f>
        <v>34</v>
      </c>
      <c r="C329" s="25" t="n">
        <f aca="false">('Chi phí'!$C$76+'Chi phí'!$D$76*B329+'Chi phí'!$E$76*A329+'Giả định'!$B$15*('Chi phí'!$F$76+'Chi phí'!$G$76*B329+'Chi phí'!$H$76*A329))*(1+'Giả định'!$B$16)</f>
        <v>382504760</v>
      </c>
      <c r="D329" s="25" t="n">
        <f aca="false">('Chi phí'!$C$77+'Chi phí'!$D$77*B329+'Chi phí'!$E$77*A329+'Giả định'!$B$15*('Chi phí'!$F$77+'Chi phí'!$G$77*B329+'Chi phí'!$H$77*A329))*(1+'Giả định'!$B$16)</f>
        <v>526109760</v>
      </c>
      <c r="E329" s="25" t="n">
        <f aca="false">A329/'Giả định'!$B$19*'Giả định'!$B$20+A329*'Giả định'!$B$23+'Giả định'!$B$24</f>
        <v>120615126.05042</v>
      </c>
      <c r="F329" s="25" t="n">
        <f aca="false">E329-D329</f>
        <v>-405494633.94958</v>
      </c>
      <c r="G329" s="25" t="n">
        <f aca="false">E329-C329</f>
        <v>-261889633.94958</v>
      </c>
      <c r="H329" s="7" t="str">
        <f aca="false">IF(F329&gt;=0,A329,"")</f>
        <v/>
      </c>
      <c r="I329" s="7" t="n">
        <f aca="false">IF(F329&lt;0,A329,0)</f>
        <v>324</v>
      </c>
      <c r="J329" s="7" t="str">
        <f aca="false">IF(G329&gt;=0,A329,"")</f>
        <v/>
      </c>
      <c r="K329" s="7" t="n">
        <f aca="false">IF(G329&lt;0,A329,0)</f>
        <v>324</v>
      </c>
    </row>
    <row r="330" customFormat="false" ht="15" hidden="false" customHeight="false" outlineLevel="0" collapsed="false">
      <c r="A330" s="7" t="n">
        <f aca="false">A329+1</f>
        <v>325</v>
      </c>
      <c r="B330" s="7" t="n">
        <f aca="false">MAX('Giả định'!$B$9,ROUNDUP(A330/'Giả định'!$B$7,0)+'Giả định'!$B$8)</f>
        <v>34</v>
      </c>
      <c r="C330" s="25" t="n">
        <f aca="false">('Chi phí'!$C$76+'Chi phí'!$D$76*B330+'Chi phí'!$E$76*A330+'Giả định'!$B$15*('Chi phí'!$F$76+'Chi phí'!$G$76*B330+'Chi phí'!$H$76*A330))*(1+'Giả định'!$B$16)</f>
        <v>382541500</v>
      </c>
      <c r="D330" s="25" t="n">
        <f aca="false">('Chi phí'!$C$77+'Chi phí'!$D$77*B330+'Chi phí'!$E$77*A330+'Giả định'!$B$15*('Chi phí'!$F$77+'Chi phí'!$G$77*B330+'Chi phí'!$H$77*A330))*(1+'Giả định'!$B$16)</f>
        <v>526146500</v>
      </c>
      <c r="E330" s="25" t="n">
        <f aca="false">A330/'Giả định'!$B$19*'Giả định'!$B$20+A330*'Giả định'!$B$23+'Giả định'!$B$24</f>
        <v>120987394.957983</v>
      </c>
      <c r="F330" s="25" t="n">
        <f aca="false">E330-D330</f>
        <v>-405159105.042017</v>
      </c>
      <c r="G330" s="25" t="n">
        <f aca="false">E330-C330</f>
        <v>-261554105.042017</v>
      </c>
      <c r="H330" s="7" t="str">
        <f aca="false">IF(F330&gt;=0,A330,"")</f>
        <v/>
      </c>
      <c r="I330" s="7" t="n">
        <f aca="false">IF(F330&lt;0,A330,0)</f>
        <v>325</v>
      </c>
      <c r="J330" s="7" t="str">
        <f aca="false">IF(G330&gt;=0,A330,"")</f>
        <v/>
      </c>
      <c r="K330" s="7" t="n">
        <f aca="false">IF(G330&lt;0,A330,0)</f>
        <v>325</v>
      </c>
    </row>
    <row r="331" customFormat="false" ht="15" hidden="false" customHeight="false" outlineLevel="0" collapsed="false">
      <c r="A331" s="7" t="n">
        <f aca="false">A330+1</f>
        <v>326</v>
      </c>
      <c r="B331" s="7" t="n">
        <f aca="false">MAX('Giả định'!$B$9,ROUNDUP(A331/'Giả định'!$B$7,0)+'Giả định'!$B$8)</f>
        <v>34</v>
      </c>
      <c r="C331" s="25" t="n">
        <f aca="false">('Chi phí'!$C$76+'Chi phí'!$D$76*B331+'Chi phí'!$E$76*A331+'Giả định'!$B$15*('Chi phí'!$F$76+'Chi phí'!$G$76*B331+'Chi phí'!$H$76*A331))*(1+'Giả định'!$B$16)</f>
        <v>382578240</v>
      </c>
      <c r="D331" s="25" t="n">
        <f aca="false">('Chi phí'!$C$77+'Chi phí'!$D$77*B331+'Chi phí'!$E$77*A331+'Giả định'!$B$15*('Chi phí'!$F$77+'Chi phí'!$G$77*B331+'Chi phí'!$H$77*A331))*(1+'Giả định'!$B$16)</f>
        <v>526183240</v>
      </c>
      <c r="E331" s="25" t="n">
        <f aca="false">A331/'Giả định'!$B$19*'Giả định'!$B$20+A331*'Giả định'!$B$23+'Giả định'!$B$24</f>
        <v>121359663.865546</v>
      </c>
      <c r="F331" s="25" t="n">
        <f aca="false">E331-D331</f>
        <v>-404823576.134454</v>
      </c>
      <c r="G331" s="25" t="n">
        <f aca="false">E331-C331</f>
        <v>-261218576.134454</v>
      </c>
      <c r="H331" s="7" t="str">
        <f aca="false">IF(F331&gt;=0,A331,"")</f>
        <v/>
      </c>
      <c r="I331" s="7" t="n">
        <f aca="false">IF(F331&lt;0,A331,0)</f>
        <v>326</v>
      </c>
      <c r="J331" s="7" t="str">
        <f aca="false">IF(G331&gt;=0,A331,"")</f>
        <v/>
      </c>
      <c r="K331" s="7" t="n">
        <f aca="false">IF(G331&lt;0,A331,0)</f>
        <v>326</v>
      </c>
    </row>
    <row r="332" customFormat="false" ht="15" hidden="false" customHeight="false" outlineLevel="0" collapsed="false">
      <c r="A332" s="7" t="n">
        <f aca="false">A331+1</f>
        <v>327</v>
      </c>
      <c r="B332" s="7" t="n">
        <f aca="false">MAX('Giả định'!$B$9,ROUNDUP(A332/'Giả định'!$B$7,0)+'Giả định'!$B$8)</f>
        <v>34</v>
      </c>
      <c r="C332" s="25" t="n">
        <f aca="false">('Chi phí'!$C$76+'Chi phí'!$D$76*B332+'Chi phí'!$E$76*A332+'Giả định'!$B$15*('Chi phí'!$F$76+'Chi phí'!$G$76*B332+'Chi phí'!$H$76*A332))*(1+'Giả định'!$B$16)</f>
        <v>382614980</v>
      </c>
      <c r="D332" s="25" t="n">
        <f aca="false">('Chi phí'!$C$77+'Chi phí'!$D$77*B332+'Chi phí'!$E$77*A332+'Giả định'!$B$15*('Chi phí'!$F$77+'Chi phí'!$G$77*B332+'Chi phí'!$H$77*A332))*(1+'Giả định'!$B$16)</f>
        <v>526219980</v>
      </c>
      <c r="E332" s="25" t="n">
        <f aca="false">A332/'Giả định'!$B$19*'Giả định'!$B$20+A332*'Giả định'!$B$23+'Giả định'!$B$24</f>
        <v>121731932.773109</v>
      </c>
      <c r="F332" s="25" t="n">
        <f aca="false">E332-D332</f>
        <v>-404488047.226891</v>
      </c>
      <c r="G332" s="25" t="n">
        <f aca="false">E332-C332</f>
        <v>-260883047.226891</v>
      </c>
      <c r="H332" s="7" t="str">
        <f aca="false">IF(F332&gt;=0,A332,"")</f>
        <v/>
      </c>
      <c r="I332" s="7" t="n">
        <f aca="false">IF(F332&lt;0,A332,0)</f>
        <v>327</v>
      </c>
      <c r="J332" s="7" t="str">
        <f aca="false">IF(G332&gt;=0,A332,"")</f>
        <v/>
      </c>
      <c r="K332" s="7" t="n">
        <f aca="false">IF(G332&lt;0,A332,0)</f>
        <v>327</v>
      </c>
    </row>
    <row r="333" customFormat="false" ht="15" hidden="false" customHeight="false" outlineLevel="0" collapsed="false">
      <c r="A333" s="7" t="n">
        <f aca="false">A332+1</f>
        <v>328</v>
      </c>
      <c r="B333" s="7" t="n">
        <f aca="false">MAX('Giả định'!$B$9,ROUNDUP(A333/'Giả định'!$B$7,0)+'Giả định'!$B$8)</f>
        <v>34</v>
      </c>
      <c r="C333" s="25" t="n">
        <f aca="false">('Chi phí'!$C$76+'Chi phí'!$D$76*B333+'Chi phí'!$E$76*A333+'Giả định'!$B$15*('Chi phí'!$F$76+'Chi phí'!$G$76*B333+'Chi phí'!$H$76*A333))*(1+'Giả định'!$B$16)</f>
        <v>382651720</v>
      </c>
      <c r="D333" s="25" t="n">
        <f aca="false">('Chi phí'!$C$77+'Chi phí'!$D$77*B333+'Chi phí'!$E$77*A333+'Giả định'!$B$15*('Chi phí'!$F$77+'Chi phí'!$G$77*B333+'Chi phí'!$H$77*A333))*(1+'Giả định'!$B$16)</f>
        <v>526256720</v>
      </c>
      <c r="E333" s="25" t="n">
        <f aca="false">A333/'Giả định'!$B$19*'Giả định'!$B$20+A333*'Giả định'!$B$23+'Giả định'!$B$24</f>
        <v>122104201.680672</v>
      </c>
      <c r="F333" s="25" t="n">
        <f aca="false">E333-D333</f>
        <v>-404152518.319328</v>
      </c>
      <c r="G333" s="25" t="n">
        <f aca="false">E333-C333</f>
        <v>-260547518.319328</v>
      </c>
      <c r="H333" s="7" t="str">
        <f aca="false">IF(F333&gt;=0,A333,"")</f>
        <v/>
      </c>
      <c r="I333" s="7" t="n">
        <f aca="false">IF(F333&lt;0,A333,0)</f>
        <v>328</v>
      </c>
      <c r="J333" s="7" t="str">
        <f aca="false">IF(G333&gt;=0,A333,"")</f>
        <v/>
      </c>
      <c r="K333" s="7" t="n">
        <f aca="false">IF(G333&lt;0,A333,0)</f>
        <v>328</v>
      </c>
    </row>
    <row r="334" customFormat="false" ht="15" hidden="false" customHeight="false" outlineLevel="0" collapsed="false">
      <c r="A334" s="7" t="n">
        <f aca="false">A333+1</f>
        <v>329</v>
      </c>
      <c r="B334" s="7" t="n">
        <f aca="false">MAX('Giả định'!$B$9,ROUNDUP(A334/'Giả định'!$B$7,0)+'Giả định'!$B$8)</f>
        <v>34</v>
      </c>
      <c r="C334" s="25" t="n">
        <f aca="false">('Chi phí'!$C$76+'Chi phí'!$D$76*B334+'Chi phí'!$E$76*A334+'Giả định'!$B$15*('Chi phí'!$F$76+'Chi phí'!$G$76*B334+'Chi phí'!$H$76*A334))*(1+'Giả định'!$B$16)</f>
        <v>382688460</v>
      </c>
      <c r="D334" s="25" t="n">
        <f aca="false">('Chi phí'!$C$77+'Chi phí'!$D$77*B334+'Chi phí'!$E$77*A334+'Giả định'!$B$15*('Chi phí'!$F$77+'Chi phí'!$G$77*B334+'Chi phí'!$H$77*A334))*(1+'Giả định'!$B$16)</f>
        <v>526293460</v>
      </c>
      <c r="E334" s="25" t="n">
        <f aca="false">A334/'Giả định'!$B$19*'Giả định'!$B$20+A334*'Giả định'!$B$23+'Giả định'!$B$24</f>
        <v>122476470.588235</v>
      </c>
      <c r="F334" s="25" t="n">
        <f aca="false">E334-D334</f>
        <v>-403816989.411765</v>
      </c>
      <c r="G334" s="25" t="n">
        <f aca="false">E334-C334</f>
        <v>-260211989.411765</v>
      </c>
      <c r="H334" s="7" t="str">
        <f aca="false">IF(F334&gt;=0,A334,"")</f>
        <v/>
      </c>
      <c r="I334" s="7" t="n">
        <f aca="false">IF(F334&lt;0,A334,0)</f>
        <v>329</v>
      </c>
      <c r="J334" s="7" t="str">
        <f aca="false">IF(G334&gt;=0,A334,"")</f>
        <v/>
      </c>
      <c r="K334" s="7" t="n">
        <f aca="false">IF(G334&lt;0,A334,0)</f>
        <v>329</v>
      </c>
    </row>
    <row r="335" customFormat="false" ht="15" hidden="false" customHeight="false" outlineLevel="0" collapsed="false">
      <c r="A335" s="7" t="n">
        <f aca="false">A334+1</f>
        <v>330</v>
      </c>
      <c r="B335" s="7" t="n">
        <f aca="false">MAX('Giả định'!$B$9,ROUNDUP(A335/'Giả định'!$B$7,0)+'Giả định'!$B$8)</f>
        <v>34</v>
      </c>
      <c r="C335" s="25" t="n">
        <f aca="false">('Chi phí'!$C$76+'Chi phí'!$D$76*B335+'Chi phí'!$E$76*A335+'Giả định'!$B$15*('Chi phí'!$F$76+'Chi phí'!$G$76*B335+'Chi phí'!$H$76*A335))*(1+'Giả định'!$B$16)</f>
        <v>382725200</v>
      </c>
      <c r="D335" s="25" t="n">
        <f aca="false">('Chi phí'!$C$77+'Chi phí'!$D$77*B335+'Chi phí'!$E$77*A335+'Giả định'!$B$15*('Chi phí'!$F$77+'Chi phí'!$G$77*B335+'Chi phí'!$H$77*A335))*(1+'Giả định'!$B$16)</f>
        <v>526330200</v>
      </c>
      <c r="E335" s="25" t="n">
        <f aca="false">A335/'Giả định'!$B$19*'Giả định'!$B$20+A335*'Giả định'!$B$23+'Giả định'!$B$24</f>
        <v>122848739.495798</v>
      </c>
      <c r="F335" s="25" t="n">
        <f aca="false">E335-D335</f>
        <v>-403481460.504202</v>
      </c>
      <c r="G335" s="25" t="n">
        <f aca="false">E335-C335</f>
        <v>-259876460.504202</v>
      </c>
      <c r="H335" s="7" t="str">
        <f aca="false">IF(F335&gt;=0,A335,"")</f>
        <v/>
      </c>
      <c r="I335" s="7" t="n">
        <f aca="false">IF(F335&lt;0,A335,0)</f>
        <v>330</v>
      </c>
      <c r="J335" s="7" t="str">
        <f aca="false">IF(G335&gt;=0,A335,"")</f>
        <v/>
      </c>
      <c r="K335" s="7" t="n">
        <f aca="false">IF(G335&lt;0,A335,0)</f>
        <v>330</v>
      </c>
    </row>
    <row r="336" customFormat="false" ht="15" hidden="false" customHeight="false" outlineLevel="0" collapsed="false">
      <c r="A336" s="7" t="n">
        <f aca="false">A335+1</f>
        <v>331</v>
      </c>
      <c r="B336" s="7" t="n">
        <f aca="false">MAX('Giả định'!$B$9,ROUNDUP(A336/'Giả định'!$B$7,0)+'Giả định'!$B$8)</f>
        <v>35</v>
      </c>
      <c r="C336" s="25" t="n">
        <f aca="false">('Chi phí'!$C$76+'Chi phí'!$D$76*B336+'Chi phí'!$E$76*A336+'Giả định'!$B$15*('Chi phí'!$F$76+'Chi phí'!$G$76*B336+'Chi phí'!$H$76*A336))*(1+'Giả định'!$B$16)</f>
        <v>391935940</v>
      </c>
      <c r="D336" s="25" t="n">
        <f aca="false">('Chi phí'!$C$77+'Chi phí'!$D$77*B336+'Chi phí'!$E$77*A336+'Giả định'!$B$15*('Chi phí'!$F$77+'Chi phí'!$G$77*B336+'Chi phí'!$H$77*A336))*(1+'Giả định'!$B$16)</f>
        <v>535540940</v>
      </c>
      <c r="E336" s="25" t="n">
        <f aca="false">A336/'Giả định'!$B$19*'Giả định'!$B$20+A336*'Giả định'!$B$23+'Giả định'!$B$24</f>
        <v>123221008.403361</v>
      </c>
      <c r="F336" s="25" t="n">
        <f aca="false">E336-D336</f>
        <v>-412319931.596639</v>
      </c>
      <c r="G336" s="25" t="n">
        <f aca="false">E336-C336</f>
        <v>-268714931.596639</v>
      </c>
      <c r="H336" s="7" t="str">
        <f aca="false">IF(F336&gt;=0,A336,"")</f>
        <v/>
      </c>
      <c r="I336" s="7" t="n">
        <f aca="false">IF(F336&lt;0,A336,0)</f>
        <v>331</v>
      </c>
      <c r="J336" s="7" t="str">
        <f aca="false">IF(G336&gt;=0,A336,"")</f>
        <v/>
      </c>
      <c r="K336" s="7" t="n">
        <f aca="false">IF(G336&lt;0,A336,0)</f>
        <v>331</v>
      </c>
    </row>
    <row r="337" customFormat="false" ht="15" hidden="false" customHeight="false" outlineLevel="0" collapsed="false">
      <c r="A337" s="7" t="n">
        <f aca="false">A336+1</f>
        <v>332</v>
      </c>
      <c r="B337" s="7" t="n">
        <f aca="false">MAX('Giả định'!$B$9,ROUNDUP(A337/'Giả định'!$B$7,0)+'Giả định'!$B$8)</f>
        <v>35</v>
      </c>
      <c r="C337" s="25" t="n">
        <f aca="false">('Chi phí'!$C$76+'Chi phí'!$D$76*B337+'Chi phí'!$E$76*A337+'Giả định'!$B$15*('Chi phí'!$F$76+'Chi phí'!$G$76*B337+'Chi phí'!$H$76*A337))*(1+'Giả định'!$B$16)</f>
        <v>391972680</v>
      </c>
      <c r="D337" s="25" t="n">
        <f aca="false">('Chi phí'!$C$77+'Chi phí'!$D$77*B337+'Chi phí'!$E$77*A337+'Giả định'!$B$15*('Chi phí'!$F$77+'Chi phí'!$G$77*B337+'Chi phí'!$H$77*A337))*(1+'Giả định'!$B$16)</f>
        <v>535577680</v>
      </c>
      <c r="E337" s="25" t="n">
        <f aca="false">A337/'Giả định'!$B$19*'Giả định'!$B$20+A337*'Giả định'!$B$23+'Giả định'!$B$24</f>
        <v>123593277.310924</v>
      </c>
      <c r="F337" s="25" t="n">
        <f aca="false">E337-D337</f>
        <v>-411984402.689076</v>
      </c>
      <c r="G337" s="25" t="n">
        <f aca="false">E337-C337</f>
        <v>-268379402.689076</v>
      </c>
      <c r="H337" s="7" t="str">
        <f aca="false">IF(F337&gt;=0,A337,"")</f>
        <v/>
      </c>
      <c r="I337" s="7" t="n">
        <f aca="false">IF(F337&lt;0,A337,0)</f>
        <v>332</v>
      </c>
      <c r="J337" s="7" t="str">
        <f aca="false">IF(G337&gt;=0,A337,"")</f>
        <v/>
      </c>
      <c r="K337" s="7" t="n">
        <f aca="false">IF(G337&lt;0,A337,0)</f>
        <v>332</v>
      </c>
    </row>
    <row r="338" customFormat="false" ht="15" hidden="false" customHeight="false" outlineLevel="0" collapsed="false">
      <c r="A338" s="7" t="n">
        <f aca="false">A337+1</f>
        <v>333</v>
      </c>
      <c r="B338" s="7" t="n">
        <f aca="false">MAX('Giả định'!$B$9,ROUNDUP(A338/'Giả định'!$B$7,0)+'Giả định'!$B$8)</f>
        <v>35</v>
      </c>
      <c r="C338" s="25" t="n">
        <f aca="false">('Chi phí'!$C$76+'Chi phí'!$D$76*B338+'Chi phí'!$E$76*A338+'Giả định'!$B$15*('Chi phí'!$F$76+'Chi phí'!$G$76*B338+'Chi phí'!$H$76*A338))*(1+'Giả định'!$B$16)</f>
        <v>392009420</v>
      </c>
      <c r="D338" s="25" t="n">
        <f aca="false">('Chi phí'!$C$77+'Chi phí'!$D$77*B338+'Chi phí'!$E$77*A338+'Giả định'!$B$15*('Chi phí'!$F$77+'Chi phí'!$G$77*B338+'Chi phí'!$H$77*A338))*(1+'Giả định'!$B$16)</f>
        <v>535614420</v>
      </c>
      <c r="E338" s="25" t="n">
        <f aca="false">A338/'Giả định'!$B$19*'Giả định'!$B$20+A338*'Giả định'!$B$23+'Giả định'!$B$24</f>
        <v>123965546.218487</v>
      </c>
      <c r="F338" s="25" t="n">
        <f aca="false">E338-D338</f>
        <v>-411648873.781513</v>
      </c>
      <c r="G338" s="25" t="n">
        <f aca="false">E338-C338</f>
        <v>-268043873.781513</v>
      </c>
      <c r="H338" s="7" t="str">
        <f aca="false">IF(F338&gt;=0,A338,"")</f>
        <v/>
      </c>
      <c r="I338" s="7" t="n">
        <f aca="false">IF(F338&lt;0,A338,0)</f>
        <v>333</v>
      </c>
      <c r="J338" s="7" t="str">
        <f aca="false">IF(G338&gt;=0,A338,"")</f>
        <v/>
      </c>
      <c r="K338" s="7" t="n">
        <f aca="false">IF(G338&lt;0,A338,0)</f>
        <v>333</v>
      </c>
    </row>
    <row r="339" customFormat="false" ht="15" hidden="false" customHeight="false" outlineLevel="0" collapsed="false">
      <c r="A339" s="7" t="n">
        <f aca="false">A338+1</f>
        <v>334</v>
      </c>
      <c r="B339" s="7" t="n">
        <f aca="false">MAX('Giả định'!$B$9,ROUNDUP(A339/'Giả định'!$B$7,0)+'Giả định'!$B$8)</f>
        <v>35</v>
      </c>
      <c r="C339" s="25" t="n">
        <f aca="false">('Chi phí'!$C$76+'Chi phí'!$D$76*B339+'Chi phí'!$E$76*A339+'Giả định'!$B$15*('Chi phí'!$F$76+'Chi phí'!$G$76*B339+'Chi phí'!$H$76*A339))*(1+'Giả định'!$B$16)</f>
        <v>392046160</v>
      </c>
      <c r="D339" s="25" t="n">
        <f aca="false">('Chi phí'!$C$77+'Chi phí'!$D$77*B339+'Chi phí'!$E$77*A339+'Giả định'!$B$15*('Chi phí'!$F$77+'Chi phí'!$G$77*B339+'Chi phí'!$H$77*A339))*(1+'Giả định'!$B$16)</f>
        <v>535651160</v>
      </c>
      <c r="E339" s="25" t="n">
        <f aca="false">A339/'Giả định'!$B$19*'Giả định'!$B$20+A339*'Giả định'!$B$23+'Giả định'!$B$24</f>
        <v>124337815.12605</v>
      </c>
      <c r="F339" s="25" t="n">
        <f aca="false">E339-D339</f>
        <v>-411313344.87395</v>
      </c>
      <c r="G339" s="25" t="n">
        <f aca="false">E339-C339</f>
        <v>-267708344.87395</v>
      </c>
      <c r="H339" s="7" t="str">
        <f aca="false">IF(F339&gt;=0,A339,"")</f>
        <v/>
      </c>
      <c r="I339" s="7" t="n">
        <f aca="false">IF(F339&lt;0,A339,0)</f>
        <v>334</v>
      </c>
      <c r="J339" s="7" t="str">
        <f aca="false">IF(G339&gt;=0,A339,"")</f>
        <v/>
      </c>
      <c r="K339" s="7" t="n">
        <f aca="false">IF(G339&lt;0,A339,0)</f>
        <v>334</v>
      </c>
    </row>
    <row r="340" customFormat="false" ht="15" hidden="false" customHeight="false" outlineLevel="0" collapsed="false">
      <c r="A340" s="7" t="n">
        <f aca="false">A339+1</f>
        <v>335</v>
      </c>
      <c r="B340" s="7" t="n">
        <f aca="false">MAX('Giả định'!$B$9,ROUNDUP(A340/'Giả định'!$B$7,0)+'Giả định'!$B$8)</f>
        <v>35</v>
      </c>
      <c r="C340" s="25" t="n">
        <f aca="false">('Chi phí'!$C$76+'Chi phí'!$D$76*B340+'Chi phí'!$E$76*A340+'Giả định'!$B$15*('Chi phí'!$F$76+'Chi phí'!$G$76*B340+'Chi phí'!$H$76*A340))*(1+'Giả định'!$B$16)</f>
        <v>392082900</v>
      </c>
      <c r="D340" s="25" t="n">
        <f aca="false">('Chi phí'!$C$77+'Chi phí'!$D$77*B340+'Chi phí'!$E$77*A340+'Giả định'!$B$15*('Chi phí'!$F$77+'Chi phí'!$G$77*B340+'Chi phí'!$H$77*A340))*(1+'Giả định'!$B$16)</f>
        <v>535687900</v>
      </c>
      <c r="E340" s="25" t="n">
        <f aca="false">A340/'Giả định'!$B$19*'Giả định'!$B$20+A340*'Giả định'!$B$23+'Giả định'!$B$24</f>
        <v>124710084.033613</v>
      </c>
      <c r="F340" s="25" t="n">
        <f aca="false">E340-D340</f>
        <v>-410977815.966387</v>
      </c>
      <c r="G340" s="25" t="n">
        <f aca="false">E340-C340</f>
        <v>-267372815.966387</v>
      </c>
      <c r="H340" s="7" t="str">
        <f aca="false">IF(F340&gt;=0,A340,"")</f>
        <v/>
      </c>
      <c r="I340" s="7" t="n">
        <f aca="false">IF(F340&lt;0,A340,0)</f>
        <v>335</v>
      </c>
      <c r="J340" s="7" t="str">
        <f aca="false">IF(G340&gt;=0,A340,"")</f>
        <v/>
      </c>
      <c r="K340" s="7" t="n">
        <f aca="false">IF(G340&lt;0,A340,0)</f>
        <v>335</v>
      </c>
    </row>
    <row r="341" customFormat="false" ht="15" hidden="false" customHeight="false" outlineLevel="0" collapsed="false">
      <c r="A341" s="7" t="n">
        <f aca="false">A340+1</f>
        <v>336</v>
      </c>
      <c r="B341" s="7" t="n">
        <f aca="false">MAX('Giả định'!$B$9,ROUNDUP(A341/'Giả định'!$B$7,0)+'Giả định'!$B$8)</f>
        <v>35</v>
      </c>
      <c r="C341" s="25" t="n">
        <f aca="false">('Chi phí'!$C$76+'Chi phí'!$D$76*B341+'Chi phí'!$E$76*A341+'Giả định'!$B$15*('Chi phí'!$F$76+'Chi phí'!$G$76*B341+'Chi phí'!$H$76*A341))*(1+'Giả định'!$B$16)</f>
        <v>392119640</v>
      </c>
      <c r="D341" s="25" t="n">
        <f aca="false">('Chi phí'!$C$77+'Chi phí'!$D$77*B341+'Chi phí'!$E$77*A341+'Giả định'!$B$15*('Chi phí'!$F$77+'Chi phí'!$G$77*B341+'Chi phí'!$H$77*A341))*(1+'Giả định'!$B$16)</f>
        <v>535724640</v>
      </c>
      <c r="E341" s="25" t="n">
        <f aca="false">A341/'Giả định'!$B$19*'Giả định'!$B$20+A341*'Giả định'!$B$23+'Giả định'!$B$24</f>
        <v>125082352.941176</v>
      </c>
      <c r="F341" s="25" t="n">
        <f aca="false">E341-D341</f>
        <v>-410642287.058824</v>
      </c>
      <c r="G341" s="25" t="n">
        <f aca="false">E341-C341</f>
        <v>-267037287.058824</v>
      </c>
      <c r="H341" s="7" t="str">
        <f aca="false">IF(F341&gt;=0,A341,"")</f>
        <v/>
      </c>
      <c r="I341" s="7" t="n">
        <f aca="false">IF(F341&lt;0,A341,0)</f>
        <v>336</v>
      </c>
      <c r="J341" s="7" t="str">
        <f aca="false">IF(G341&gt;=0,A341,"")</f>
        <v/>
      </c>
      <c r="K341" s="7" t="n">
        <f aca="false">IF(G341&lt;0,A341,0)</f>
        <v>336</v>
      </c>
    </row>
    <row r="342" customFormat="false" ht="15" hidden="false" customHeight="false" outlineLevel="0" collapsed="false">
      <c r="A342" s="7" t="n">
        <f aca="false">A341+1</f>
        <v>337</v>
      </c>
      <c r="B342" s="7" t="n">
        <f aca="false">MAX('Giả định'!$B$9,ROUNDUP(A342/'Giả định'!$B$7,0)+'Giả định'!$B$8)</f>
        <v>35</v>
      </c>
      <c r="C342" s="25" t="n">
        <f aca="false">('Chi phí'!$C$76+'Chi phí'!$D$76*B342+'Chi phí'!$E$76*A342+'Giả định'!$B$15*('Chi phí'!$F$76+'Chi phí'!$G$76*B342+'Chi phí'!$H$76*A342))*(1+'Giả định'!$B$16)</f>
        <v>392156380</v>
      </c>
      <c r="D342" s="25" t="n">
        <f aca="false">('Chi phí'!$C$77+'Chi phí'!$D$77*B342+'Chi phí'!$E$77*A342+'Giả định'!$B$15*('Chi phí'!$F$77+'Chi phí'!$G$77*B342+'Chi phí'!$H$77*A342))*(1+'Giả định'!$B$16)</f>
        <v>535761380</v>
      </c>
      <c r="E342" s="25" t="n">
        <f aca="false">A342/'Giả định'!$B$19*'Giả định'!$B$20+A342*'Giả định'!$B$23+'Giả định'!$B$24</f>
        <v>125454621.84874</v>
      </c>
      <c r="F342" s="25" t="n">
        <f aca="false">E342-D342</f>
        <v>-410306758.151261</v>
      </c>
      <c r="G342" s="25" t="n">
        <f aca="false">E342-C342</f>
        <v>-266701758.151261</v>
      </c>
      <c r="H342" s="7" t="str">
        <f aca="false">IF(F342&gt;=0,A342,"")</f>
        <v/>
      </c>
      <c r="I342" s="7" t="n">
        <f aca="false">IF(F342&lt;0,A342,0)</f>
        <v>337</v>
      </c>
      <c r="J342" s="7" t="str">
        <f aca="false">IF(G342&gt;=0,A342,"")</f>
        <v/>
      </c>
      <c r="K342" s="7" t="n">
        <f aca="false">IF(G342&lt;0,A342,0)</f>
        <v>337</v>
      </c>
    </row>
    <row r="343" customFormat="false" ht="15" hidden="false" customHeight="false" outlineLevel="0" collapsed="false">
      <c r="A343" s="7" t="n">
        <f aca="false">A342+1</f>
        <v>338</v>
      </c>
      <c r="B343" s="7" t="n">
        <f aca="false">MAX('Giả định'!$B$9,ROUNDUP(A343/'Giả định'!$B$7,0)+'Giả định'!$B$8)</f>
        <v>35</v>
      </c>
      <c r="C343" s="25" t="n">
        <f aca="false">('Chi phí'!$C$76+'Chi phí'!$D$76*B343+'Chi phí'!$E$76*A343+'Giả định'!$B$15*('Chi phí'!$F$76+'Chi phí'!$G$76*B343+'Chi phí'!$H$76*A343))*(1+'Giả định'!$B$16)</f>
        <v>392193120</v>
      </c>
      <c r="D343" s="25" t="n">
        <f aca="false">('Chi phí'!$C$77+'Chi phí'!$D$77*B343+'Chi phí'!$E$77*A343+'Giả định'!$B$15*('Chi phí'!$F$77+'Chi phí'!$G$77*B343+'Chi phí'!$H$77*A343))*(1+'Giả định'!$B$16)</f>
        <v>535798120</v>
      </c>
      <c r="E343" s="25" t="n">
        <f aca="false">A343/'Giả định'!$B$19*'Giả định'!$B$20+A343*'Giả định'!$B$23+'Giả định'!$B$24</f>
        <v>125826890.756303</v>
      </c>
      <c r="F343" s="25" t="n">
        <f aca="false">E343-D343</f>
        <v>-409971229.243698</v>
      </c>
      <c r="G343" s="25" t="n">
        <f aca="false">E343-C343</f>
        <v>-266366229.243698</v>
      </c>
      <c r="H343" s="7" t="str">
        <f aca="false">IF(F343&gt;=0,A343,"")</f>
        <v/>
      </c>
      <c r="I343" s="7" t="n">
        <f aca="false">IF(F343&lt;0,A343,0)</f>
        <v>338</v>
      </c>
      <c r="J343" s="7" t="str">
        <f aca="false">IF(G343&gt;=0,A343,"")</f>
        <v/>
      </c>
      <c r="K343" s="7" t="n">
        <f aca="false">IF(G343&lt;0,A343,0)</f>
        <v>338</v>
      </c>
    </row>
    <row r="344" customFormat="false" ht="15" hidden="false" customHeight="false" outlineLevel="0" collapsed="false">
      <c r="A344" s="7" t="n">
        <f aca="false">A343+1</f>
        <v>339</v>
      </c>
      <c r="B344" s="7" t="n">
        <f aca="false">MAX('Giả định'!$B$9,ROUNDUP(A344/'Giả định'!$B$7,0)+'Giả định'!$B$8)</f>
        <v>35</v>
      </c>
      <c r="C344" s="25" t="n">
        <f aca="false">('Chi phí'!$C$76+'Chi phí'!$D$76*B344+'Chi phí'!$E$76*A344+'Giả định'!$B$15*('Chi phí'!$F$76+'Chi phí'!$G$76*B344+'Chi phí'!$H$76*A344))*(1+'Giả định'!$B$16)</f>
        <v>392229860</v>
      </c>
      <c r="D344" s="25" t="n">
        <f aca="false">('Chi phí'!$C$77+'Chi phí'!$D$77*B344+'Chi phí'!$E$77*A344+'Giả định'!$B$15*('Chi phí'!$F$77+'Chi phí'!$G$77*B344+'Chi phí'!$H$77*A344))*(1+'Giả định'!$B$16)</f>
        <v>535834860</v>
      </c>
      <c r="E344" s="25" t="n">
        <f aca="false">A344/'Giả định'!$B$19*'Giả định'!$B$20+A344*'Giả định'!$B$23+'Giả định'!$B$24</f>
        <v>126199159.663866</v>
      </c>
      <c r="F344" s="25" t="n">
        <f aca="false">E344-D344</f>
        <v>-409635700.336135</v>
      </c>
      <c r="G344" s="25" t="n">
        <f aca="false">E344-C344</f>
        <v>-266030700.336135</v>
      </c>
      <c r="H344" s="7" t="str">
        <f aca="false">IF(F344&gt;=0,A344,"")</f>
        <v/>
      </c>
      <c r="I344" s="7" t="n">
        <f aca="false">IF(F344&lt;0,A344,0)</f>
        <v>339</v>
      </c>
      <c r="J344" s="7" t="str">
        <f aca="false">IF(G344&gt;=0,A344,"")</f>
        <v/>
      </c>
      <c r="K344" s="7" t="n">
        <f aca="false">IF(G344&lt;0,A344,0)</f>
        <v>339</v>
      </c>
    </row>
    <row r="345" customFormat="false" ht="15" hidden="false" customHeight="false" outlineLevel="0" collapsed="false">
      <c r="A345" s="7" t="n">
        <f aca="false">A344+1</f>
        <v>340</v>
      </c>
      <c r="B345" s="7" t="n">
        <f aca="false">MAX('Giả định'!$B$9,ROUNDUP(A345/'Giả định'!$B$7,0)+'Giả định'!$B$8)</f>
        <v>35</v>
      </c>
      <c r="C345" s="25" t="n">
        <f aca="false">('Chi phí'!$C$76+'Chi phí'!$D$76*B345+'Chi phí'!$E$76*A345+'Giả định'!$B$15*('Chi phí'!$F$76+'Chi phí'!$G$76*B345+'Chi phí'!$H$76*A345))*(1+'Giả định'!$B$16)</f>
        <v>392266600</v>
      </c>
      <c r="D345" s="25" t="n">
        <f aca="false">('Chi phí'!$C$77+'Chi phí'!$D$77*B345+'Chi phí'!$E$77*A345+'Giả định'!$B$15*('Chi phí'!$F$77+'Chi phí'!$G$77*B345+'Chi phí'!$H$77*A345))*(1+'Giả định'!$B$16)</f>
        <v>535871600</v>
      </c>
      <c r="E345" s="25" t="n">
        <f aca="false">A345/'Giả định'!$B$19*'Giả định'!$B$20+A345*'Giả định'!$B$23+'Giả định'!$B$24</f>
        <v>126571428.571429</v>
      </c>
      <c r="F345" s="25" t="n">
        <f aca="false">E345-D345</f>
        <v>-409300171.428571</v>
      </c>
      <c r="G345" s="25" t="n">
        <f aca="false">E345-C345</f>
        <v>-265695171.428571</v>
      </c>
      <c r="H345" s="7" t="str">
        <f aca="false">IF(F345&gt;=0,A345,"")</f>
        <v/>
      </c>
      <c r="I345" s="7" t="n">
        <f aca="false">IF(F345&lt;0,A345,0)</f>
        <v>340</v>
      </c>
      <c r="J345" s="7" t="str">
        <f aca="false">IF(G345&gt;=0,A345,"")</f>
        <v/>
      </c>
      <c r="K345" s="7" t="n">
        <f aca="false">IF(G345&lt;0,A345,0)</f>
        <v>340</v>
      </c>
    </row>
    <row r="346" customFormat="false" ht="15" hidden="false" customHeight="false" outlineLevel="0" collapsed="false">
      <c r="A346" s="7" t="n">
        <f aca="false">A345+1</f>
        <v>341</v>
      </c>
      <c r="B346" s="7" t="n">
        <f aca="false">MAX('Giả định'!$B$9,ROUNDUP(A346/'Giả định'!$B$7,0)+'Giả định'!$B$8)</f>
        <v>36</v>
      </c>
      <c r="C346" s="25" t="n">
        <f aca="false">('Chi phí'!$C$76+'Chi phí'!$D$76*B346+'Chi phí'!$E$76*A346+'Giả định'!$B$15*('Chi phí'!$F$76+'Chi phí'!$G$76*B346+'Chi phí'!$H$76*A346))*(1+'Giả định'!$B$16)</f>
        <v>401477340</v>
      </c>
      <c r="D346" s="25" t="n">
        <f aca="false">('Chi phí'!$C$77+'Chi phí'!$D$77*B346+'Chi phí'!$E$77*A346+'Giả định'!$B$15*('Chi phí'!$F$77+'Chi phí'!$G$77*B346+'Chi phí'!$H$77*A346))*(1+'Giả định'!$B$16)</f>
        <v>545082340</v>
      </c>
      <c r="E346" s="25" t="n">
        <f aca="false">A346/'Giả định'!$B$19*'Giả định'!$B$20+A346*'Giả định'!$B$23+'Giả định'!$B$24</f>
        <v>126943697.478992</v>
      </c>
      <c r="F346" s="25" t="n">
        <f aca="false">E346-D346</f>
        <v>-418138642.521008</v>
      </c>
      <c r="G346" s="25" t="n">
        <f aca="false">E346-C346</f>
        <v>-274533642.521008</v>
      </c>
      <c r="H346" s="7" t="str">
        <f aca="false">IF(F346&gt;=0,A346,"")</f>
        <v/>
      </c>
      <c r="I346" s="7" t="n">
        <f aca="false">IF(F346&lt;0,A346,0)</f>
        <v>341</v>
      </c>
      <c r="J346" s="7" t="str">
        <f aca="false">IF(G346&gt;=0,A346,"")</f>
        <v/>
      </c>
      <c r="K346" s="7" t="n">
        <f aca="false">IF(G346&lt;0,A346,0)</f>
        <v>341</v>
      </c>
    </row>
    <row r="347" customFormat="false" ht="15" hidden="false" customHeight="false" outlineLevel="0" collapsed="false">
      <c r="A347" s="7" t="n">
        <f aca="false">A346+1</f>
        <v>342</v>
      </c>
      <c r="B347" s="7" t="n">
        <f aca="false">MAX('Giả định'!$B$9,ROUNDUP(A347/'Giả định'!$B$7,0)+'Giả định'!$B$8)</f>
        <v>36</v>
      </c>
      <c r="C347" s="25" t="n">
        <f aca="false">('Chi phí'!$C$76+'Chi phí'!$D$76*B347+'Chi phí'!$E$76*A347+'Giả định'!$B$15*('Chi phí'!$F$76+'Chi phí'!$G$76*B347+'Chi phí'!$H$76*A347))*(1+'Giả định'!$B$16)</f>
        <v>401514080</v>
      </c>
      <c r="D347" s="25" t="n">
        <f aca="false">('Chi phí'!$C$77+'Chi phí'!$D$77*B347+'Chi phí'!$E$77*A347+'Giả định'!$B$15*('Chi phí'!$F$77+'Chi phí'!$G$77*B347+'Chi phí'!$H$77*A347))*(1+'Giả định'!$B$16)</f>
        <v>545119080</v>
      </c>
      <c r="E347" s="25" t="n">
        <f aca="false">A347/'Giả định'!$B$19*'Giả định'!$B$20+A347*'Giả định'!$B$23+'Giả định'!$B$24</f>
        <v>127315966.386555</v>
      </c>
      <c r="F347" s="25" t="n">
        <f aca="false">E347-D347</f>
        <v>-417803113.613445</v>
      </c>
      <c r="G347" s="25" t="n">
        <f aca="false">E347-C347</f>
        <v>-274198113.613445</v>
      </c>
      <c r="H347" s="7" t="str">
        <f aca="false">IF(F347&gt;=0,A347,"")</f>
        <v/>
      </c>
      <c r="I347" s="7" t="n">
        <f aca="false">IF(F347&lt;0,A347,0)</f>
        <v>342</v>
      </c>
      <c r="J347" s="7" t="str">
        <f aca="false">IF(G347&gt;=0,A347,"")</f>
        <v/>
      </c>
      <c r="K347" s="7" t="n">
        <f aca="false">IF(G347&lt;0,A347,0)</f>
        <v>342</v>
      </c>
    </row>
    <row r="348" customFormat="false" ht="15" hidden="false" customHeight="false" outlineLevel="0" collapsed="false">
      <c r="A348" s="7" t="n">
        <f aca="false">A347+1</f>
        <v>343</v>
      </c>
      <c r="B348" s="7" t="n">
        <f aca="false">MAX('Giả định'!$B$9,ROUNDUP(A348/'Giả định'!$B$7,0)+'Giả định'!$B$8)</f>
        <v>36</v>
      </c>
      <c r="C348" s="25" t="n">
        <f aca="false">('Chi phí'!$C$76+'Chi phí'!$D$76*B348+'Chi phí'!$E$76*A348+'Giả định'!$B$15*('Chi phí'!$F$76+'Chi phí'!$G$76*B348+'Chi phí'!$H$76*A348))*(1+'Giả định'!$B$16)</f>
        <v>401550820</v>
      </c>
      <c r="D348" s="25" t="n">
        <f aca="false">('Chi phí'!$C$77+'Chi phí'!$D$77*B348+'Chi phí'!$E$77*A348+'Giả định'!$B$15*('Chi phí'!$F$77+'Chi phí'!$G$77*B348+'Chi phí'!$H$77*A348))*(1+'Giả định'!$B$16)</f>
        <v>545155820</v>
      </c>
      <c r="E348" s="25" t="n">
        <f aca="false">A348/'Giả định'!$B$19*'Giả định'!$B$20+A348*'Giả định'!$B$23+'Giả định'!$B$24</f>
        <v>127688235.294118</v>
      </c>
      <c r="F348" s="25" t="n">
        <f aca="false">E348-D348</f>
        <v>-417467584.705882</v>
      </c>
      <c r="G348" s="25" t="n">
        <f aca="false">E348-C348</f>
        <v>-273862584.705882</v>
      </c>
      <c r="H348" s="7" t="str">
        <f aca="false">IF(F348&gt;=0,A348,"")</f>
        <v/>
      </c>
      <c r="I348" s="7" t="n">
        <f aca="false">IF(F348&lt;0,A348,0)</f>
        <v>343</v>
      </c>
      <c r="J348" s="7" t="str">
        <f aca="false">IF(G348&gt;=0,A348,"")</f>
        <v/>
      </c>
      <c r="K348" s="7" t="n">
        <f aca="false">IF(G348&lt;0,A348,0)</f>
        <v>343</v>
      </c>
    </row>
    <row r="349" customFormat="false" ht="15" hidden="false" customHeight="false" outlineLevel="0" collapsed="false">
      <c r="A349" s="7" t="n">
        <f aca="false">A348+1</f>
        <v>344</v>
      </c>
      <c r="B349" s="7" t="n">
        <f aca="false">MAX('Giả định'!$B$9,ROUNDUP(A349/'Giả định'!$B$7,0)+'Giả định'!$B$8)</f>
        <v>36</v>
      </c>
      <c r="C349" s="25" t="n">
        <f aca="false">('Chi phí'!$C$76+'Chi phí'!$D$76*B349+'Chi phí'!$E$76*A349+'Giả định'!$B$15*('Chi phí'!$F$76+'Chi phí'!$G$76*B349+'Chi phí'!$H$76*A349))*(1+'Giả định'!$B$16)</f>
        <v>401587560</v>
      </c>
      <c r="D349" s="25" t="n">
        <f aca="false">('Chi phí'!$C$77+'Chi phí'!$D$77*B349+'Chi phí'!$E$77*A349+'Giả định'!$B$15*('Chi phí'!$F$77+'Chi phí'!$G$77*B349+'Chi phí'!$H$77*A349))*(1+'Giả định'!$B$16)</f>
        <v>545192560</v>
      </c>
      <c r="E349" s="25" t="n">
        <f aca="false">A349/'Giả định'!$B$19*'Giả định'!$B$20+A349*'Giả định'!$B$23+'Giả định'!$B$24</f>
        <v>128060504.201681</v>
      </c>
      <c r="F349" s="25" t="n">
        <f aca="false">E349-D349</f>
        <v>-417132055.798319</v>
      </c>
      <c r="G349" s="25" t="n">
        <f aca="false">E349-C349</f>
        <v>-273527055.798319</v>
      </c>
      <c r="H349" s="7" t="str">
        <f aca="false">IF(F349&gt;=0,A349,"")</f>
        <v/>
      </c>
      <c r="I349" s="7" t="n">
        <f aca="false">IF(F349&lt;0,A349,0)</f>
        <v>344</v>
      </c>
      <c r="J349" s="7" t="str">
        <f aca="false">IF(G349&gt;=0,A349,"")</f>
        <v/>
      </c>
      <c r="K349" s="7" t="n">
        <f aca="false">IF(G349&lt;0,A349,0)</f>
        <v>344</v>
      </c>
    </row>
    <row r="350" customFormat="false" ht="15" hidden="false" customHeight="false" outlineLevel="0" collapsed="false">
      <c r="A350" s="7" t="n">
        <f aca="false">A349+1</f>
        <v>345</v>
      </c>
      <c r="B350" s="7" t="n">
        <f aca="false">MAX('Giả định'!$B$9,ROUNDUP(A350/'Giả định'!$B$7,0)+'Giả định'!$B$8)</f>
        <v>36</v>
      </c>
      <c r="C350" s="25" t="n">
        <f aca="false">('Chi phí'!$C$76+'Chi phí'!$D$76*B350+'Chi phí'!$E$76*A350+'Giả định'!$B$15*('Chi phí'!$F$76+'Chi phí'!$G$76*B350+'Chi phí'!$H$76*A350))*(1+'Giả định'!$B$16)</f>
        <v>401624300</v>
      </c>
      <c r="D350" s="25" t="n">
        <f aca="false">('Chi phí'!$C$77+'Chi phí'!$D$77*B350+'Chi phí'!$E$77*A350+'Giả định'!$B$15*('Chi phí'!$F$77+'Chi phí'!$G$77*B350+'Chi phí'!$H$77*A350))*(1+'Giả định'!$B$16)</f>
        <v>545229300</v>
      </c>
      <c r="E350" s="25" t="n">
        <f aca="false">A350/'Giả định'!$B$19*'Giả định'!$B$20+A350*'Giả định'!$B$23+'Giả định'!$B$24</f>
        <v>128432773.109244</v>
      </c>
      <c r="F350" s="25" t="n">
        <f aca="false">E350-D350</f>
        <v>-416796526.890756</v>
      </c>
      <c r="G350" s="25" t="n">
        <f aca="false">E350-C350</f>
        <v>-273191526.890756</v>
      </c>
      <c r="H350" s="7" t="str">
        <f aca="false">IF(F350&gt;=0,A350,"")</f>
        <v/>
      </c>
      <c r="I350" s="7" t="n">
        <f aca="false">IF(F350&lt;0,A350,0)</f>
        <v>345</v>
      </c>
      <c r="J350" s="7" t="str">
        <f aca="false">IF(G350&gt;=0,A350,"")</f>
        <v/>
      </c>
      <c r="K350" s="7" t="n">
        <f aca="false">IF(G350&lt;0,A350,0)</f>
        <v>345</v>
      </c>
    </row>
    <row r="351" customFormat="false" ht="15" hidden="false" customHeight="false" outlineLevel="0" collapsed="false">
      <c r="A351" s="7" t="n">
        <f aca="false">A350+1</f>
        <v>346</v>
      </c>
      <c r="B351" s="7" t="n">
        <f aca="false">MAX('Giả định'!$B$9,ROUNDUP(A351/'Giả định'!$B$7,0)+'Giả định'!$B$8)</f>
        <v>36</v>
      </c>
      <c r="C351" s="25" t="n">
        <f aca="false">('Chi phí'!$C$76+'Chi phí'!$D$76*B351+'Chi phí'!$E$76*A351+'Giả định'!$B$15*('Chi phí'!$F$76+'Chi phí'!$G$76*B351+'Chi phí'!$H$76*A351))*(1+'Giả định'!$B$16)</f>
        <v>401661040</v>
      </c>
      <c r="D351" s="25" t="n">
        <f aca="false">('Chi phí'!$C$77+'Chi phí'!$D$77*B351+'Chi phí'!$E$77*A351+'Giả định'!$B$15*('Chi phí'!$F$77+'Chi phí'!$G$77*B351+'Chi phí'!$H$77*A351))*(1+'Giả định'!$B$16)</f>
        <v>545266040</v>
      </c>
      <c r="E351" s="25" t="n">
        <f aca="false">A351/'Giả định'!$B$19*'Giả định'!$B$20+A351*'Giả định'!$B$23+'Giả định'!$B$24</f>
        <v>128805042.016807</v>
      </c>
      <c r="F351" s="25" t="n">
        <f aca="false">E351-D351</f>
        <v>-416460997.983193</v>
      </c>
      <c r="G351" s="25" t="n">
        <f aca="false">E351-C351</f>
        <v>-272855997.983193</v>
      </c>
      <c r="H351" s="7" t="str">
        <f aca="false">IF(F351&gt;=0,A351,"")</f>
        <v/>
      </c>
      <c r="I351" s="7" t="n">
        <f aca="false">IF(F351&lt;0,A351,0)</f>
        <v>346</v>
      </c>
      <c r="J351" s="7" t="str">
        <f aca="false">IF(G351&gt;=0,A351,"")</f>
        <v/>
      </c>
      <c r="K351" s="7" t="n">
        <f aca="false">IF(G351&lt;0,A351,0)</f>
        <v>346</v>
      </c>
    </row>
    <row r="352" customFormat="false" ht="15" hidden="false" customHeight="false" outlineLevel="0" collapsed="false">
      <c r="A352" s="7" t="n">
        <f aca="false">A351+1</f>
        <v>347</v>
      </c>
      <c r="B352" s="7" t="n">
        <f aca="false">MAX('Giả định'!$B$9,ROUNDUP(A352/'Giả định'!$B$7,0)+'Giả định'!$B$8)</f>
        <v>36</v>
      </c>
      <c r="C352" s="25" t="n">
        <f aca="false">('Chi phí'!$C$76+'Chi phí'!$D$76*B352+'Chi phí'!$E$76*A352+'Giả định'!$B$15*('Chi phí'!$F$76+'Chi phí'!$G$76*B352+'Chi phí'!$H$76*A352))*(1+'Giả định'!$B$16)</f>
        <v>401697780</v>
      </c>
      <c r="D352" s="25" t="n">
        <f aca="false">('Chi phí'!$C$77+'Chi phí'!$D$77*B352+'Chi phí'!$E$77*A352+'Giả định'!$B$15*('Chi phí'!$F$77+'Chi phí'!$G$77*B352+'Chi phí'!$H$77*A352))*(1+'Giả định'!$B$16)</f>
        <v>545302780</v>
      </c>
      <c r="E352" s="25" t="n">
        <f aca="false">A352/'Giả định'!$B$19*'Giả định'!$B$20+A352*'Giả định'!$B$23+'Giả định'!$B$24</f>
        <v>129177310.92437</v>
      </c>
      <c r="F352" s="25" t="n">
        <f aca="false">E352-D352</f>
        <v>-416125469.07563</v>
      </c>
      <c r="G352" s="25" t="n">
        <f aca="false">E352-C352</f>
        <v>-272520469.07563</v>
      </c>
      <c r="H352" s="7" t="str">
        <f aca="false">IF(F352&gt;=0,A352,"")</f>
        <v/>
      </c>
      <c r="I352" s="7" t="n">
        <f aca="false">IF(F352&lt;0,A352,0)</f>
        <v>347</v>
      </c>
      <c r="J352" s="7" t="str">
        <f aca="false">IF(G352&gt;=0,A352,"")</f>
        <v/>
      </c>
      <c r="K352" s="7" t="n">
        <f aca="false">IF(G352&lt;0,A352,0)</f>
        <v>347</v>
      </c>
    </row>
    <row r="353" customFormat="false" ht="15" hidden="false" customHeight="false" outlineLevel="0" collapsed="false">
      <c r="A353" s="7" t="n">
        <f aca="false">A352+1</f>
        <v>348</v>
      </c>
      <c r="B353" s="7" t="n">
        <f aca="false">MAX('Giả định'!$B$9,ROUNDUP(A353/'Giả định'!$B$7,0)+'Giả định'!$B$8)</f>
        <v>36</v>
      </c>
      <c r="C353" s="25" t="n">
        <f aca="false">('Chi phí'!$C$76+'Chi phí'!$D$76*B353+'Chi phí'!$E$76*A353+'Giả định'!$B$15*('Chi phí'!$F$76+'Chi phí'!$G$76*B353+'Chi phí'!$H$76*A353))*(1+'Giả định'!$B$16)</f>
        <v>401734520</v>
      </c>
      <c r="D353" s="25" t="n">
        <f aca="false">('Chi phí'!$C$77+'Chi phí'!$D$77*B353+'Chi phí'!$E$77*A353+'Giả định'!$B$15*('Chi phí'!$F$77+'Chi phí'!$G$77*B353+'Chi phí'!$H$77*A353))*(1+'Giả định'!$B$16)</f>
        <v>545339520</v>
      </c>
      <c r="E353" s="25" t="n">
        <f aca="false">A353/'Giả định'!$B$19*'Giả định'!$B$20+A353*'Giả định'!$B$23+'Giả định'!$B$24</f>
        <v>129549579.831933</v>
      </c>
      <c r="F353" s="25" t="n">
        <f aca="false">E353-D353</f>
        <v>-415789940.168067</v>
      </c>
      <c r="G353" s="25" t="n">
        <f aca="false">E353-C353</f>
        <v>-272184940.168067</v>
      </c>
      <c r="H353" s="7" t="str">
        <f aca="false">IF(F353&gt;=0,A353,"")</f>
        <v/>
      </c>
      <c r="I353" s="7" t="n">
        <f aca="false">IF(F353&lt;0,A353,0)</f>
        <v>348</v>
      </c>
      <c r="J353" s="7" t="str">
        <f aca="false">IF(G353&gt;=0,A353,"")</f>
        <v/>
      </c>
      <c r="K353" s="7" t="n">
        <f aca="false">IF(G353&lt;0,A353,0)</f>
        <v>348</v>
      </c>
    </row>
    <row r="354" customFormat="false" ht="15" hidden="false" customHeight="false" outlineLevel="0" collapsed="false">
      <c r="A354" s="7" t="n">
        <f aca="false">A353+1</f>
        <v>349</v>
      </c>
      <c r="B354" s="7" t="n">
        <f aca="false">MAX('Giả định'!$B$9,ROUNDUP(A354/'Giả định'!$B$7,0)+'Giả định'!$B$8)</f>
        <v>36</v>
      </c>
      <c r="C354" s="25" t="n">
        <f aca="false">('Chi phí'!$C$76+'Chi phí'!$D$76*B354+'Chi phí'!$E$76*A354+'Giả định'!$B$15*('Chi phí'!$F$76+'Chi phí'!$G$76*B354+'Chi phí'!$H$76*A354))*(1+'Giả định'!$B$16)</f>
        <v>401771260</v>
      </c>
      <c r="D354" s="25" t="n">
        <f aca="false">('Chi phí'!$C$77+'Chi phí'!$D$77*B354+'Chi phí'!$E$77*A354+'Giả định'!$B$15*('Chi phí'!$F$77+'Chi phí'!$G$77*B354+'Chi phí'!$H$77*A354))*(1+'Giả định'!$B$16)</f>
        <v>545376260</v>
      </c>
      <c r="E354" s="25" t="n">
        <f aca="false">A354/'Giả định'!$B$19*'Giả định'!$B$20+A354*'Giả định'!$B$23+'Giả định'!$B$24</f>
        <v>129921848.739496</v>
      </c>
      <c r="F354" s="25" t="n">
        <f aca="false">E354-D354</f>
        <v>-415454411.260504</v>
      </c>
      <c r="G354" s="25" t="n">
        <f aca="false">E354-C354</f>
        <v>-271849411.260504</v>
      </c>
      <c r="H354" s="7" t="str">
        <f aca="false">IF(F354&gt;=0,A354,"")</f>
        <v/>
      </c>
      <c r="I354" s="7" t="n">
        <f aca="false">IF(F354&lt;0,A354,0)</f>
        <v>349</v>
      </c>
      <c r="J354" s="7" t="str">
        <f aca="false">IF(G354&gt;=0,A354,"")</f>
        <v/>
      </c>
      <c r="K354" s="7" t="n">
        <f aca="false">IF(G354&lt;0,A354,0)</f>
        <v>349</v>
      </c>
    </row>
    <row r="355" customFormat="false" ht="15" hidden="false" customHeight="false" outlineLevel="0" collapsed="false">
      <c r="A355" s="7" t="n">
        <f aca="false">A354+1</f>
        <v>350</v>
      </c>
      <c r="B355" s="7" t="n">
        <f aca="false">MAX('Giả định'!$B$9,ROUNDUP(A355/'Giả định'!$B$7,0)+'Giả định'!$B$8)</f>
        <v>36</v>
      </c>
      <c r="C355" s="25" t="n">
        <f aca="false">('Chi phí'!$C$76+'Chi phí'!$D$76*B355+'Chi phí'!$E$76*A355+'Giả định'!$B$15*('Chi phí'!$F$76+'Chi phí'!$G$76*B355+'Chi phí'!$H$76*A355))*(1+'Giả định'!$B$16)</f>
        <v>401808000</v>
      </c>
      <c r="D355" s="25" t="n">
        <f aca="false">('Chi phí'!$C$77+'Chi phí'!$D$77*B355+'Chi phí'!$E$77*A355+'Giả định'!$B$15*('Chi phí'!$F$77+'Chi phí'!$G$77*B355+'Chi phí'!$H$77*A355))*(1+'Giả định'!$B$16)</f>
        <v>545413000</v>
      </c>
      <c r="E355" s="25" t="n">
        <f aca="false">A355/'Giả định'!$B$19*'Giả định'!$B$20+A355*'Giả định'!$B$23+'Giả định'!$B$24</f>
        <v>130294117.647059</v>
      </c>
      <c r="F355" s="25" t="n">
        <f aca="false">E355-D355</f>
        <v>-415118882.352941</v>
      </c>
      <c r="G355" s="25" t="n">
        <f aca="false">E355-C355</f>
        <v>-271513882.352941</v>
      </c>
      <c r="H355" s="7" t="str">
        <f aca="false">IF(F355&gt;=0,A355,"")</f>
        <v/>
      </c>
      <c r="I355" s="7" t="n">
        <f aca="false">IF(F355&lt;0,A355,0)</f>
        <v>350</v>
      </c>
      <c r="J355" s="7" t="str">
        <f aca="false">IF(G355&gt;=0,A355,"")</f>
        <v/>
      </c>
      <c r="K355" s="7" t="n">
        <f aca="false">IF(G355&lt;0,A355,0)</f>
        <v>350</v>
      </c>
    </row>
    <row r="356" customFormat="false" ht="15" hidden="false" customHeight="false" outlineLevel="0" collapsed="false">
      <c r="A356" s="7" t="n">
        <f aca="false">A355+1</f>
        <v>351</v>
      </c>
      <c r="B356" s="7" t="n">
        <f aca="false">MAX('Giả định'!$B$9,ROUNDUP(A356/'Giả định'!$B$7,0)+'Giả định'!$B$8)</f>
        <v>37</v>
      </c>
      <c r="C356" s="25" t="n">
        <f aca="false">('Chi phí'!$C$76+'Chi phí'!$D$76*B356+'Chi phí'!$E$76*A356+'Giả định'!$B$15*('Chi phí'!$F$76+'Chi phí'!$G$76*B356+'Chi phí'!$H$76*A356))*(1+'Giả định'!$B$16)</f>
        <v>411018740</v>
      </c>
      <c r="D356" s="25" t="n">
        <f aca="false">('Chi phí'!$C$77+'Chi phí'!$D$77*B356+'Chi phí'!$E$77*A356+'Giả định'!$B$15*('Chi phí'!$F$77+'Chi phí'!$G$77*B356+'Chi phí'!$H$77*A356))*(1+'Giả định'!$B$16)</f>
        <v>554623740</v>
      </c>
      <c r="E356" s="25" t="n">
        <f aca="false">A356/'Giả định'!$B$19*'Giả định'!$B$20+A356*'Giả định'!$B$23+'Giả định'!$B$24</f>
        <v>130666386.554622</v>
      </c>
      <c r="F356" s="25" t="n">
        <f aca="false">E356-D356</f>
        <v>-423957353.445378</v>
      </c>
      <c r="G356" s="25" t="n">
        <f aca="false">E356-C356</f>
        <v>-280352353.445378</v>
      </c>
      <c r="H356" s="7" t="str">
        <f aca="false">IF(F356&gt;=0,A356,"")</f>
        <v/>
      </c>
      <c r="I356" s="7" t="n">
        <f aca="false">IF(F356&lt;0,A356,0)</f>
        <v>351</v>
      </c>
      <c r="J356" s="7" t="str">
        <f aca="false">IF(G356&gt;=0,A356,"")</f>
        <v/>
      </c>
      <c r="K356" s="7" t="n">
        <f aca="false">IF(G356&lt;0,A356,0)</f>
        <v>351</v>
      </c>
    </row>
    <row r="357" customFormat="false" ht="15" hidden="false" customHeight="false" outlineLevel="0" collapsed="false">
      <c r="A357" s="7" t="n">
        <f aca="false">A356+1</f>
        <v>352</v>
      </c>
      <c r="B357" s="7" t="n">
        <f aca="false">MAX('Giả định'!$B$9,ROUNDUP(A357/'Giả định'!$B$7,0)+'Giả định'!$B$8)</f>
        <v>37</v>
      </c>
      <c r="C357" s="25" t="n">
        <f aca="false">('Chi phí'!$C$76+'Chi phí'!$D$76*B357+'Chi phí'!$E$76*A357+'Giả định'!$B$15*('Chi phí'!$F$76+'Chi phí'!$G$76*B357+'Chi phí'!$H$76*A357))*(1+'Giả định'!$B$16)</f>
        <v>411055480</v>
      </c>
      <c r="D357" s="25" t="n">
        <f aca="false">('Chi phí'!$C$77+'Chi phí'!$D$77*B357+'Chi phí'!$E$77*A357+'Giả định'!$B$15*('Chi phí'!$F$77+'Chi phí'!$G$77*B357+'Chi phí'!$H$77*A357))*(1+'Giả định'!$B$16)</f>
        <v>554660480</v>
      </c>
      <c r="E357" s="25" t="n">
        <f aca="false">A357/'Giả định'!$B$19*'Giả định'!$B$20+A357*'Giả định'!$B$23+'Giả định'!$B$24</f>
        <v>131038655.462185</v>
      </c>
      <c r="F357" s="25" t="n">
        <f aca="false">E357-D357</f>
        <v>-423621824.537815</v>
      </c>
      <c r="G357" s="25" t="n">
        <f aca="false">E357-C357</f>
        <v>-280016824.537815</v>
      </c>
      <c r="H357" s="7" t="str">
        <f aca="false">IF(F357&gt;=0,A357,"")</f>
        <v/>
      </c>
      <c r="I357" s="7" t="n">
        <f aca="false">IF(F357&lt;0,A357,0)</f>
        <v>352</v>
      </c>
      <c r="J357" s="7" t="str">
        <f aca="false">IF(G357&gt;=0,A357,"")</f>
        <v/>
      </c>
      <c r="K357" s="7" t="n">
        <f aca="false">IF(G357&lt;0,A357,0)</f>
        <v>352</v>
      </c>
    </row>
    <row r="358" customFormat="false" ht="15" hidden="false" customHeight="false" outlineLevel="0" collapsed="false">
      <c r="A358" s="7" t="n">
        <f aca="false">A357+1</f>
        <v>353</v>
      </c>
      <c r="B358" s="7" t="n">
        <f aca="false">MAX('Giả định'!$B$9,ROUNDUP(A358/'Giả định'!$B$7,0)+'Giả định'!$B$8)</f>
        <v>37</v>
      </c>
      <c r="C358" s="25" t="n">
        <f aca="false">('Chi phí'!$C$76+'Chi phí'!$D$76*B358+'Chi phí'!$E$76*A358+'Giả định'!$B$15*('Chi phí'!$F$76+'Chi phí'!$G$76*B358+'Chi phí'!$H$76*A358))*(1+'Giả định'!$B$16)</f>
        <v>411092220</v>
      </c>
      <c r="D358" s="25" t="n">
        <f aca="false">('Chi phí'!$C$77+'Chi phí'!$D$77*B358+'Chi phí'!$E$77*A358+'Giả định'!$B$15*('Chi phí'!$F$77+'Chi phí'!$G$77*B358+'Chi phí'!$H$77*A358))*(1+'Giả định'!$B$16)</f>
        <v>554697220</v>
      </c>
      <c r="E358" s="25" t="n">
        <f aca="false">A358/'Giả định'!$B$19*'Giả định'!$B$20+A358*'Giả định'!$B$23+'Giả định'!$B$24</f>
        <v>131410924.369748</v>
      </c>
      <c r="F358" s="25" t="n">
        <f aca="false">E358-D358</f>
        <v>-423286295.630252</v>
      </c>
      <c r="G358" s="25" t="n">
        <f aca="false">E358-C358</f>
        <v>-279681295.630252</v>
      </c>
      <c r="H358" s="7" t="str">
        <f aca="false">IF(F358&gt;=0,A358,"")</f>
        <v/>
      </c>
      <c r="I358" s="7" t="n">
        <f aca="false">IF(F358&lt;0,A358,0)</f>
        <v>353</v>
      </c>
      <c r="J358" s="7" t="str">
        <f aca="false">IF(G358&gt;=0,A358,"")</f>
        <v/>
      </c>
      <c r="K358" s="7" t="n">
        <f aca="false">IF(G358&lt;0,A358,0)</f>
        <v>353</v>
      </c>
    </row>
    <row r="359" customFormat="false" ht="15" hidden="false" customHeight="false" outlineLevel="0" collapsed="false">
      <c r="A359" s="7" t="n">
        <f aca="false">A358+1</f>
        <v>354</v>
      </c>
      <c r="B359" s="7" t="n">
        <f aca="false">MAX('Giả định'!$B$9,ROUNDUP(A359/'Giả định'!$B$7,0)+'Giả định'!$B$8)</f>
        <v>37</v>
      </c>
      <c r="C359" s="25" t="n">
        <f aca="false">('Chi phí'!$C$76+'Chi phí'!$D$76*B359+'Chi phí'!$E$76*A359+'Giả định'!$B$15*('Chi phí'!$F$76+'Chi phí'!$G$76*B359+'Chi phí'!$H$76*A359))*(1+'Giả định'!$B$16)</f>
        <v>411128960</v>
      </c>
      <c r="D359" s="25" t="n">
        <f aca="false">('Chi phí'!$C$77+'Chi phí'!$D$77*B359+'Chi phí'!$E$77*A359+'Giả định'!$B$15*('Chi phí'!$F$77+'Chi phí'!$G$77*B359+'Chi phí'!$H$77*A359))*(1+'Giả định'!$B$16)</f>
        <v>554733960</v>
      </c>
      <c r="E359" s="25" t="n">
        <f aca="false">A359/'Giả định'!$B$19*'Giả định'!$B$20+A359*'Giả định'!$B$23+'Giả định'!$B$24</f>
        <v>131783193.277311</v>
      </c>
      <c r="F359" s="25" t="n">
        <f aca="false">E359-D359</f>
        <v>-422950766.722689</v>
      </c>
      <c r="G359" s="25" t="n">
        <f aca="false">E359-C359</f>
        <v>-279345766.722689</v>
      </c>
      <c r="H359" s="7" t="str">
        <f aca="false">IF(F359&gt;=0,A359,"")</f>
        <v/>
      </c>
      <c r="I359" s="7" t="n">
        <f aca="false">IF(F359&lt;0,A359,0)</f>
        <v>354</v>
      </c>
      <c r="J359" s="7" t="str">
        <f aca="false">IF(G359&gt;=0,A359,"")</f>
        <v/>
      </c>
      <c r="K359" s="7" t="n">
        <f aca="false">IF(G359&lt;0,A359,0)</f>
        <v>354</v>
      </c>
    </row>
    <row r="360" customFormat="false" ht="15" hidden="false" customHeight="false" outlineLevel="0" collapsed="false">
      <c r="A360" s="7" t="n">
        <f aca="false">A359+1</f>
        <v>355</v>
      </c>
      <c r="B360" s="7" t="n">
        <f aca="false">MAX('Giả định'!$B$9,ROUNDUP(A360/'Giả định'!$B$7,0)+'Giả định'!$B$8)</f>
        <v>37</v>
      </c>
      <c r="C360" s="25" t="n">
        <f aca="false">('Chi phí'!$C$76+'Chi phí'!$D$76*B360+'Chi phí'!$E$76*A360+'Giả định'!$B$15*('Chi phí'!$F$76+'Chi phí'!$G$76*B360+'Chi phí'!$H$76*A360))*(1+'Giả định'!$B$16)</f>
        <v>411165700</v>
      </c>
      <c r="D360" s="25" t="n">
        <f aca="false">('Chi phí'!$C$77+'Chi phí'!$D$77*B360+'Chi phí'!$E$77*A360+'Giả định'!$B$15*('Chi phí'!$F$77+'Chi phí'!$G$77*B360+'Chi phí'!$H$77*A360))*(1+'Giả định'!$B$16)</f>
        <v>554770700</v>
      </c>
      <c r="E360" s="25" t="n">
        <f aca="false">A360/'Giả định'!$B$19*'Giả định'!$B$20+A360*'Giả định'!$B$23+'Giả định'!$B$24</f>
        <v>132155462.184874</v>
      </c>
      <c r="F360" s="25" t="n">
        <f aca="false">E360-D360</f>
        <v>-422615237.815126</v>
      </c>
      <c r="G360" s="25" t="n">
        <f aca="false">E360-C360</f>
        <v>-279010237.815126</v>
      </c>
      <c r="H360" s="7" t="str">
        <f aca="false">IF(F360&gt;=0,A360,"")</f>
        <v/>
      </c>
      <c r="I360" s="7" t="n">
        <f aca="false">IF(F360&lt;0,A360,0)</f>
        <v>355</v>
      </c>
      <c r="J360" s="7" t="str">
        <f aca="false">IF(G360&gt;=0,A360,"")</f>
        <v/>
      </c>
      <c r="K360" s="7" t="n">
        <f aca="false">IF(G360&lt;0,A360,0)</f>
        <v>355</v>
      </c>
    </row>
    <row r="361" customFormat="false" ht="15" hidden="false" customHeight="false" outlineLevel="0" collapsed="false">
      <c r="A361" s="7" t="n">
        <f aca="false">A360+1</f>
        <v>356</v>
      </c>
      <c r="B361" s="7" t="n">
        <f aca="false">MAX('Giả định'!$B$9,ROUNDUP(A361/'Giả định'!$B$7,0)+'Giả định'!$B$8)</f>
        <v>37</v>
      </c>
      <c r="C361" s="25" t="n">
        <f aca="false">('Chi phí'!$C$76+'Chi phí'!$D$76*B361+'Chi phí'!$E$76*A361+'Giả định'!$B$15*('Chi phí'!$F$76+'Chi phí'!$G$76*B361+'Chi phí'!$H$76*A361))*(1+'Giả định'!$B$16)</f>
        <v>411202440</v>
      </c>
      <c r="D361" s="25" t="n">
        <f aca="false">('Chi phí'!$C$77+'Chi phí'!$D$77*B361+'Chi phí'!$E$77*A361+'Giả định'!$B$15*('Chi phí'!$F$77+'Chi phí'!$G$77*B361+'Chi phí'!$H$77*A361))*(1+'Giả định'!$B$16)</f>
        <v>554807440</v>
      </c>
      <c r="E361" s="25" t="n">
        <f aca="false">A361/'Giả định'!$B$19*'Giả định'!$B$20+A361*'Giả định'!$B$23+'Giả định'!$B$24</f>
        <v>132527731.092437</v>
      </c>
      <c r="F361" s="25" t="n">
        <f aca="false">E361-D361</f>
        <v>-422279708.907563</v>
      </c>
      <c r="G361" s="25" t="n">
        <f aca="false">E361-C361</f>
        <v>-278674708.907563</v>
      </c>
      <c r="H361" s="7" t="str">
        <f aca="false">IF(F361&gt;=0,A361,"")</f>
        <v/>
      </c>
      <c r="I361" s="7" t="n">
        <f aca="false">IF(F361&lt;0,A361,0)</f>
        <v>356</v>
      </c>
      <c r="J361" s="7" t="str">
        <f aca="false">IF(G361&gt;=0,A361,"")</f>
        <v/>
      </c>
      <c r="K361" s="7" t="n">
        <f aca="false">IF(G361&lt;0,A361,0)</f>
        <v>356</v>
      </c>
    </row>
    <row r="362" customFormat="false" ht="15" hidden="false" customHeight="false" outlineLevel="0" collapsed="false">
      <c r="A362" s="7" t="n">
        <f aca="false">A361+1</f>
        <v>357</v>
      </c>
      <c r="B362" s="7" t="n">
        <f aca="false">MAX('Giả định'!$B$9,ROUNDUP(A362/'Giả định'!$B$7,0)+'Giả định'!$B$8)</f>
        <v>37</v>
      </c>
      <c r="C362" s="25" t="n">
        <f aca="false">('Chi phí'!$C$76+'Chi phí'!$D$76*B362+'Chi phí'!$E$76*A362+'Giả định'!$B$15*('Chi phí'!$F$76+'Chi phí'!$G$76*B362+'Chi phí'!$H$76*A362))*(1+'Giả định'!$B$16)</f>
        <v>411239180</v>
      </c>
      <c r="D362" s="25" t="n">
        <f aca="false">('Chi phí'!$C$77+'Chi phí'!$D$77*B362+'Chi phí'!$E$77*A362+'Giả định'!$B$15*('Chi phí'!$F$77+'Chi phí'!$G$77*B362+'Chi phí'!$H$77*A362))*(1+'Giả định'!$B$16)</f>
        <v>554844180</v>
      </c>
      <c r="E362" s="25" t="n">
        <f aca="false">A362/'Giả định'!$B$19*'Giả định'!$B$20+A362*'Giả định'!$B$23+'Giả định'!$B$24</f>
        <v>132900000</v>
      </c>
      <c r="F362" s="25" t="n">
        <f aca="false">E362-D362</f>
        <v>-421944180</v>
      </c>
      <c r="G362" s="25" t="n">
        <f aca="false">E362-C362</f>
        <v>-278339180</v>
      </c>
      <c r="H362" s="7" t="str">
        <f aca="false">IF(F362&gt;=0,A362,"")</f>
        <v/>
      </c>
      <c r="I362" s="7" t="n">
        <f aca="false">IF(F362&lt;0,A362,0)</f>
        <v>357</v>
      </c>
      <c r="J362" s="7" t="str">
        <f aca="false">IF(G362&gt;=0,A362,"")</f>
        <v/>
      </c>
      <c r="K362" s="7" t="n">
        <f aca="false">IF(G362&lt;0,A362,0)</f>
        <v>357</v>
      </c>
    </row>
    <row r="363" customFormat="false" ht="15" hidden="false" customHeight="false" outlineLevel="0" collapsed="false">
      <c r="A363" s="7" t="n">
        <f aca="false">A362+1</f>
        <v>358</v>
      </c>
      <c r="B363" s="7" t="n">
        <f aca="false">MAX('Giả định'!$B$9,ROUNDUP(A363/'Giả định'!$B$7,0)+'Giả định'!$B$8)</f>
        <v>37</v>
      </c>
      <c r="C363" s="25" t="n">
        <f aca="false">('Chi phí'!$C$76+'Chi phí'!$D$76*B363+'Chi phí'!$E$76*A363+'Giả định'!$B$15*('Chi phí'!$F$76+'Chi phí'!$G$76*B363+'Chi phí'!$H$76*A363))*(1+'Giả định'!$B$16)</f>
        <v>411275920</v>
      </c>
      <c r="D363" s="25" t="n">
        <f aca="false">('Chi phí'!$C$77+'Chi phí'!$D$77*B363+'Chi phí'!$E$77*A363+'Giả định'!$B$15*('Chi phí'!$F$77+'Chi phí'!$G$77*B363+'Chi phí'!$H$77*A363))*(1+'Giả định'!$B$16)</f>
        <v>554880920</v>
      </c>
      <c r="E363" s="25" t="n">
        <f aca="false">A363/'Giả định'!$B$19*'Giả định'!$B$20+A363*'Giả định'!$B$23+'Giả định'!$B$24</f>
        <v>133272268.907563</v>
      </c>
      <c r="F363" s="25" t="n">
        <f aca="false">E363-D363</f>
        <v>-421608651.092437</v>
      </c>
      <c r="G363" s="25" t="n">
        <f aca="false">E363-C363</f>
        <v>-278003651.092437</v>
      </c>
      <c r="H363" s="7" t="str">
        <f aca="false">IF(F363&gt;=0,A363,"")</f>
        <v/>
      </c>
      <c r="I363" s="7" t="n">
        <f aca="false">IF(F363&lt;0,A363,0)</f>
        <v>358</v>
      </c>
      <c r="J363" s="7" t="str">
        <f aca="false">IF(G363&gt;=0,A363,"")</f>
        <v/>
      </c>
      <c r="K363" s="7" t="n">
        <f aca="false">IF(G363&lt;0,A363,0)</f>
        <v>358</v>
      </c>
    </row>
    <row r="364" customFormat="false" ht="15" hidden="false" customHeight="false" outlineLevel="0" collapsed="false">
      <c r="A364" s="7" t="n">
        <f aca="false">A363+1</f>
        <v>359</v>
      </c>
      <c r="B364" s="7" t="n">
        <f aca="false">MAX('Giả định'!$B$9,ROUNDUP(A364/'Giả định'!$B$7,0)+'Giả định'!$B$8)</f>
        <v>37</v>
      </c>
      <c r="C364" s="25" t="n">
        <f aca="false">('Chi phí'!$C$76+'Chi phí'!$D$76*B364+'Chi phí'!$E$76*A364+'Giả định'!$B$15*('Chi phí'!$F$76+'Chi phí'!$G$76*B364+'Chi phí'!$H$76*A364))*(1+'Giả định'!$B$16)</f>
        <v>411312660</v>
      </c>
      <c r="D364" s="25" t="n">
        <f aca="false">('Chi phí'!$C$77+'Chi phí'!$D$77*B364+'Chi phí'!$E$77*A364+'Giả định'!$B$15*('Chi phí'!$F$77+'Chi phí'!$G$77*B364+'Chi phí'!$H$77*A364))*(1+'Giả định'!$B$16)</f>
        <v>554917660</v>
      </c>
      <c r="E364" s="25" t="n">
        <f aca="false">A364/'Giả định'!$B$19*'Giả định'!$B$20+A364*'Giả định'!$B$23+'Giả định'!$B$24</f>
        <v>133644537.815126</v>
      </c>
      <c r="F364" s="25" t="n">
        <f aca="false">E364-D364</f>
        <v>-421273122.184874</v>
      </c>
      <c r="G364" s="25" t="n">
        <f aca="false">E364-C364</f>
        <v>-277668122.184874</v>
      </c>
      <c r="H364" s="7" t="str">
        <f aca="false">IF(F364&gt;=0,A364,"")</f>
        <v/>
      </c>
      <c r="I364" s="7" t="n">
        <f aca="false">IF(F364&lt;0,A364,0)</f>
        <v>359</v>
      </c>
      <c r="J364" s="7" t="str">
        <f aca="false">IF(G364&gt;=0,A364,"")</f>
        <v/>
      </c>
      <c r="K364" s="7" t="n">
        <f aca="false">IF(G364&lt;0,A364,0)</f>
        <v>359</v>
      </c>
    </row>
    <row r="365" customFormat="false" ht="15" hidden="false" customHeight="false" outlineLevel="0" collapsed="false">
      <c r="A365" s="7" t="n">
        <f aca="false">A364+1</f>
        <v>360</v>
      </c>
      <c r="B365" s="7" t="n">
        <f aca="false">MAX('Giả định'!$B$9,ROUNDUP(A365/'Giả định'!$B$7,0)+'Giả định'!$B$8)</f>
        <v>37</v>
      </c>
      <c r="C365" s="25" t="n">
        <f aca="false">('Chi phí'!$C$76+'Chi phí'!$D$76*B365+'Chi phí'!$E$76*A365+'Giả định'!$B$15*('Chi phí'!$F$76+'Chi phí'!$G$76*B365+'Chi phí'!$H$76*A365))*(1+'Giả định'!$B$16)</f>
        <v>411349400</v>
      </c>
      <c r="D365" s="25" t="n">
        <f aca="false">('Chi phí'!$C$77+'Chi phí'!$D$77*B365+'Chi phí'!$E$77*A365+'Giả định'!$B$15*('Chi phí'!$F$77+'Chi phí'!$G$77*B365+'Chi phí'!$H$77*A365))*(1+'Giả định'!$B$16)</f>
        <v>554954400</v>
      </c>
      <c r="E365" s="25" t="n">
        <f aca="false">A365/'Giả định'!$B$19*'Giả định'!$B$20+A365*'Giả định'!$B$23+'Giả định'!$B$24</f>
        <v>134016806.722689</v>
      </c>
      <c r="F365" s="25" t="n">
        <f aca="false">E365-D365</f>
        <v>-420937593.277311</v>
      </c>
      <c r="G365" s="25" t="n">
        <f aca="false">E365-C365</f>
        <v>-277332593.277311</v>
      </c>
      <c r="H365" s="7" t="str">
        <f aca="false">IF(F365&gt;=0,A365,"")</f>
        <v/>
      </c>
      <c r="I365" s="7" t="n">
        <f aca="false">IF(F365&lt;0,A365,0)</f>
        <v>360</v>
      </c>
      <c r="J365" s="7" t="str">
        <f aca="false">IF(G365&gt;=0,A365,"")</f>
        <v/>
      </c>
      <c r="K365" s="7" t="n">
        <f aca="false">IF(G365&lt;0,A365,0)</f>
        <v>360</v>
      </c>
    </row>
    <row r="366" customFormat="false" ht="15" hidden="false" customHeight="false" outlineLevel="0" collapsed="false">
      <c r="A366" s="7" t="n">
        <f aca="false">A365+1</f>
        <v>361</v>
      </c>
      <c r="B366" s="7" t="n">
        <f aca="false">MAX('Giả định'!$B$9,ROUNDUP(A366/'Giả định'!$B$7,0)+'Giả định'!$B$8)</f>
        <v>38</v>
      </c>
      <c r="C366" s="25" t="n">
        <f aca="false">('Chi phí'!$C$76+'Chi phí'!$D$76*B366+'Chi phí'!$E$76*A366+'Giả định'!$B$15*('Chi phí'!$F$76+'Chi phí'!$G$76*B366+'Chi phí'!$H$76*A366))*(1+'Giả định'!$B$16)</f>
        <v>420560140</v>
      </c>
      <c r="D366" s="25" t="n">
        <f aca="false">('Chi phí'!$C$77+'Chi phí'!$D$77*B366+'Chi phí'!$E$77*A366+'Giả định'!$B$15*('Chi phí'!$F$77+'Chi phí'!$G$77*B366+'Chi phí'!$H$77*A366))*(1+'Giả định'!$B$16)</f>
        <v>564165140</v>
      </c>
      <c r="E366" s="25" t="n">
        <f aca="false">A366/'Giả định'!$B$19*'Giả định'!$B$20+A366*'Giả định'!$B$23+'Giả định'!$B$24</f>
        <v>134389075.630252</v>
      </c>
      <c r="F366" s="25" t="n">
        <f aca="false">E366-D366</f>
        <v>-429776064.369748</v>
      </c>
      <c r="G366" s="25" t="n">
        <f aca="false">E366-C366</f>
        <v>-286171064.369748</v>
      </c>
      <c r="H366" s="7" t="str">
        <f aca="false">IF(F366&gt;=0,A366,"")</f>
        <v/>
      </c>
      <c r="I366" s="7" t="n">
        <f aca="false">IF(F366&lt;0,A366,0)</f>
        <v>361</v>
      </c>
      <c r="J366" s="7" t="str">
        <f aca="false">IF(G366&gt;=0,A366,"")</f>
        <v/>
      </c>
      <c r="K366" s="7" t="n">
        <f aca="false">IF(G366&lt;0,A366,0)</f>
        <v>361</v>
      </c>
    </row>
    <row r="367" customFormat="false" ht="15" hidden="false" customHeight="false" outlineLevel="0" collapsed="false">
      <c r="A367" s="7" t="n">
        <f aca="false">A366+1</f>
        <v>362</v>
      </c>
      <c r="B367" s="7" t="n">
        <f aca="false">MAX('Giả định'!$B$9,ROUNDUP(A367/'Giả định'!$B$7,0)+'Giả định'!$B$8)</f>
        <v>38</v>
      </c>
      <c r="C367" s="25" t="n">
        <f aca="false">('Chi phí'!$C$76+'Chi phí'!$D$76*B367+'Chi phí'!$E$76*A367+'Giả định'!$B$15*('Chi phí'!$F$76+'Chi phí'!$G$76*B367+'Chi phí'!$H$76*A367))*(1+'Giả định'!$B$16)</f>
        <v>420596880</v>
      </c>
      <c r="D367" s="25" t="n">
        <f aca="false">('Chi phí'!$C$77+'Chi phí'!$D$77*B367+'Chi phí'!$E$77*A367+'Giả định'!$B$15*('Chi phí'!$F$77+'Chi phí'!$G$77*B367+'Chi phí'!$H$77*A367))*(1+'Giả định'!$B$16)</f>
        <v>564201880</v>
      </c>
      <c r="E367" s="25" t="n">
        <f aca="false">A367/'Giả định'!$B$19*'Giả định'!$B$20+A367*'Giả định'!$B$23+'Giả định'!$B$24</f>
        <v>134761344.537815</v>
      </c>
      <c r="F367" s="25" t="n">
        <f aca="false">E367-D367</f>
        <v>-429440535.462185</v>
      </c>
      <c r="G367" s="25" t="n">
        <f aca="false">E367-C367</f>
        <v>-285835535.462185</v>
      </c>
      <c r="H367" s="7" t="str">
        <f aca="false">IF(F367&gt;=0,A367,"")</f>
        <v/>
      </c>
      <c r="I367" s="7" t="n">
        <f aca="false">IF(F367&lt;0,A367,0)</f>
        <v>362</v>
      </c>
      <c r="J367" s="7" t="str">
        <f aca="false">IF(G367&gt;=0,A367,"")</f>
        <v/>
      </c>
      <c r="K367" s="7" t="n">
        <f aca="false">IF(G367&lt;0,A367,0)</f>
        <v>362</v>
      </c>
    </row>
    <row r="368" customFormat="false" ht="15" hidden="false" customHeight="false" outlineLevel="0" collapsed="false">
      <c r="A368" s="7" t="n">
        <f aca="false">A367+1</f>
        <v>363</v>
      </c>
      <c r="B368" s="7" t="n">
        <f aca="false">MAX('Giả định'!$B$9,ROUNDUP(A368/'Giả định'!$B$7,0)+'Giả định'!$B$8)</f>
        <v>38</v>
      </c>
      <c r="C368" s="25" t="n">
        <f aca="false">('Chi phí'!$C$76+'Chi phí'!$D$76*B368+'Chi phí'!$E$76*A368+'Giả định'!$B$15*('Chi phí'!$F$76+'Chi phí'!$G$76*B368+'Chi phí'!$H$76*A368))*(1+'Giả định'!$B$16)</f>
        <v>420633620</v>
      </c>
      <c r="D368" s="25" t="n">
        <f aca="false">('Chi phí'!$C$77+'Chi phí'!$D$77*B368+'Chi phí'!$E$77*A368+'Giả định'!$B$15*('Chi phí'!$F$77+'Chi phí'!$G$77*B368+'Chi phí'!$H$77*A368))*(1+'Giả định'!$B$16)</f>
        <v>564238620</v>
      </c>
      <c r="E368" s="25" t="n">
        <f aca="false">A368/'Giả định'!$B$19*'Giả định'!$B$20+A368*'Giả định'!$B$23+'Giả định'!$B$24</f>
        <v>135133613.445378</v>
      </c>
      <c r="F368" s="25" t="n">
        <f aca="false">E368-D368</f>
        <v>-429105006.554622</v>
      </c>
      <c r="G368" s="25" t="n">
        <f aca="false">E368-C368</f>
        <v>-285500006.554622</v>
      </c>
      <c r="H368" s="7" t="str">
        <f aca="false">IF(F368&gt;=0,A368,"")</f>
        <v/>
      </c>
      <c r="I368" s="7" t="n">
        <f aca="false">IF(F368&lt;0,A368,0)</f>
        <v>363</v>
      </c>
      <c r="J368" s="7" t="str">
        <f aca="false">IF(G368&gt;=0,A368,"")</f>
        <v/>
      </c>
      <c r="K368" s="7" t="n">
        <f aca="false">IF(G368&lt;0,A368,0)</f>
        <v>363</v>
      </c>
    </row>
    <row r="369" customFormat="false" ht="15" hidden="false" customHeight="false" outlineLevel="0" collapsed="false">
      <c r="A369" s="7" t="n">
        <f aca="false">A368+1</f>
        <v>364</v>
      </c>
      <c r="B369" s="7" t="n">
        <f aca="false">MAX('Giả định'!$B$9,ROUNDUP(A369/'Giả định'!$B$7,0)+'Giả định'!$B$8)</f>
        <v>38</v>
      </c>
      <c r="C369" s="25" t="n">
        <f aca="false">('Chi phí'!$C$76+'Chi phí'!$D$76*B369+'Chi phí'!$E$76*A369+'Giả định'!$B$15*('Chi phí'!$F$76+'Chi phí'!$G$76*B369+'Chi phí'!$H$76*A369))*(1+'Giả định'!$B$16)</f>
        <v>420670360</v>
      </c>
      <c r="D369" s="25" t="n">
        <f aca="false">('Chi phí'!$C$77+'Chi phí'!$D$77*B369+'Chi phí'!$E$77*A369+'Giả định'!$B$15*('Chi phí'!$F$77+'Chi phí'!$G$77*B369+'Chi phí'!$H$77*A369))*(1+'Giả định'!$B$16)</f>
        <v>564275360</v>
      </c>
      <c r="E369" s="25" t="n">
        <f aca="false">A369/'Giả định'!$B$19*'Giả định'!$B$20+A369*'Giả định'!$B$23+'Giả định'!$B$24</f>
        <v>135505882.352941</v>
      </c>
      <c r="F369" s="25" t="n">
        <f aca="false">E369-D369</f>
        <v>-428769477.647059</v>
      </c>
      <c r="G369" s="25" t="n">
        <f aca="false">E369-C369</f>
        <v>-285164477.647059</v>
      </c>
      <c r="H369" s="7" t="str">
        <f aca="false">IF(F369&gt;=0,A369,"")</f>
        <v/>
      </c>
      <c r="I369" s="7" t="n">
        <f aca="false">IF(F369&lt;0,A369,0)</f>
        <v>364</v>
      </c>
      <c r="J369" s="7" t="str">
        <f aca="false">IF(G369&gt;=0,A369,"")</f>
        <v/>
      </c>
      <c r="K369" s="7" t="n">
        <f aca="false">IF(G369&lt;0,A369,0)</f>
        <v>364</v>
      </c>
    </row>
    <row r="370" customFormat="false" ht="15" hidden="false" customHeight="false" outlineLevel="0" collapsed="false">
      <c r="A370" s="7" t="n">
        <f aca="false">A369+1</f>
        <v>365</v>
      </c>
      <c r="B370" s="7" t="n">
        <f aca="false">MAX('Giả định'!$B$9,ROUNDUP(A370/'Giả định'!$B$7,0)+'Giả định'!$B$8)</f>
        <v>38</v>
      </c>
      <c r="C370" s="25" t="n">
        <f aca="false">('Chi phí'!$C$76+'Chi phí'!$D$76*B370+'Chi phí'!$E$76*A370+'Giả định'!$B$15*('Chi phí'!$F$76+'Chi phí'!$G$76*B370+'Chi phí'!$H$76*A370))*(1+'Giả định'!$B$16)</f>
        <v>420707100</v>
      </c>
      <c r="D370" s="25" t="n">
        <f aca="false">('Chi phí'!$C$77+'Chi phí'!$D$77*B370+'Chi phí'!$E$77*A370+'Giả định'!$B$15*('Chi phí'!$F$77+'Chi phí'!$G$77*B370+'Chi phí'!$H$77*A370))*(1+'Giả định'!$B$16)</f>
        <v>564312100</v>
      </c>
      <c r="E370" s="25" t="n">
        <f aca="false">A370/'Giả định'!$B$19*'Giả định'!$B$20+A370*'Giả định'!$B$23+'Giả định'!$B$24</f>
        <v>135878151.260504</v>
      </c>
      <c r="F370" s="25" t="n">
        <f aca="false">E370-D370</f>
        <v>-428433948.739496</v>
      </c>
      <c r="G370" s="25" t="n">
        <f aca="false">E370-C370</f>
        <v>-284828948.739496</v>
      </c>
      <c r="H370" s="7" t="str">
        <f aca="false">IF(F370&gt;=0,A370,"")</f>
        <v/>
      </c>
      <c r="I370" s="7" t="n">
        <f aca="false">IF(F370&lt;0,A370,0)</f>
        <v>365</v>
      </c>
      <c r="J370" s="7" t="str">
        <f aca="false">IF(G370&gt;=0,A370,"")</f>
        <v/>
      </c>
      <c r="K370" s="7" t="n">
        <f aca="false">IF(G370&lt;0,A370,0)</f>
        <v>365</v>
      </c>
    </row>
    <row r="371" customFormat="false" ht="15" hidden="false" customHeight="false" outlineLevel="0" collapsed="false">
      <c r="A371" s="7" t="n">
        <f aca="false">A370+1</f>
        <v>366</v>
      </c>
      <c r="B371" s="7" t="n">
        <f aca="false">MAX('Giả định'!$B$9,ROUNDUP(A371/'Giả định'!$B$7,0)+'Giả định'!$B$8)</f>
        <v>38</v>
      </c>
      <c r="C371" s="25" t="n">
        <f aca="false">('Chi phí'!$C$76+'Chi phí'!$D$76*B371+'Chi phí'!$E$76*A371+'Giả định'!$B$15*('Chi phí'!$F$76+'Chi phí'!$G$76*B371+'Chi phí'!$H$76*A371))*(1+'Giả định'!$B$16)</f>
        <v>420743840</v>
      </c>
      <c r="D371" s="25" t="n">
        <f aca="false">('Chi phí'!$C$77+'Chi phí'!$D$77*B371+'Chi phí'!$E$77*A371+'Giả định'!$B$15*('Chi phí'!$F$77+'Chi phí'!$G$77*B371+'Chi phí'!$H$77*A371))*(1+'Giả định'!$B$16)</f>
        <v>564348840</v>
      </c>
      <c r="E371" s="25" t="n">
        <f aca="false">A371/'Giả định'!$B$19*'Giả định'!$B$20+A371*'Giả định'!$B$23+'Giả định'!$B$24</f>
        <v>136250420.168067</v>
      </c>
      <c r="F371" s="25" t="n">
        <f aca="false">E371-D371</f>
        <v>-428098419.831933</v>
      </c>
      <c r="G371" s="25" t="n">
        <f aca="false">E371-C371</f>
        <v>-284493419.831933</v>
      </c>
      <c r="H371" s="7" t="str">
        <f aca="false">IF(F371&gt;=0,A371,"")</f>
        <v/>
      </c>
      <c r="I371" s="7" t="n">
        <f aca="false">IF(F371&lt;0,A371,0)</f>
        <v>366</v>
      </c>
      <c r="J371" s="7" t="str">
        <f aca="false">IF(G371&gt;=0,A371,"")</f>
        <v/>
      </c>
      <c r="K371" s="7" t="n">
        <f aca="false">IF(G371&lt;0,A371,0)</f>
        <v>366</v>
      </c>
    </row>
    <row r="372" customFormat="false" ht="15" hidden="false" customHeight="false" outlineLevel="0" collapsed="false">
      <c r="A372" s="7" t="n">
        <f aca="false">A371+1</f>
        <v>367</v>
      </c>
      <c r="B372" s="7" t="n">
        <f aca="false">MAX('Giả định'!$B$9,ROUNDUP(A372/'Giả định'!$B$7,0)+'Giả định'!$B$8)</f>
        <v>38</v>
      </c>
      <c r="C372" s="25" t="n">
        <f aca="false">('Chi phí'!$C$76+'Chi phí'!$D$76*B372+'Chi phí'!$E$76*A372+'Giả định'!$B$15*('Chi phí'!$F$76+'Chi phí'!$G$76*B372+'Chi phí'!$H$76*A372))*(1+'Giả định'!$B$16)</f>
        <v>420780580</v>
      </c>
      <c r="D372" s="25" t="n">
        <f aca="false">('Chi phí'!$C$77+'Chi phí'!$D$77*B372+'Chi phí'!$E$77*A372+'Giả định'!$B$15*('Chi phí'!$F$77+'Chi phí'!$G$77*B372+'Chi phí'!$H$77*A372))*(1+'Giả định'!$B$16)</f>
        <v>564385580</v>
      </c>
      <c r="E372" s="25" t="n">
        <f aca="false">A372/'Giả định'!$B$19*'Giả định'!$B$20+A372*'Giả định'!$B$23+'Giả định'!$B$24</f>
        <v>136622689.07563</v>
      </c>
      <c r="F372" s="25" t="n">
        <f aca="false">E372-D372</f>
        <v>-427762890.92437</v>
      </c>
      <c r="G372" s="25" t="n">
        <f aca="false">E372-C372</f>
        <v>-284157890.92437</v>
      </c>
      <c r="H372" s="7" t="str">
        <f aca="false">IF(F372&gt;=0,A372,"")</f>
        <v/>
      </c>
      <c r="I372" s="7" t="n">
        <f aca="false">IF(F372&lt;0,A372,0)</f>
        <v>367</v>
      </c>
      <c r="J372" s="7" t="str">
        <f aca="false">IF(G372&gt;=0,A372,"")</f>
        <v/>
      </c>
      <c r="K372" s="7" t="n">
        <f aca="false">IF(G372&lt;0,A372,0)</f>
        <v>367</v>
      </c>
    </row>
    <row r="373" customFormat="false" ht="15" hidden="false" customHeight="false" outlineLevel="0" collapsed="false">
      <c r="A373" s="7" t="n">
        <f aca="false">A372+1</f>
        <v>368</v>
      </c>
      <c r="B373" s="7" t="n">
        <f aca="false">MAX('Giả định'!$B$9,ROUNDUP(A373/'Giả định'!$B$7,0)+'Giả định'!$B$8)</f>
        <v>38</v>
      </c>
      <c r="C373" s="25" t="n">
        <f aca="false">('Chi phí'!$C$76+'Chi phí'!$D$76*B373+'Chi phí'!$E$76*A373+'Giả định'!$B$15*('Chi phí'!$F$76+'Chi phí'!$G$76*B373+'Chi phí'!$H$76*A373))*(1+'Giả định'!$B$16)</f>
        <v>420817320</v>
      </c>
      <c r="D373" s="25" t="n">
        <f aca="false">('Chi phí'!$C$77+'Chi phí'!$D$77*B373+'Chi phí'!$E$77*A373+'Giả định'!$B$15*('Chi phí'!$F$77+'Chi phí'!$G$77*B373+'Chi phí'!$H$77*A373))*(1+'Giả định'!$B$16)</f>
        <v>564422320</v>
      </c>
      <c r="E373" s="25" t="n">
        <f aca="false">A373/'Giả định'!$B$19*'Giả định'!$B$20+A373*'Giả định'!$B$23+'Giả định'!$B$24</f>
        <v>136994957.983193</v>
      </c>
      <c r="F373" s="25" t="n">
        <f aca="false">E373-D373</f>
        <v>-427427362.016807</v>
      </c>
      <c r="G373" s="25" t="n">
        <f aca="false">E373-C373</f>
        <v>-283822362.016807</v>
      </c>
      <c r="H373" s="7" t="str">
        <f aca="false">IF(F373&gt;=0,A373,"")</f>
        <v/>
      </c>
      <c r="I373" s="7" t="n">
        <f aca="false">IF(F373&lt;0,A373,0)</f>
        <v>368</v>
      </c>
      <c r="J373" s="7" t="str">
        <f aca="false">IF(G373&gt;=0,A373,"")</f>
        <v/>
      </c>
      <c r="K373" s="7" t="n">
        <f aca="false">IF(G373&lt;0,A373,0)</f>
        <v>368</v>
      </c>
    </row>
    <row r="374" customFormat="false" ht="15" hidden="false" customHeight="false" outlineLevel="0" collapsed="false">
      <c r="A374" s="7" t="n">
        <f aca="false">A373+1</f>
        <v>369</v>
      </c>
      <c r="B374" s="7" t="n">
        <f aca="false">MAX('Giả định'!$B$9,ROUNDUP(A374/'Giả định'!$B$7,0)+'Giả định'!$B$8)</f>
        <v>38</v>
      </c>
      <c r="C374" s="25" t="n">
        <f aca="false">('Chi phí'!$C$76+'Chi phí'!$D$76*B374+'Chi phí'!$E$76*A374+'Giả định'!$B$15*('Chi phí'!$F$76+'Chi phí'!$G$76*B374+'Chi phí'!$H$76*A374))*(1+'Giả định'!$B$16)</f>
        <v>420854060</v>
      </c>
      <c r="D374" s="25" t="n">
        <f aca="false">('Chi phí'!$C$77+'Chi phí'!$D$77*B374+'Chi phí'!$E$77*A374+'Giả định'!$B$15*('Chi phí'!$F$77+'Chi phí'!$G$77*B374+'Chi phí'!$H$77*A374))*(1+'Giả định'!$B$16)</f>
        <v>564459060</v>
      </c>
      <c r="E374" s="25" t="n">
        <f aca="false">A374/'Giả định'!$B$19*'Giả định'!$B$20+A374*'Giả định'!$B$23+'Giả định'!$B$24</f>
        <v>137367226.890756</v>
      </c>
      <c r="F374" s="25" t="n">
        <f aca="false">E374-D374</f>
        <v>-427091833.109244</v>
      </c>
      <c r="G374" s="25" t="n">
        <f aca="false">E374-C374</f>
        <v>-283486833.109244</v>
      </c>
      <c r="H374" s="7" t="str">
        <f aca="false">IF(F374&gt;=0,A374,"")</f>
        <v/>
      </c>
      <c r="I374" s="7" t="n">
        <f aca="false">IF(F374&lt;0,A374,0)</f>
        <v>369</v>
      </c>
      <c r="J374" s="7" t="str">
        <f aca="false">IF(G374&gt;=0,A374,"")</f>
        <v/>
      </c>
      <c r="K374" s="7" t="n">
        <f aca="false">IF(G374&lt;0,A374,0)</f>
        <v>369</v>
      </c>
    </row>
    <row r="375" customFormat="false" ht="15" hidden="false" customHeight="false" outlineLevel="0" collapsed="false">
      <c r="A375" s="7" t="n">
        <f aca="false">A374+1</f>
        <v>370</v>
      </c>
      <c r="B375" s="7" t="n">
        <f aca="false">MAX('Giả định'!$B$9,ROUNDUP(A375/'Giả định'!$B$7,0)+'Giả định'!$B$8)</f>
        <v>38</v>
      </c>
      <c r="C375" s="25" t="n">
        <f aca="false">('Chi phí'!$C$76+'Chi phí'!$D$76*B375+'Chi phí'!$E$76*A375+'Giả định'!$B$15*('Chi phí'!$F$76+'Chi phí'!$G$76*B375+'Chi phí'!$H$76*A375))*(1+'Giả định'!$B$16)</f>
        <v>420890800</v>
      </c>
      <c r="D375" s="25" t="n">
        <f aca="false">('Chi phí'!$C$77+'Chi phí'!$D$77*B375+'Chi phí'!$E$77*A375+'Giả định'!$B$15*('Chi phí'!$F$77+'Chi phí'!$G$77*B375+'Chi phí'!$H$77*A375))*(1+'Giả định'!$B$16)</f>
        <v>564495800</v>
      </c>
      <c r="E375" s="25" t="n">
        <f aca="false">A375/'Giả định'!$B$19*'Giả định'!$B$20+A375*'Giả định'!$B$23+'Giả định'!$B$24</f>
        <v>137739495.798319</v>
      </c>
      <c r="F375" s="25" t="n">
        <f aca="false">E375-D375</f>
        <v>-426756304.201681</v>
      </c>
      <c r="G375" s="25" t="n">
        <f aca="false">E375-C375</f>
        <v>-283151304.201681</v>
      </c>
      <c r="H375" s="7" t="str">
        <f aca="false">IF(F375&gt;=0,A375,"")</f>
        <v/>
      </c>
      <c r="I375" s="7" t="n">
        <f aca="false">IF(F375&lt;0,A375,0)</f>
        <v>370</v>
      </c>
      <c r="J375" s="7" t="str">
        <f aca="false">IF(G375&gt;=0,A375,"")</f>
        <v/>
      </c>
      <c r="K375" s="7" t="n">
        <f aca="false">IF(G375&lt;0,A375,0)</f>
        <v>370</v>
      </c>
    </row>
    <row r="376" customFormat="false" ht="15" hidden="false" customHeight="false" outlineLevel="0" collapsed="false">
      <c r="A376" s="7" t="n">
        <f aca="false">A375+1</f>
        <v>371</v>
      </c>
      <c r="B376" s="7" t="n">
        <f aca="false">MAX('Giả định'!$B$9,ROUNDUP(A376/'Giả định'!$B$7,0)+'Giả định'!$B$8)</f>
        <v>39</v>
      </c>
      <c r="C376" s="25" t="n">
        <f aca="false">('Chi phí'!$C$76+'Chi phí'!$D$76*B376+'Chi phí'!$E$76*A376+'Giả định'!$B$15*('Chi phí'!$F$76+'Chi phí'!$G$76*B376+'Chi phí'!$H$76*A376))*(1+'Giả định'!$B$16)</f>
        <v>430101540</v>
      </c>
      <c r="D376" s="25" t="n">
        <f aca="false">('Chi phí'!$C$77+'Chi phí'!$D$77*B376+'Chi phí'!$E$77*A376+'Giả định'!$B$15*('Chi phí'!$F$77+'Chi phí'!$G$77*B376+'Chi phí'!$H$77*A376))*(1+'Giả định'!$B$16)</f>
        <v>573706540</v>
      </c>
      <c r="E376" s="25" t="n">
        <f aca="false">A376/'Giả định'!$B$19*'Giả định'!$B$20+A376*'Giả định'!$B$23+'Giả định'!$B$24</f>
        <v>138111764.705882</v>
      </c>
      <c r="F376" s="25" t="n">
        <f aca="false">E376-D376</f>
        <v>-435594775.294118</v>
      </c>
      <c r="G376" s="25" t="n">
        <f aca="false">E376-C376</f>
        <v>-291989775.294118</v>
      </c>
      <c r="H376" s="7" t="str">
        <f aca="false">IF(F376&gt;=0,A376,"")</f>
        <v/>
      </c>
      <c r="I376" s="7" t="n">
        <f aca="false">IF(F376&lt;0,A376,0)</f>
        <v>371</v>
      </c>
      <c r="J376" s="7" t="str">
        <f aca="false">IF(G376&gt;=0,A376,"")</f>
        <v/>
      </c>
      <c r="K376" s="7" t="n">
        <f aca="false">IF(G376&lt;0,A376,0)</f>
        <v>371</v>
      </c>
    </row>
    <row r="377" customFormat="false" ht="15" hidden="false" customHeight="false" outlineLevel="0" collapsed="false">
      <c r="A377" s="7" t="n">
        <f aca="false">A376+1</f>
        <v>372</v>
      </c>
      <c r="B377" s="7" t="n">
        <f aca="false">MAX('Giả định'!$B$9,ROUNDUP(A377/'Giả định'!$B$7,0)+'Giả định'!$B$8)</f>
        <v>39</v>
      </c>
      <c r="C377" s="25" t="n">
        <f aca="false">('Chi phí'!$C$76+'Chi phí'!$D$76*B377+'Chi phí'!$E$76*A377+'Giả định'!$B$15*('Chi phí'!$F$76+'Chi phí'!$G$76*B377+'Chi phí'!$H$76*A377))*(1+'Giả định'!$B$16)</f>
        <v>430138280</v>
      </c>
      <c r="D377" s="25" t="n">
        <f aca="false">('Chi phí'!$C$77+'Chi phí'!$D$77*B377+'Chi phí'!$E$77*A377+'Giả định'!$B$15*('Chi phí'!$F$77+'Chi phí'!$G$77*B377+'Chi phí'!$H$77*A377))*(1+'Giả định'!$B$16)</f>
        <v>573743280</v>
      </c>
      <c r="E377" s="25" t="n">
        <f aca="false">A377/'Giả định'!$B$19*'Giả định'!$B$20+A377*'Giả định'!$B$23+'Giả định'!$B$24</f>
        <v>138484033.613445</v>
      </c>
      <c r="F377" s="25" t="n">
        <f aca="false">E377-D377</f>
        <v>-435259246.386555</v>
      </c>
      <c r="G377" s="25" t="n">
        <f aca="false">E377-C377</f>
        <v>-291654246.386555</v>
      </c>
      <c r="H377" s="7" t="str">
        <f aca="false">IF(F377&gt;=0,A377,"")</f>
        <v/>
      </c>
      <c r="I377" s="7" t="n">
        <f aca="false">IF(F377&lt;0,A377,0)</f>
        <v>372</v>
      </c>
      <c r="J377" s="7" t="str">
        <f aca="false">IF(G377&gt;=0,A377,"")</f>
        <v/>
      </c>
      <c r="K377" s="7" t="n">
        <f aca="false">IF(G377&lt;0,A377,0)</f>
        <v>372</v>
      </c>
    </row>
    <row r="378" customFormat="false" ht="15" hidden="false" customHeight="false" outlineLevel="0" collapsed="false">
      <c r="A378" s="7" t="n">
        <f aca="false">A377+1</f>
        <v>373</v>
      </c>
      <c r="B378" s="7" t="n">
        <f aca="false">MAX('Giả định'!$B$9,ROUNDUP(A378/'Giả định'!$B$7,0)+'Giả định'!$B$8)</f>
        <v>39</v>
      </c>
      <c r="C378" s="25" t="n">
        <f aca="false">('Chi phí'!$C$76+'Chi phí'!$D$76*B378+'Chi phí'!$E$76*A378+'Giả định'!$B$15*('Chi phí'!$F$76+'Chi phí'!$G$76*B378+'Chi phí'!$H$76*A378))*(1+'Giả định'!$B$16)</f>
        <v>430175020</v>
      </c>
      <c r="D378" s="25" t="n">
        <f aca="false">('Chi phí'!$C$77+'Chi phí'!$D$77*B378+'Chi phí'!$E$77*A378+'Giả định'!$B$15*('Chi phí'!$F$77+'Chi phí'!$G$77*B378+'Chi phí'!$H$77*A378))*(1+'Giả định'!$B$16)</f>
        <v>573780020</v>
      </c>
      <c r="E378" s="25" t="n">
        <f aca="false">A378/'Giả định'!$B$19*'Giả định'!$B$20+A378*'Giả định'!$B$23+'Giả định'!$B$24</f>
        <v>138856302.521008</v>
      </c>
      <c r="F378" s="25" t="n">
        <f aca="false">E378-D378</f>
        <v>-434923717.478992</v>
      </c>
      <c r="G378" s="25" t="n">
        <f aca="false">E378-C378</f>
        <v>-291318717.478992</v>
      </c>
      <c r="H378" s="7" t="str">
        <f aca="false">IF(F378&gt;=0,A378,"")</f>
        <v/>
      </c>
      <c r="I378" s="7" t="n">
        <f aca="false">IF(F378&lt;0,A378,0)</f>
        <v>373</v>
      </c>
      <c r="J378" s="7" t="str">
        <f aca="false">IF(G378&gt;=0,A378,"")</f>
        <v/>
      </c>
      <c r="K378" s="7" t="n">
        <f aca="false">IF(G378&lt;0,A378,0)</f>
        <v>373</v>
      </c>
    </row>
    <row r="379" customFormat="false" ht="15" hidden="false" customHeight="false" outlineLevel="0" collapsed="false">
      <c r="A379" s="7" t="n">
        <f aca="false">A378+1</f>
        <v>374</v>
      </c>
      <c r="B379" s="7" t="n">
        <f aca="false">MAX('Giả định'!$B$9,ROUNDUP(A379/'Giả định'!$B$7,0)+'Giả định'!$B$8)</f>
        <v>39</v>
      </c>
      <c r="C379" s="25" t="n">
        <f aca="false">('Chi phí'!$C$76+'Chi phí'!$D$76*B379+'Chi phí'!$E$76*A379+'Giả định'!$B$15*('Chi phí'!$F$76+'Chi phí'!$G$76*B379+'Chi phí'!$H$76*A379))*(1+'Giả định'!$B$16)</f>
        <v>430211760</v>
      </c>
      <c r="D379" s="25" t="n">
        <f aca="false">('Chi phí'!$C$77+'Chi phí'!$D$77*B379+'Chi phí'!$E$77*A379+'Giả định'!$B$15*('Chi phí'!$F$77+'Chi phí'!$G$77*B379+'Chi phí'!$H$77*A379))*(1+'Giả định'!$B$16)</f>
        <v>573816760</v>
      </c>
      <c r="E379" s="25" t="n">
        <f aca="false">A379/'Giả định'!$B$19*'Giả định'!$B$20+A379*'Giả định'!$B$23+'Giả định'!$B$24</f>
        <v>139228571.428571</v>
      </c>
      <c r="F379" s="25" t="n">
        <f aca="false">E379-D379</f>
        <v>-434588188.571429</v>
      </c>
      <c r="G379" s="25" t="n">
        <f aca="false">E379-C379</f>
        <v>-290983188.571429</v>
      </c>
      <c r="H379" s="7" t="str">
        <f aca="false">IF(F379&gt;=0,A379,"")</f>
        <v/>
      </c>
      <c r="I379" s="7" t="n">
        <f aca="false">IF(F379&lt;0,A379,0)</f>
        <v>374</v>
      </c>
      <c r="J379" s="7" t="str">
        <f aca="false">IF(G379&gt;=0,A379,"")</f>
        <v/>
      </c>
      <c r="K379" s="7" t="n">
        <f aca="false">IF(G379&lt;0,A379,0)</f>
        <v>374</v>
      </c>
    </row>
    <row r="380" customFormat="false" ht="15" hidden="false" customHeight="false" outlineLevel="0" collapsed="false">
      <c r="A380" s="7" t="n">
        <f aca="false">A379+1</f>
        <v>375</v>
      </c>
      <c r="B380" s="7" t="n">
        <f aca="false">MAX('Giả định'!$B$9,ROUNDUP(A380/'Giả định'!$B$7,0)+'Giả định'!$B$8)</f>
        <v>39</v>
      </c>
      <c r="C380" s="25" t="n">
        <f aca="false">('Chi phí'!$C$76+'Chi phí'!$D$76*B380+'Chi phí'!$E$76*A380+'Giả định'!$B$15*('Chi phí'!$F$76+'Chi phí'!$G$76*B380+'Chi phí'!$H$76*A380))*(1+'Giả định'!$B$16)</f>
        <v>430248500</v>
      </c>
      <c r="D380" s="25" t="n">
        <f aca="false">('Chi phí'!$C$77+'Chi phí'!$D$77*B380+'Chi phí'!$E$77*A380+'Giả định'!$B$15*('Chi phí'!$F$77+'Chi phí'!$G$77*B380+'Chi phí'!$H$77*A380))*(1+'Giả định'!$B$16)</f>
        <v>573853500</v>
      </c>
      <c r="E380" s="25" t="n">
        <f aca="false">A380/'Giả định'!$B$19*'Giả định'!$B$20+A380*'Giả định'!$B$23+'Giả định'!$B$24</f>
        <v>139600840.336134</v>
      </c>
      <c r="F380" s="25" t="n">
        <f aca="false">E380-D380</f>
        <v>-434252659.663866</v>
      </c>
      <c r="G380" s="25" t="n">
        <f aca="false">E380-C380</f>
        <v>-290647659.663866</v>
      </c>
      <c r="H380" s="7" t="str">
        <f aca="false">IF(F380&gt;=0,A380,"")</f>
        <v/>
      </c>
      <c r="I380" s="7" t="n">
        <f aca="false">IF(F380&lt;0,A380,0)</f>
        <v>375</v>
      </c>
      <c r="J380" s="7" t="str">
        <f aca="false">IF(G380&gt;=0,A380,"")</f>
        <v/>
      </c>
      <c r="K380" s="7" t="n">
        <f aca="false">IF(G380&lt;0,A380,0)</f>
        <v>375</v>
      </c>
    </row>
    <row r="381" customFormat="false" ht="15" hidden="false" customHeight="false" outlineLevel="0" collapsed="false">
      <c r="A381" s="7" t="n">
        <f aca="false">A380+1</f>
        <v>376</v>
      </c>
      <c r="B381" s="7" t="n">
        <f aca="false">MAX('Giả định'!$B$9,ROUNDUP(A381/'Giả định'!$B$7,0)+'Giả định'!$B$8)</f>
        <v>39</v>
      </c>
      <c r="C381" s="25" t="n">
        <f aca="false">('Chi phí'!$C$76+'Chi phí'!$D$76*B381+'Chi phí'!$E$76*A381+'Giả định'!$B$15*('Chi phí'!$F$76+'Chi phí'!$G$76*B381+'Chi phí'!$H$76*A381))*(1+'Giả định'!$B$16)</f>
        <v>430285240</v>
      </c>
      <c r="D381" s="25" t="n">
        <f aca="false">('Chi phí'!$C$77+'Chi phí'!$D$77*B381+'Chi phí'!$E$77*A381+'Giả định'!$B$15*('Chi phí'!$F$77+'Chi phí'!$G$77*B381+'Chi phí'!$H$77*A381))*(1+'Giả định'!$B$16)</f>
        <v>573890240</v>
      </c>
      <c r="E381" s="25" t="n">
        <f aca="false">A381/'Giả định'!$B$19*'Giả định'!$B$20+A381*'Giả định'!$B$23+'Giả định'!$B$24</f>
        <v>139973109.243698</v>
      </c>
      <c r="F381" s="25" t="n">
        <f aca="false">E381-D381</f>
        <v>-433917130.756303</v>
      </c>
      <c r="G381" s="25" t="n">
        <f aca="false">E381-C381</f>
        <v>-290312130.756303</v>
      </c>
      <c r="H381" s="7" t="str">
        <f aca="false">IF(F381&gt;=0,A381,"")</f>
        <v/>
      </c>
      <c r="I381" s="7" t="n">
        <f aca="false">IF(F381&lt;0,A381,0)</f>
        <v>376</v>
      </c>
      <c r="J381" s="7" t="str">
        <f aca="false">IF(G381&gt;=0,A381,"")</f>
        <v/>
      </c>
      <c r="K381" s="7" t="n">
        <f aca="false">IF(G381&lt;0,A381,0)</f>
        <v>376</v>
      </c>
    </row>
    <row r="382" customFormat="false" ht="15" hidden="false" customHeight="false" outlineLevel="0" collapsed="false">
      <c r="A382" s="7" t="n">
        <f aca="false">A381+1</f>
        <v>377</v>
      </c>
      <c r="B382" s="7" t="n">
        <f aca="false">MAX('Giả định'!$B$9,ROUNDUP(A382/'Giả định'!$B$7,0)+'Giả định'!$B$8)</f>
        <v>39</v>
      </c>
      <c r="C382" s="25" t="n">
        <f aca="false">('Chi phí'!$C$76+'Chi phí'!$D$76*B382+'Chi phí'!$E$76*A382+'Giả định'!$B$15*('Chi phí'!$F$76+'Chi phí'!$G$76*B382+'Chi phí'!$H$76*A382))*(1+'Giả định'!$B$16)</f>
        <v>430321980</v>
      </c>
      <c r="D382" s="25" t="n">
        <f aca="false">('Chi phí'!$C$77+'Chi phí'!$D$77*B382+'Chi phí'!$E$77*A382+'Giả định'!$B$15*('Chi phí'!$F$77+'Chi phí'!$G$77*B382+'Chi phí'!$H$77*A382))*(1+'Giả định'!$B$16)</f>
        <v>573926980</v>
      </c>
      <c r="E382" s="25" t="n">
        <f aca="false">A382/'Giả định'!$B$19*'Giả định'!$B$20+A382*'Giả định'!$B$23+'Giả định'!$B$24</f>
        <v>140345378.151261</v>
      </c>
      <c r="F382" s="25" t="n">
        <f aca="false">E382-D382</f>
        <v>-433581601.84874</v>
      </c>
      <c r="G382" s="25" t="n">
        <f aca="false">E382-C382</f>
        <v>-289976601.84874</v>
      </c>
      <c r="H382" s="7" t="str">
        <f aca="false">IF(F382&gt;=0,A382,"")</f>
        <v/>
      </c>
      <c r="I382" s="7" t="n">
        <f aca="false">IF(F382&lt;0,A382,0)</f>
        <v>377</v>
      </c>
      <c r="J382" s="7" t="str">
        <f aca="false">IF(G382&gt;=0,A382,"")</f>
        <v/>
      </c>
      <c r="K382" s="7" t="n">
        <f aca="false">IF(G382&lt;0,A382,0)</f>
        <v>377</v>
      </c>
    </row>
    <row r="383" customFormat="false" ht="15" hidden="false" customHeight="false" outlineLevel="0" collapsed="false">
      <c r="A383" s="7" t="n">
        <f aca="false">A382+1</f>
        <v>378</v>
      </c>
      <c r="B383" s="7" t="n">
        <f aca="false">MAX('Giả định'!$B$9,ROUNDUP(A383/'Giả định'!$B$7,0)+'Giả định'!$B$8)</f>
        <v>39</v>
      </c>
      <c r="C383" s="25" t="n">
        <f aca="false">('Chi phí'!$C$76+'Chi phí'!$D$76*B383+'Chi phí'!$E$76*A383+'Giả định'!$B$15*('Chi phí'!$F$76+'Chi phí'!$G$76*B383+'Chi phí'!$H$76*A383))*(1+'Giả định'!$B$16)</f>
        <v>430358720</v>
      </c>
      <c r="D383" s="25" t="n">
        <f aca="false">('Chi phí'!$C$77+'Chi phí'!$D$77*B383+'Chi phí'!$E$77*A383+'Giả định'!$B$15*('Chi phí'!$F$77+'Chi phí'!$G$77*B383+'Chi phí'!$H$77*A383))*(1+'Giả định'!$B$16)</f>
        <v>573963720</v>
      </c>
      <c r="E383" s="25" t="n">
        <f aca="false">A383/'Giả định'!$B$19*'Giả định'!$B$20+A383*'Giả định'!$B$23+'Giả định'!$B$24</f>
        <v>140717647.058824</v>
      </c>
      <c r="F383" s="25" t="n">
        <f aca="false">E383-D383</f>
        <v>-433246072.941177</v>
      </c>
      <c r="G383" s="25" t="n">
        <f aca="false">E383-C383</f>
        <v>-289641072.941177</v>
      </c>
      <c r="H383" s="7" t="str">
        <f aca="false">IF(F383&gt;=0,A383,"")</f>
        <v/>
      </c>
      <c r="I383" s="7" t="n">
        <f aca="false">IF(F383&lt;0,A383,0)</f>
        <v>378</v>
      </c>
      <c r="J383" s="7" t="str">
        <f aca="false">IF(G383&gt;=0,A383,"")</f>
        <v/>
      </c>
      <c r="K383" s="7" t="n">
        <f aca="false">IF(G383&lt;0,A383,0)</f>
        <v>378</v>
      </c>
    </row>
    <row r="384" customFormat="false" ht="15" hidden="false" customHeight="false" outlineLevel="0" collapsed="false">
      <c r="A384" s="7" t="n">
        <f aca="false">A383+1</f>
        <v>379</v>
      </c>
      <c r="B384" s="7" t="n">
        <f aca="false">MAX('Giả định'!$B$9,ROUNDUP(A384/'Giả định'!$B$7,0)+'Giả định'!$B$8)</f>
        <v>39</v>
      </c>
      <c r="C384" s="25" t="n">
        <f aca="false">('Chi phí'!$C$76+'Chi phí'!$D$76*B384+'Chi phí'!$E$76*A384+'Giả định'!$B$15*('Chi phí'!$F$76+'Chi phí'!$G$76*B384+'Chi phí'!$H$76*A384))*(1+'Giả định'!$B$16)</f>
        <v>430395460</v>
      </c>
      <c r="D384" s="25" t="n">
        <f aca="false">('Chi phí'!$C$77+'Chi phí'!$D$77*B384+'Chi phí'!$E$77*A384+'Giả định'!$B$15*('Chi phí'!$F$77+'Chi phí'!$G$77*B384+'Chi phí'!$H$77*A384))*(1+'Giả định'!$B$16)</f>
        <v>574000460</v>
      </c>
      <c r="E384" s="25" t="n">
        <f aca="false">A384/'Giả định'!$B$19*'Giả định'!$B$20+A384*'Giả định'!$B$23+'Giả định'!$B$24</f>
        <v>141089915.966387</v>
      </c>
      <c r="F384" s="25" t="n">
        <f aca="false">E384-D384</f>
        <v>-432910544.033613</v>
      </c>
      <c r="G384" s="25" t="n">
        <f aca="false">E384-C384</f>
        <v>-289305544.033614</v>
      </c>
      <c r="H384" s="7" t="str">
        <f aca="false">IF(F384&gt;=0,A384,"")</f>
        <v/>
      </c>
      <c r="I384" s="7" t="n">
        <f aca="false">IF(F384&lt;0,A384,0)</f>
        <v>379</v>
      </c>
      <c r="J384" s="7" t="str">
        <f aca="false">IF(G384&gt;=0,A384,"")</f>
        <v/>
      </c>
      <c r="K384" s="7" t="n">
        <f aca="false">IF(G384&lt;0,A384,0)</f>
        <v>379</v>
      </c>
    </row>
    <row r="385" customFormat="false" ht="15" hidden="false" customHeight="false" outlineLevel="0" collapsed="false">
      <c r="A385" s="7" t="n">
        <f aca="false">A384+1</f>
        <v>380</v>
      </c>
      <c r="B385" s="7" t="n">
        <f aca="false">MAX('Giả định'!$B$9,ROUNDUP(A385/'Giả định'!$B$7,0)+'Giả định'!$B$8)</f>
        <v>39</v>
      </c>
      <c r="C385" s="25" t="n">
        <f aca="false">('Chi phí'!$C$76+'Chi phí'!$D$76*B385+'Chi phí'!$E$76*A385+'Giả định'!$B$15*('Chi phí'!$F$76+'Chi phí'!$G$76*B385+'Chi phí'!$H$76*A385))*(1+'Giả định'!$B$16)</f>
        <v>430432200</v>
      </c>
      <c r="D385" s="25" t="n">
        <f aca="false">('Chi phí'!$C$77+'Chi phí'!$D$77*B385+'Chi phí'!$E$77*A385+'Giả định'!$B$15*('Chi phí'!$F$77+'Chi phí'!$G$77*B385+'Chi phí'!$H$77*A385))*(1+'Giả định'!$B$16)</f>
        <v>574037200</v>
      </c>
      <c r="E385" s="25" t="n">
        <f aca="false">A385/'Giả định'!$B$19*'Giả định'!$B$20+A385*'Giả định'!$B$23+'Giả định'!$B$24</f>
        <v>141462184.87395</v>
      </c>
      <c r="F385" s="25" t="n">
        <f aca="false">E385-D385</f>
        <v>-432575015.12605</v>
      </c>
      <c r="G385" s="25" t="n">
        <f aca="false">E385-C385</f>
        <v>-288970015.126051</v>
      </c>
      <c r="H385" s="7" t="str">
        <f aca="false">IF(F385&gt;=0,A385,"")</f>
        <v/>
      </c>
      <c r="I385" s="7" t="n">
        <f aca="false">IF(F385&lt;0,A385,0)</f>
        <v>380</v>
      </c>
      <c r="J385" s="7" t="str">
        <f aca="false">IF(G385&gt;=0,A385,"")</f>
        <v/>
      </c>
      <c r="K385" s="7" t="n">
        <f aca="false">IF(G385&lt;0,A385,0)</f>
        <v>380</v>
      </c>
    </row>
    <row r="386" customFormat="false" ht="15" hidden="false" customHeight="false" outlineLevel="0" collapsed="false">
      <c r="A386" s="7" t="n">
        <f aca="false">A385+1</f>
        <v>381</v>
      </c>
      <c r="B386" s="7" t="n">
        <f aca="false">MAX('Giả định'!$B$9,ROUNDUP(A386/'Giả định'!$B$7,0)+'Giả định'!$B$8)</f>
        <v>40</v>
      </c>
      <c r="C386" s="25" t="n">
        <f aca="false">('Chi phí'!$C$76+'Chi phí'!$D$76*B386+'Chi phí'!$E$76*A386+'Giả định'!$B$15*('Chi phí'!$F$76+'Chi phí'!$G$76*B386+'Chi phí'!$H$76*A386))*(1+'Giả định'!$B$16)</f>
        <v>439642940</v>
      </c>
      <c r="D386" s="25" t="n">
        <f aca="false">('Chi phí'!$C$77+'Chi phí'!$D$77*B386+'Chi phí'!$E$77*A386+'Giả định'!$B$15*('Chi phí'!$F$77+'Chi phí'!$G$77*B386+'Chi phí'!$H$77*A386))*(1+'Giả định'!$B$16)</f>
        <v>583247940</v>
      </c>
      <c r="E386" s="25" t="n">
        <f aca="false">A386/'Giả định'!$B$19*'Giả định'!$B$20+A386*'Giả định'!$B$23+'Giả định'!$B$24</f>
        <v>141834453.781513</v>
      </c>
      <c r="F386" s="25" t="n">
        <f aca="false">E386-D386</f>
        <v>-441413486.218487</v>
      </c>
      <c r="G386" s="25" t="n">
        <f aca="false">E386-C386</f>
        <v>-297808486.218487</v>
      </c>
      <c r="H386" s="7" t="str">
        <f aca="false">IF(F386&gt;=0,A386,"")</f>
        <v/>
      </c>
      <c r="I386" s="7" t="n">
        <f aca="false">IF(F386&lt;0,A386,0)</f>
        <v>381</v>
      </c>
      <c r="J386" s="7" t="str">
        <f aca="false">IF(G386&gt;=0,A386,"")</f>
        <v/>
      </c>
      <c r="K386" s="7" t="n">
        <f aca="false">IF(G386&lt;0,A386,0)</f>
        <v>381</v>
      </c>
    </row>
    <row r="387" customFormat="false" ht="15" hidden="false" customHeight="false" outlineLevel="0" collapsed="false">
      <c r="A387" s="7" t="n">
        <f aca="false">A386+1</f>
        <v>382</v>
      </c>
      <c r="B387" s="7" t="n">
        <f aca="false">MAX('Giả định'!$B$9,ROUNDUP(A387/'Giả định'!$B$7,0)+'Giả định'!$B$8)</f>
        <v>40</v>
      </c>
      <c r="C387" s="25" t="n">
        <f aca="false">('Chi phí'!$C$76+'Chi phí'!$D$76*B387+'Chi phí'!$E$76*A387+'Giả định'!$B$15*('Chi phí'!$F$76+'Chi phí'!$G$76*B387+'Chi phí'!$H$76*A387))*(1+'Giả định'!$B$16)</f>
        <v>439679680</v>
      </c>
      <c r="D387" s="25" t="n">
        <f aca="false">('Chi phí'!$C$77+'Chi phí'!$D$77*B387+'Chi phí'!$E$77*A387+'Giả định'!$B$15*('Chi phí'!$F$77+'Chi phí'!$G$77*B387+'Chi phí'!$H$77*A387))*(1+'Giả định'!$B$16)</f>
        <v>583284680</v>
      </c>
      <c r="E387" s="25" t="n">
        <f aca="false">A387/'Giả định'!$B$19*'Giả định'!$B$20+A387*'Giả định'!$B$23+'Giả định'!$B$24</f>
        <v>142206722.689076</v>
      </c>
      <c r="F387" s="25" t="n">
        <f aca="false">E387-D387</f>
        <v>-441077957.310924</v>
      </c>
      <c r="G387" s="25" t="n">
        <f aca="false">E387-C387</f>
        <v>-297472957.310924</v>
      </c>
      <c r="H387" s="7" t="str">
        <f aca="false">IF(F387&gt;=0,A387,"")</f>
        <v/>
      </c>
      <c r="I387" s="7" t="n">
        <f aca="false">IF(F387&lt;0,A387,0)</f>
        <v>382</v>
      </c>
      <c r="J387" s="7" t="str">
        <f aca="false">IF(G387&gt;=0,A387,"")</f>
        <v/>
      </c>
      <c r="K387" s="7" t="n">
        <f aca="false">IF(G387&lt;0,A387,0)</f>
        <v>382</v>
      </c>
    </row>
    <row r="388" customFormat="false" ht="15" hidden="false" customHeight="false" outlineLevel="0" collapsed="false">
      <c r="A388" s="7" t="n">
        <f aca="false">A387+1</f>
        <v>383</v>
      </c>
      <c r="B388" s="7" t="n">
        <f aca="false">MAX('Giả định'!$B$9,ROUNDUP(A388/'Giả định'!$B$7,0)+'Giả định'!$B$8)</f>
        <v>40</v>
      </c>
      <c r="C388" s="25" t="n">
        <f aca="false">('Chi phí'!$C$76+'Chi phí'!$D$76*B388+'Chi phí'!$E$76*A388+'Giả định'!$B$15*('Chi phí'!$F$76+'Chi phí'!$G$76*B388+'Chi phí'!$H$76*A388))*(1+'Giả định'!$B$16)</f>
        <v>439716420</v>
      </c>
      <c r="D388" s="25" t="n">
        <f aca="false">('Chi phí'!$C$77+'Chi phí'!$D$77*B388+'Chi phí'!$E$77*A388+'Giả định'!$B$15*('Chi phí'!$F$77+'Chi phí'!$G$77*B388+'Chi phí'!$H$77*A388))*(1+'Giả định'!$B$16)</f>
        <v>583321420</v>
      </c>
      <c r="E388" s="25" t="n">
        <f aca="false">A388/'Giả định'!$B$19*'Giả định'!$B$20+A388*'Giả định'!$B$23+'Giả định'!$B$24</f>
        <v>142578991.596639</v>
      </c>
      <c r="F388" s="25" t="n">
        <f aca="false">E388-D388</f>
        <v>-440742428.403361</v>
      </c>
      <c r="G388" s="25" t="n">
        <f aca="false">E388-C388</f>
        <v>-297137428.403361</v>
      </c>
      <c r="H388" s="7" t="str">
        <f aca="false">IF(F388&gt;=0,A388,"")</f>
        <v/>
      </c>
      <c r="I388" s="7" t="n">
        <f aca="false">IF(F388&lt;0,A388,0)</f>
        <v>383</v>
      </c>
      <c r="J388" s="7" t="str">
        <f aca="false">IF(G388&gt;=0,A388,"")</f>
        <v/>
      </c>
      <c r="K388" s="7" t="n">
        <f aca="false">IF(G388&lt;0,A388,0)</f>
        <v>383</v>
      </c>
    </row>
    <row r="389" customFormat="false" ht="15" hidden="false" customHeight="false" outlineLevel="0" collapsed="false">
      <c r="A389" s="7" t="n">
        <f aca="false">A388+1</f>
        <v>384</v>
      </c>
      <c r="B389" s="7" t="n">
        <f aca="false">MAX('Giả định'!$B$9,ROUNDUP(A389/'Giả định'!$B$7,0)+'Giả định'!$B$8)</f>
        <v>40</v>
      </c>
      <c r="C389" s="25" t="n">
        <f aca="false">('Chi phí'!$C$76+'Chi phí'!$D$76*B389+'Chi phí'!$E$76*A389+'Giả định'!$B$15*('Chi phí'!$F$76+'Chi phí'!$G$76*B389+'Chi phí'!$H$76*A389))*(1+'Giả định'!$B$16)</f>
        <v>439753160</v>
      </c>
      <c r="D389" s="25" t="n">
        <f aca="false">('Chi phí'!$C$77+'Chi phí'!$D$77*B389+'Chi phí'!$E$77*A389+'Giả định'!$B$15*('Chi phí'!$F$77+'Chi phí'!$G$77*B389+'Chi phí'!$H$77*A389))*(1+'Giả định'!$B$16)</f>
        <v>583358160</v>
      </c>
      <c r="E389" s="25" t="n">
        <f aca="false">A389/'Giả định'!$B$19*'Giả định'!$B$20+A389*'Giả định'!$B$23+'Giả định'!$B$24</f>
        <v>142951260.504202</v>
      </c>
      <c r="F389" s="25" t="n">
        <f aca="false">E389-D389</f>
        <v>-440406899.495798</v>
      </c>
      <c r="G389" s="25" t="n">
        <f aca="false">E389-C389</f>
        <v>-296801899.495798</v>
      </c>
      <c r="H389" s="7" t="str">
        <f aca="false">IF(F389&gt;=0,A389,"")</f>
        <v/>
      </c>
      <c r="I389" s="7" t="n">
        <f aca="false">IF(F389&lt;0,A389,0)</f>
        <v>384</v>
      </c>
      <c r="J389" s="7" t="str">
        <f aca="false">IF(G389&gt;=0,A389,"")</f>
        <v/>
      </c>
      <c r="K389" s="7" t="n">
        <f aca="false">IF(G389&lt;0,A389,0)</f>
        <v>384</v>
      </c>
    </row>
    <row r="390" customFormat="false" ht="15" hidden="false" customHeight="false" outlineLevel="0" collapsed="false">
      <c r="A390" s="7" t="n">
        <f aca="false">A389+1</f>
        <v>385</v>
      </c>
      <c r="B390" s="7" t="n">
        <f aca="false">MAX('Giả định'!$B$9,ROUNDUP(A390/'Giả định'!$B$7,0)+'Giả định'!$B$8)</f>
        <v>40</v>
      </c>
      <c r="C390" s="25" t="n">
        <f aca="false">('Chi phí'!$C$76+'Chi phí'!$D$76*B390+'Chi phí'!$E$76*A390+'Giả định'!$B$15*('Chi phí'!$F$76+'Chi phí'!$G$76*B390+'Chi phí'!$H$76*A390))*(1+'Giả định'!$B$16)</f>
        <v>439789900</v>
      </c>
      <c r="D390" s="25" t="n">
        <f aca="false">('Chi phí'!$C$77+'Chi phí'!$D$77*B390+'Chi phí'!$E$77*A390+'Giả định'!$B$15*('Chi phí'!$F$77+'Chi phí'!$G$77*B390+'Chi phí'!$H$77*A390))*(1+'Giả định'!$B$16)</f>
        <v>583394900</v>
      </c>
      <c r="E390" s="25" t="n">
        <f aca="false">A390/'Giả định'!$B$19*'Giả định'!$B$20+A390*'Giả định'!$B$23+'Giả định'!$B$24</f>
        <v>143323529.411765</v>
      </c>
      <c r="F390" s="25" t="n">
        <f aca="false">E390-D390</f>
        <v>-440071370.588235</v>
      </c>
      <c r="G390" s="25" t="n">
        <f aca="false">E390-C390</f>
        <v>-296466370.588235</v>
      </c>
      <c r="H390" s="7" t="str">
        <f aca="false">IF(F390&gt;=0,A390,"")</f>
        <v/>
      </c>
      <c r="I390" s="7" t="n">
        <f aca="false">IF(F390&lt;0,A390,0)</f>
        <v>385</v>
      </c>
      <c r="J390" s="7" t="str">
        <f aca="false">IF(G390&gt;=0,A390,"")</f>
        <v/>
      </c>
      <c r="K390" s="7" t="n">
        <f aca="false">IF(G390&lt;0,A390,0)</f>
        <v>385</v>
      </c>
    </row>
    <row r="391" customFormat="false" ht="15" hidden="false" customHeight="false" outlineLevel="0" collapsed="false">
      <c r="A391" s="7" t="n">
        <f aca="false">A390+1</f>
        <v>386</v>
      </c>
      <c r="B391" s="7" t="n">
        <f aca="false">MAX('Giả định'!$B$9,ROUNDUP(A391/'Giả định'!$B$7,0)+'Giả định'!$B$8)</f>
        <v>40</v>
      </c>
      <c r="C391" s="25" t="n">
        <f aca="false">('Chi phí'!$C$76+'Chi phí'!$D$76*B391+'Chi phí'!$E$76*A391+'Giả định'!$B$15*('Chi phí'!$F$76+'Chi phí'!$G$76*B391+'Chi phí'!$H$76*A391))*(1+'Giả định'!$B$16)</f>
        <v>439826640</v>
      </c>
      <c r="D391" s="25" t="n">
        <f aca="false">('Chi phí'!$C$77+'Chi phí'!$D$77*B391+'Chi phí'!$E$77*A391+'Giả định'!$B$15*('Chi phí'!$F$77+'Chi phí'!$G$77*B391+'Chi phí'!$H$77*A391))*(1+'Giả định'!$B$16)</f>
        <v>583431640</v>
      </c>
      <c r="E391" s="25" t="n">
        <f aca="false">A391/'Giả định'!$B$19*'Giả định'!$B$20+A391*'Giả định'!$B$23+'Giả định'!$B$24</f>
        <v>143695798.319328</v>
      </c>
      <c r="F391" s="25" t="n">
        <f aca="false">E391-D391</f>
        <v>-439735841.680672</v>
      </c>
      <c r="G391" s="25" t="n">
        <f aca="false">E391-C391</f>
        <v>-296130841.680672</v>
      </c>
      <c r="H391" s="7" t="str">
        <f aca="false">IF(F391&gt;=0,A391,"")</f>
        <v/>
      </c>
      <c r="I391" s="7" t="n">
        <f aca="false">IF(F391&lt;0,A391,0)</f>
        <v>386</v>
      </c>
      <c r="J391" s="7" t="str">
        <f aca="false">IF(G391&gt;=0,A391,"")</f>
        <v/>
      </c>
      <c r="K391" s="7" t="n">
        <f aca="false">IF(G391&lt;0,A391,0)</f>
        <v>386</v>
      </c>
    </row>
    <row r="392" customFormat="false" ht="15" hidden="false" customHeight="false" outlineLevel="0" collapsed="false">
      <c r="A392" s="7" t="n">
        <f aca="false">A391+1</f>
        <v>387</v>
      </c>
      <c r="B392" s="7" t="n">
        <f aca="false">MAX('Giả định'!$B$9,ROUNDUP(A392/'Giả định'!$B$7,0)+'Giả định'!$B$8)</f>
        <v>40</v>
      </c>
      <c r="C392" s="25" t="n">
        <f aca="false">('Chi phí'!$C$76+'Chi phí'!$D$76*B392+'Chi phí'!$E$76*A392+'Giả định'!$B$15*('Chi phí'!$F$76+'Chi phí'!$G$76*B392+'Chi phí'!$H$76*A392))*(1+'Giả định'!$B$16)</f>
        <v>439863380</v>
      </c>
      <c r="D392" s="25" t="n">
        <f aca="false">('Chi phí'!$C$77+'Chi phí'!$D$77*B392+'Chi phí'!$E$77*A392+'Giả định'!$B$15*('Chi phí'!$F$77+'Chi phí'!$G$77*B392+'Chi phí'!$H$77*A392))*(1+'Giả định'!$B$16)</f>
        <v>583468380</v>
      </c>
      <c r="E392" s="25" t="n">
        <f aca="false">A392/'Giả định'!$B$19*'Giả định'!$B$20+A392*'Giả định'!$B$23+'Giả định'!$B$24</f>
        <v>144068067.226891</v>
      </c>
      <c r="F392" s="25" t="n">
        <f aca="false">E392-D392</f>
        <v>-439400312.773109</v>
      </c>
      <c r="G392" s="25" t="n">
        <f aca="false">E392-C392</f>
        <v>-295795312.773109</v>
      </c>
      <c r="H392" s="7" t="str">
        <f aca="false">IF(F392&gt;=0,A392,"")</f>
        <v/>
      </c>
      <c r="I392" s="7" t="n">
        <f aca="false">IF(F392&lt;0,A392,0)</f>
        <v>387</v>
      </c>
      <c r="J392" s="7" t="str">
        <f aca="false">IF(G392&gt;=0,A392,"")</f>
        <v/>
      </c>
      <c r="K392" s="7" t="n">
        <f aca="false">IF(G392&lt;0,A392,0)</f>
        <v>387</v>
      </c>
    </row>
    <row r="393" customFormat="false" ht="15" hidden="false" customHeight="false" outlineLevel="0" collapsed="false">
      <c r="A393" s="7" t="n">
        <f aca="false">A392+1</f>
        <v>388</v>
      </c>
      <c r="B393" s="7" t="n">
        <f aca="false">MAX('Giả định'!$B$9,ROUNDUP(A393/'Giả định'!$B$7,0)+'Giả định'!$B$8)</f>
        <v>40</v>
      </c>
      <c r="C393" s="25" t="n">
        <f aca="false">('Chi phí'!$C$76+'Chi phí'!$D$76*B393+'Chi phí'!$E$76*A393+'Giả định'!$B$15*('Chi phí'!$F$76+'Chi phí'!$G$76*B393+'Chi phí'!$H$76*A393))*(1+'Giả định'!$B$16)</f>
        <v>439900120</v>
      </c>
      <c r="D393" s="25" t="n">
        <f aca="false">('Chi phí'!$C$77+'Chi phí'!$D$77*B393+'Chi phí'!$E$77*A393+'Giả định'!$B$15*('Chi phí'!$F$77+'Chi phí'!$G$77*B393+'Chi phí'!$H$77*A393))*(1+'Giả định'!$B$16)</f>
        <v>583505120</v>
      </c>
      <c r="E393" s="25" t="n">
        <f aca="false">A393/'Giả định'!$B$19*'Giả định'!$B$20+A393*'Giả định'!$B$23+'Giả định'!$B$24</f>
        <v>144440336.134454</v>
      </c>
      <c r="F393" s="25" t="n">
        <f aca="false">E393-D393</f>
        <v>-439064783.865546</v>
      </c>
      <c r="G393" s="25" t="n">
        <f aca="false">E393-C393</f>
        <v>-295459783.865546</v>
      </c>
      <c r="H393" s="7" t="str">
        <f aca="false">IF(F393&gt;=0,A393,"")</f>
        <v/>
      </c>
      <c r="I393" s="7" t="n">
        <f aca="false">IF(F393&lt;0,A393,0)</f>
        <v>388</v>
      </c>
      <c r="J393" s="7" t="str">
        <f aca="false">IF(G393&gt;=0,A393,"")</f>
        <v/>
      </c>
      <c r="K393" s="7" t="n">
        <f aca="false">IF(G393&lt;0,A393,0)</f>
        <v>388</v>
      </c>
    </row>
    <row r="394" customFormat="false" ht="15" hidden="false" customHeight="false" outlineLevel="0" collapsed="false">
      <c r="A394" s="7" t="n">
        <f aca="false">A393+1</f>
        <v>389</v>
      </c>
      <c r="B394" s="7" t="n">
        <f aca="false">MAX('Giả định'!$B$9,ROUNDUP(A394/'Giả định'!$B$7,0)+'Giả định'!$B$8)</f>
        <v>40</v>
      </c>
      <c r="C394" s="25" t="n">
        <f aca="false">('Chi phí'!$C$76+'Chi phí'!$D$76*B394+'Chi phí'!$E$76*A394+'Giả định'!$B$15*('Chi phí'!$F$76+'Chi phí'!$G$76*B394+'Chi phí'!$H$76*A394))*(1+'Giả định'!$B$16)</f>
        <v>439936860</v>
      </c>
      <c r="D394" s="25" t="n">
        <f aca="false">('Chi phí'!$C$77+'Chi phí'!$D$77*B394+'Chi phí'!$E$77*A394+'Giả định'!$B$15*('Chi phí'!$F$77+'Chi phí'!$G$77*B394+'Chi phí'!$H$77*A394))*(1+'Giả định'!$B$16)</f>
        <v>583541860</v>
      </c>
      <c r="E394" s="25" t="n">
        <f aca="false">A394/'Giả định'!$B$19*'Giả định'!$B$20+A394*'Giả định'!$B$23+'Giả định'!$B$24</f>
        <v>144812605.042017</v>
      </c>
      <c r="F394" s="25" t="n">
        <f aca="false">E394-D394</f>
        <v>-438729254.957983</v>
      </c>
      <c r="G394" s="25" t="n">
        <f aca="false">E394-C394</f>
        <v>-295124254.957983</v>
      </c>
      <c r="H394" s="7" t="str">
        <f aca="false">IF(F394&gt;=0,A394,"")</f>
        <v/>
      </c>
      <c r="I394" s="7" t="n">
        <f aca="false">IF(F394&lt;0,A394,0)</f>
        <v>389</v>
      </c>
      <c r="J394" s="7" t="str">
        <f aca="false">IF(G394&gt;=0,A394,"")</f>
        <v/>
      </c>
      <c r="K394" s="7" t="n">
        <f aca="false">IF(G394&lt;0,A394,0)</f>
        <v>389</v>
      </c>
    </row>
    <row r="395" customFormat="false" ht="15" hidden="false" customHeight="false" outlineLevel="0" collapsed="false">
      <c r="A395" s="7" t="n">
        <f aca="false">A394+1</f>
        <v>390</v>
      </c>
      <c r="B395" s="7" t="n">
        <f aca="false">MAX('Giả định'!$B$9,ROUNDUP(A395/'Giả định'!$B$7,0)+'Giả định'!$B$8)</f>
        <v>40</v>
      </c>
      <c r="C395" s="25" t="n">
        <f aca="false">('Chi phí'!$C$76+'Chi phí'!$D$76*B395+'Chi phí'!$E$76*A395+'Giả định'!$B$15*('Chi phí'!$F$76+'Chi phí'!$G$76*B395+'Chi phí'!$H$76*A395))*(1+'Giả định'!$B$16)</f>
        <v>439973600</v>
      </c>
      <c r="D395" s="25" t="n">
        <f aca="false">('Chi phí'!$C$77+'Chi phí'!$D$77*B395+'Chi phí'!$E$77*A395+'Giả định'!$B$15*('Chi phí'!$F$77+'Chi phí'!$G$77*B395+'Chi phí'!$H$77*A395))*(1+'Giả định'!$B$16)</f>
        <v>583578600</v>
      </c>
      <c r="E395" s="25" t="n">
        <f aca="false">A395/'Giả định'!$B$19*'Giả định'!$B$20+A395*'Giả định'!$B$23+'Giả định'!$B$24</f>
        <v>145184873.94958</v>
      </c>
      <c r="F395" s="25" t="n">
        <f aca="false">E395-D395</f>
        <v>-438393726.05042</v>
      </c>
      <c r="G395" s="25" t="n">
        <f aca="false">E395-C395</f>
        <v>-294788726.05042</v>
      </c>
      <c r="H395" s="7" t="str">
        <f aca="false">IF(F395&gt;=0,A395,"")</f>
        <v/>
      </c>
      <c r="I395" s="7" t="n">
        <f aca="false">IF(F395&lt;0,A395,0)</f>
        <v>390</v>
      </c>
      <c r="J395" s="7" t="str">
        <f aca="false">IF(G395&gt;=0,A395,"")</f>
        <v/>
      </c>
      <c r="K395" s="7" t="n">
        <f aca="false">IF(G395&lt;0,A395,0)</f>
        <v>390</v>
      </c>
    </row>
    <row r="396" customFormat="false" ht="15" hidden="false" customHeight="false" outlineLevel="0" collapsed="false">
      <c r="A396" s="7" t="n">
        <f aca="false">A395+1</f>
        <v>391</v>
      </c>
      <c r="B396" s="7" t="n">
        <f aca="false">MAX('Giả định'!$B$9,ROUNDUP(A396/'Giả định'!$B$7,0)+'Giả định'!$B$8)</f>
        <v>41</v>
      </c>
      <c r="C396" s="25" t="n">
        <f aca="false">('Chi phí'!$C$76+'Chi phí'!$D$76*B396+'Chi phí'!$E$76*A396+'Giả định'!$B$15*('Chi phí'!$F$76+'Chi phí'!$G$76*B396+'Chi phí'!$H$76*A396))*(1+'Giả định'!$B$16)</f>
        <v>449184340</v>
      </c>
      <c r="D396" s="25" t="n">
        <f aca="false">('Chi phí'!$C$77+'Chi phí'!$D$77*B396+'Chi phí'!$E$77*A396+'Giả định'!$B$15*('Chi phí'!$F$77+'Chi phí'!$G$77*B396+'Chi phí'!$H$77*A396))*(1+'Giả định'!$B$16)</f>
        <v>592789340</v>
      </c>
      <c r="E396" s="25" t="n">
        <f aca="false">A396/'Giả định'!$B$19*'Giả định'!$B$20+A396*'Giả định'!$B$23+'Giả định'!$B$24</f>
        <v>145557142.857143</v>
      </c>
      <c r="F396" s="25" t="n">
        <f aca="false">E396-D396</f>
        <v>-447232197.142857</v>
      </c>
      <c r="G396" s="25" t="n">
        <f aca="false">E396-C396</f>
        <v>-303627197.142857</v>
      </c>
      <c r="H396" s="7" t="str">
        <f aca="false">IF(F396&gt;=0,A396,"")</f>
        <v/>
      </c>
      <c r="I396" s="7" t="n">
        <f aca="false">IF(F396&lt;0,A396,0)</f>
        <v>391</v>
      </c>
      <c r="J396" s="7" t="str">
        <f aca="false">IF(G396&gt;=0,A396,"")</f>
        <v/>
      </c>
      <c r="K396" s="7" t="n">
        <f aca="false">IF(G396&lt;0,A396,0)</f>
        <v>391</v>
      </c>
    </row>
    <row r="397" customFormat="false" ht="15" hidden="false" customHeight="false" outlineLevel="0" collapsed="false">
      <c r="A397" s="7" t="n">
        <f aca="false">A396+1</f>
        <v>392</v>
      </c>
      <c r="B397" s="7" t="n">
        <f aca="false">MAX('Giả định'!$B$9,ROUNDUP(A397/'Giả định'!$B$7,0)+'Giả định'!$B$8)</f>
        <v>41</v>
      </c>
      <c r="C397" s="25" t="n">
        <f aca="false">('Chi phí'!$C$76+'Chi phí'!$D$76*B397+'Chi phí'!$E$76*A397+'Giả định'!$B$15*('Chi phí'!$F$76+'Chi phí'!$G$76*B397+'Chi phí'!$H$76*A397))*(1+'Giả định'!$B$16)</f>
        <v>449221080</v>
      </c>
      <c r="D397" s="25" t="n">
        <f aca="false">('Chi phí'!$C$77+'Chi phí'!$D$77*B397+'Chi phí'!$E$77*A397+'Giả định'!$B$15*('Chi phí'!$F$77+'Chi phí'!$G$77*B397+'Chi phí'!$H$77*A397))*(1+'Giả định'!$B$16)</f>
        <v>592826080</v>
      </c>
      <c r="E397" s="25" t="n">
        <f aca="false">A397/'Giả định'!$B$19*'Giả định'!$B$20+A397*'Giả định'!$B$23+'Giả định'!$B$24</f>
        <v>145929411.764706</v>
      </c>
      <c r="F397" s="25" t="n">
        <f aca="false">E397-D397</f>
        <v>-446896668.235294</v>
      </c>
      <c r="G397" s="25" t="n">
        <f aca="false">E397-C397</f>
        <v>-303291668.235294</v>
      </c>
      <c r="H397" s="7" t="str">
        <f aca="false">IF(F397&gt;=0,A397,"")</f>
        <v/>
      </c>
      <c r="I397" s="7" t="n">
        <f aca="false">IF(F397&lt;0,A397,0)</f>
        <v>392</v>
      </c>
      <c r="J397" s="7" t="str">
        <f aca="false">IF(G397&gt;=0,A397,"")</f>
        <v/>
      </c>
      <c r="K397" s="7" t="n">
        <f aca="false">IF(G397&lt;0,A397,0)</f>
        <v>392</v>
      </c>
    </row>
    <row r="398" customFormat="false" ht="15" hidden="false" customHeight="false" outlineLevel="0" collapsed="false">
      <c r="A398" s="7" t="n">
        <f aca="false">A397+1</f>
        <v>393</v>
      </c>
      <c r="B398" s="7" t="n">
        <f aca="false">MAX('Giả định'!$B$9,ROUNDUP(A398/'Giả định'!$B$7,0)+'Giả định'!$B$8)</f>
        <v>41</v>
      </c>
      <c r="C398" s="25" t="n">
        <f aca="false">('Chi phí'!$C$76+'Chi phí'!$D$76*B398+'Chi phí'!$E$76*A398+'Giả định'!$B$15*('Chi phí'!$F$76+'Chi phí'!$G$76*B398+'Chi phí'!$H$76*A398))*(1+'Giả định'!$B$16)</f>
        <v>449257820</v>
      </c>
      <c r="D398" s="25" t="n">
        <f aca="false">('Chi phí'!$C$77+'Chi phí'!$D$77*B398+'Chi phí'!$E$77*A398+'Giả định'!$B$15*('Chi phí'!$F$77+'Chi phí'!$G$77*B398+'Chi phí'!$H$77*A398))*(1+'Giả định'!$B$16)</f>
        <v>592862820</v>
      </c>
      <c r="E398" s="25" t="n">
        <f aca="false">A398/'Giả định'!$B$19*'Giả định'!$B$20+A398*'Giả định'!$B$23+'Giả định'!$B$24</f>
        <v>146301680.672269</v>
      </c>
      <c r="F398" s="25" t="n">
        <f aca="false">E398-D398</f>
        <v>-446561139.327731</v>
      </c>
      <c r="G398" s="25" t="n">
        <f aca="false">E398-C398</f>
        <v>-302956139.327731</v>
      </c>
      <c r="H398" s="7" t="str">
        <f aca="false">IF(F398&gt;=0,A398,"")</f>
        <v/>
      </c>
      <c r="I398" s="7" t="n">
        <f aca="false">IF(F398&lt;0,A398,0)</f>
        <v>393</v>
      </c>
      <c r="J398" s="7" t="str">
        <f aca="false">IF(G398&gt;=0,A398,"")</f>
        <v/>
      </c>
      <c r="K398" s="7" t="n">
        <f aca="false">IF(G398&lt;0,A398,0)</f>
        <v>393</v>
      </c>
    </row>
    <row r="399" customFormat="false" ht="15" hidden="false" customHeight="false" outlineLevel="0" collapsed="false">
      <c r="A399" s="7" t="n">
        <f aca="false">A398+1</f>
        <v>394</v>
      </c>
      <c r="B399" s="7" t="n">
        <f aca="false">MAX('Giả định'!$B$9,ROUNDUP(A399/'Giả định'!$B$7,0)+'Giả định'!$B$8)</f>
        <v>41</v>
      </c>
      <c r="C399" s="25" t="n">
        <f aca="false">('Chi phí'!$C$76+'Chi phí'!$D$76*B399+'Chi phí'!$E$76*A399+'Giả định'!$B$15*('Chi phí'!$F$76+'Chi phí'!$G$76*B399+'Chi phí'!$H$76*A399))*(1+'Giả định'!$B$16)</f>
        <v>449294560</v>
      </c>
      <c r="D399" s="25" t="n">
        <f aca="false">('Chi phí'!$C$77+'Chi phí'!$D$77*B399+'Chi phí'!$E$77*A399+'Giả định'!$B$15*('Chi phí'!$F$77+'Chi phí'!$G$77*B399+'Chi phí'!$H$77*A399))*(1+'Giả định'!$B$16)</f>
        <v>592899560</v>
      </c>
      <c r="E399" s="25" t="n">
        <f aca="false">A399/'Giả định'!$B$19*'Giả định'!$B$20+A399*'Giả định'!$B$23+'Giả định'!$B$24</f>
        <v>146673949.579832</v>
      </c>
      <c r="F399" s="25" t="n">
        <f aca="false">E399-D399</f>
        <v>-446225610.420168</v>
      </c>
      <c r="G399" s="25" t="n">
        <f aca="false">E399-C399</f>
        <v>-302620610.420168</v>
      </c>
      <c r="H399" s="7" t="str">
        <f aca="false">IF(F399&gt;=0,A399,"")</f>
        <v/>
      </c>
      <c r="I399" s="7" t="n">
        <f aca="false">IF(F399&lt;0,A399,0)</f>
        <v>394</v>
      </c>
      <c r="J399" s="7" t="str">
        <f aca="false">IF(G399&gt;=0,A399,"")</f>
        <v/>
      </c>
      <c r="K399" s="7" t="n">
        <f aca="false">IF(G399&lt;0,A399,0)</f>
        <v>394</v>
      </c>
    </row>
    <row r="400" customFormat="false" ht="15" hidden="false" customHeight="false" outlineLevel="0" collapsed="false">
      <c r="A400" s="7" t="n">
        <f aca="false">A399+1</f>
        <v>395</v>
      </c>
      <c r="B400" s="7" t="n">
        <f aca="false">MAX('Giả định'!$B$9,ROUNDUP(A400/'Giả định'!$B$7,0)+'Giả định'!$B$8)</f>
        <v>41</v>
      </c>
      <c r="C400" s="25" t="n">
        <f aca="false">('Chi phí'!$C$76+'Chi phí'!$D$76*B400+'Chi phí'!$E$76*A400+'Giả định'!$B$15*('Chi phí'!$F$76+'Chi phí'!$G$76*B400+'Chi phí'!$H$76*A400))*(1+'Giả định'!$B$16)</f>
        <v>449331300</v>
      </c>
      <c r="D400" s="25" t="n">
        <f aca="false">('Chi phí'!$C$77+'Chi phí'!$D$77*B400+'Chi phí'!$E$77*A400+'Giả định'!$B$15*('Chi phí'!$F$77+'Chi phí'!$G$77*B400+'Chi phí'!$H$77*A400))*(1+'Giả định'!$B$16)</f>
        <v>592936300</v>
      </c>
      <c r="E400" s="25" t="n">
        <f aca="false">A400/'Giả định'!$B$19*'Giả định'!$B$20+A400*'Giả định'!$B$23+'Giả định'!$B$24</f>
        <v>147046218.487395</v>
      </c>
      <c r="F400" s="25" t="n">
        <f aca="false">E400-D400</f>
        <v>-445890081.512605</v>
      </c>
      <c r="G400" s="25" t="n">
        <f aca="false">E400-C400</f>
        <v>-302285081.512605</v>
      </c>
      <c r="H400" s="7" t="str">
        <f aca="false">IF(F400&gt;=0,A400,"")</f>
        <v/>
      </c>
      <c r="I400" s="7" t="n">
        <f aca="false">IF(F400&lt;0,A400,0)</f>
        <v>395</v>
      </c>
      <c r="J400" s="7" t="str">
        <f aca="false">IF(G400&gt;=0,A400,"")</f>
        <v/>
      </c>
      <c r="K400" s="7" t="n">
        <f aca="false">IF(G400&lt;0,A400,0)</f>
        <v>395</v>
      </c>
    </row>
    <row r="401" customFormat="false" ht="15" hidden="false" customHeight="false" outlineLevel="0" collapsed="false">
      <c r="A401" s="7" t="n">
        <f aca="false">A400+1</f>
        <v>396</v>
      </c>
      <c r="B401" s="7" t="n">
        <f aca="false">MAX('Giả định'!$B$9,ROUNDUP(A401/'Giả định'!$B$7,0)+'Giả định'!$B$8)</f>
        <v>41</v>
      </c>
      <c r="C401" s="25" t="n">
        <f aca="false">('Chi phí'!$C$76+'Chi phí'!$D$76*B401+'Chi phí'!$E$76*A401+'Giả định'!$B$15*('Chi phí'!$F$76+'Chi phí'!$G$76*B401+'Chi phí'!$H$76*A401))*(1+'Giả định'!$B$16)</f>
        <v>449368040</v>
      </c>
      <c r="D401" s="25" t="n">
        <f aca="false">('Chi phí'!$C$77+'Chi phí'!$D$77*B401+'Chi phí'!$E$77*A401+'Giả định'!$B$15*('Chi phí'!$F$77+'Chi phí'!$G$77*B401+'Chi phí'!$H$77*A401))*(1+'Giả định'!$B$16)</f>
        <v>592973040</v>
      </c>
      <c r="E401" s="25" t="n">
        <f aca="false">A401/'Giả định'!$B$19*'Giả định'!$B$20+A401*'Giả định'!$B$23+'Giả định'!$B$24</f>
        <v>147418487.394958</v>
      </c>
      <c r="F401" s="25" t="n">
        <f aca="false">E401-D401</f>
        <v>-445554552.605042</v>
      </c>
      <c r="G401" s="25" t="n">
        <f aca="false">E401-C401</f>
        <v>-301949552.605042</v>
      </c>
      <c r="H401" s="7" t="str">
        <f aca="false">IF(F401&gt;=0,A401,"")</f>
        <v/>
      </c>
      <c r="I401" s="7" t="n">
        <f aca="false">IF(F401&lt;0,A401,0)</f>
        <v>396</v>
      </c>
      <c r="J401" s="7" t="str">
        <f aca="false">IF(G401&gt;=0,A401,"")</f>
        <v/>
      </c>
      <c r="K401" s="7" t="n">
        <f aca="false">IF(G401&lt;0,A401,0)</f>
        <v>396</v>
      </c>
    </row>
    <row r="402" customFormat="false" ht="15" hidden="false" customHeight="false" outlineLevel="0" collapsed="false">
      <c r="A402" s="7" t="n">
        <f aca="false">A401+1</f>
        <v>397</v>
      </c>
      <c r="B402" s="7" t="n">
        <f aca="false">MAX('Giả định'!$B$9,ROUNDUP(A402/'Giả định'!$B$7,0)+'Giả định'!$B$8)</f>
        <v>41</v>
      </c>
      <c r="C402" s="25" t="n">
        <f aca="false">('Chi phí'!$C$76+'Chi phí'!$D$76*B402+'Chi phí'!$E$76*A402+'Giả định'!$B$15*('Chi phí'!$F$76+'Chi phí'!$G$76*B402+'Chi phí'!$H$76*A402))*(1+'Giả định'!$B$16)</f>
        <v>449404780</v>
      </c>
      <c r="D402" s="25" t="n">
        <f aca="false">('Chi phí'!$C$77+'Chi phí'!$D$77*B402+'Chi phí'!$E$77*A402+'Giả định'!$B$15*('Chi phí'!$F$77+'Chi phí'!$G$77*B402+'Chi phí'!$H$77*A402))*(1+'Giả định'!$B$16)</f>
        <v>593009780</v>
      </c>
      <c r="E402" s="25" t="n">
        <f aca="false">A402/'Giả định'!$B$19*'Giả định'!$B$20+A402*'Giả định'!$B$23+'Giả định'!$B$24</f>
        <v>147790756.302521</v>
      </c>
      <c r="F402" s="25" t="n">
        <f aca="false">E402-D402</f>
        <v>-445219023.697479</v>
      </c>
      <c r="G402" s="25" t="n">
        <f aca="false">E402-C402</f>
        <v>-301614023.697479</v>
      </c>
      <c r="H402" s="7" t="str">
        <f aca="false">IF(F402&gt;=0,A402,"")</f>
        <v/>
      </c>
      <c r="I402" s="7" t="n">
        <f aca="false">IF(F402&lt;0,A402,0)</f>
        <v>397</v>
      </c>
      <c r="J402" s="7" t="str">
        <f aca="false">IF(G402&gt;=0,A402,"")</f>
        <v/>
      </c>
      <c r="K402" s="7" t="n">
        <f aca="false">IF(G402&lt;0,A402,0)</f>
        <v>397</v>
      </c>
    </row>
    <row r="403" customFormat="false" ht="15" hidden="false" customHeight="false" outlineLevel="0" collapsed="false">
      <c r="A403" s="7" t="n">
        <f aca="false">A402+1</f>
        <v>398</v>
      </c>
      <c r="B403" s="7" t="n">
        <f aca="false">MAX('Giả định'!$B$9,ROUNDUP(A403/'Giả định'!$B$7,0)+'Giả định'!$B$8)</f>
        <v>41</v>
      </c>
      <c r="C403" s="25" t="n">
        <f aca="false">('Chi phí'!$C$76+'Chi phí'!$D$76*B403+'Chi phí'!$E$76*A403+'Giả định'!$B$15*('Chi phí'!$F$76+'Chi phí'!$G$76*B403+'Chi phí'!$H$76*A403))*(1+'Giả định'!$B$16)</f>
        <v>449441520</v>
      </c>
      <c r="D403" s="25" t="n">
        <f aca="false">('Chi phí'!$C$77+'Chi phí'!$D$77*B403+'Chi phí'!$E$77*A403+'Giả định'!$B$15*('Chi phí'!$F$77+'Chi phí'!$G$77*B403+'Chi phí'!$H$77*A403))*(1+'Giả định'!$B$16)</f>
        <v>593046520</v>
      </c>
      <c r="E403" s="25" t="n">
        <f aca="false">A403/'Giả định'!$B$19*'Giả định'!$B$20+A403*'Giả định'!$B$23+'Giả định'!$B$24</f>
        <v>148163025.210084</v>
      </c>
      <c r="F403" s="25" t="n">
        <f aca="false">E403-D403</f>
        <v>-444883494.789916</v>
      </c>
      <c r="G403" s="25" t="n">
        <f aca="false">E403-C403</f>
        <v>-301278494.789916</v>
      </c>
      <c r="H403" s="7" t="str">
        <f aca="false">IF(F403&gt;=0,A403,"")</f>
        <v/>
      </c>
      <c r="I403" s="7" t="n">
        <f aca="false">IF(F403&lt;0,A403,0)</f>
        <v>398</v>
      </c>
      <c r="J403" s="7" t="str">
        <f aca="false">IF(G403&gt;=0,A403,"")</f>
        <v/>
      </c>
      <c r="K403" s="7" t="n">
        <f aca="false">IF(G403&lt;0,A403,0)</f>
        <v>398</v>
      </c>
    </row>
    <row r="404" customFormat="false" ht="15" hidden="false" customHeight="false" outlineLevel="0" collapsed="false">
      <c r="A404" s="7" t="n">
        <f aca="false">A403+1</f>
        <v>399</v>
      </c>
      <c r="B404" s="7" t="n">
        <f aca="false">MAX('Giả định'!$B$9,ROUNDUP(A404/'Giả định'!$B$7,0)+'Giả định'!$B$8)</f>
        <v>41</v>
      </c>
      <c r="C404" s="25" t="n">
        <f aca="false">('Chi phí'!$C$76+'Chi phí'!$D$76*B404+'Chi phí'!$E$76*A404+'Giả định'!$B$15*('Chi phí'!$F$76+'Chi phí'!$G$76*B404+'Chi phí'!$H$76*A404))*(1+'Giả định'!$B$16)</f>
        <v>449478260</v>
      </c>
      <c r="D404" s="25" t="n">
        <f aca="false">('Chi phí'!$C$77+'Chi phí'!$D$77*B404+'Chi phí'!$E$77*A404+'Giả định'!$B$15*('Chi phí'!$F$77+'Chi phí'!$G$77*B404+'Chi phí'!$H$77*A404))*(1+'Giả định'!$B$16)</f>
        <v>593083260</v>
      </c>
      <c r="E404" s="25" t="n">
        <f aca="false">A404/'Giả định'!$B$19*'Giả định'!$B$20+A404*'Giả định'!$B$23+'Giả định'!$B$24</f>
        <v>148535294.117647</v>
      </c>
      <c r="F404" s="25" t="n">
        <f aca="false">E404-D404</f>
        <v>-444547965.882353</v>
      </c>
      <c r="G404" s="25" t="n">
        <f aca="false">E404-C404</f>
        <v>-300942965.882353</v>
      </c>
      <c r="H404" s="7" t="str">
        <f aca="false">IF(F404&gt;=0,A404,"")</f>
        <v/>
      </c>
      <c r="I404" s="7" t="n">
        <f aca="false">IF(F404&lt;0,A404,0)</f>
        <v>399</v>
      </c>
      <c r="J404" s="7" t="str">
        <f aca="false">IF(G404&gt;=0,A404,"")</f>
        <v/>
      </c>
      <c r="K404" s="7" t="n">
        <f aca="false">IF(G404&lt;0,A404,0)</f>
        <v>399</v>
      </c>
    </row>
    <row r="405" customFormat="false" ht="15" hidden="false" customHeight="false" outlineLevel="0" collapsed="false">
      <c r="A405" s="7" t="n">
        <f aca="false">A404+1</f>
        <v>400</v>
      </c>
      <c r="B405" s="7" t="n">
        <f aca="false">MAX('Giả định'!$B$9,ROUNDUP(A405/'Giả định'!$B$7,0)+'Giả định'!$B$8)</f>
        <v>41</v>
      </c>
      <c r="C405" s="25" t="n">
        <f aca="false">('Chi phí'!$C$76+'Chi phí'!$D$76*B405+'Chi phí'!$E$76*A405+'Giả định'!$B$15*('Chi phí'!$F$76+'Chi phí'!$G$76*B405+'Chi phí'!$H$76*A405))*(1+'Giả định'!$B$16)</f>
        <v>449515000</v>
      </c>
      <c r="D405" s="25" t="n">
        <f aca="false">('Chi phí'!$C$77+'Chi phí'!$D$77*B405+'Chi phí'!$E$77*A405+'Giả định'!$B$15*('Chi phí'!$F$77+'Chi phí'!$G$77*B405+'Chi phí'!$H$77*A405))*(1+'Giả định'!$B$16)</f>
        <v>593120000</v>
      </c>
      <c r="E405" s="25" t="n">
        <f aca="false">A405/'Giả định'!$B$19*'Giả định'!$B$20+A405*'Giả định'!$B$23+'Giả định'!$B$24</f>
        <v>148907563.02521</v>
      </c>
      <c r="F405" s="25" t="n">
        <f aca="false">E405-D405</f>
        <v>-444212436.97479</v>
      </c>
      <c r="G405" s="25" t="n">
        <f aca="false">E405-C405</f>
        <v>-300607436.97479</v>
      </c>
      <c r="H405" s="7" t="str">
        <f aca="false">IF(F405&gt;=0,A405,"")</f>
        <v/>
      </c>
      <c r="I405" s="7" t="n">
        <f aca="false">IF(F405&lt;0,A405,0)</f>
        <v>400</v>
      </c>
      <c r="J405" s="7" t="str">
        <f aca="false">IF(G405&gt;=0,A405,"")</f>
        <v/>
      </c>
      <c r="K405" s="7" t="n">
        <f aca="false">IF(G405&lt;0,A405,0)</f>
        <v>400</v>
      </c>
    </row>
    <row r="406" customFormat="false" ht="15" hidden="false" customHeight="false" outlineLevel="0" collapsed="false">
      <c r="A406" s="7" t="n">
        <f aca="false">A405+1</f>
        <v>401</v>
      </c>
      <c r="B406" s="7" t="n">
        <f aca="false">MAX('Giả định'!$B$9,ROUNDUP(A406/'Giả định'!$B$7,0)+'Giả định'!$B$8)</f>
        <v>42</v>
      </c>
      <c r="C406" s="25" t="n">
        <f aca="false">('Chi phí'!$C$76+'Chi phí'!$D$76*B406+'Chi phí'!$E$76*A406+'Giả định'!$B$15*('Chi phí'!$F$76+'Chi phí'!$G$76*B406+'Chi phí'!$H$76*A406))*(1+'Giả định'!$B$16)</f>
        <v>458725740</v>
      </c>
      <c r="D406" s="25" t="n">
        <f aca="false">('Chi phí'!$C$77+'Chi phí'!$D$77*B406+'Chi phí'!$E$77*A406+'Giả định'!$B$15*('Chi phí'!$F$77+'Chi phí'!$G$77*B406+'Chi phí'!$H$77*A406))*(1+'Giả định'!$B$16)</f>
        <v>602330740</v>
      </c>
      <c r="E406" s="25" t="n">
        <f aca="false">A406/'Giả định'!$B$19*'Giả định'!$B$20+A406*'Giả định'!$B$23+'Giả định'!$B$24</f>
        <v>149279831.932773</v>
      </c>
      <c r="F406" s="25" t="n">
        <f aca="false">E406-D406</f>
        <v>-453050908.067227</v>
      </c>
      <c r="G406" s="25" t="n">
        <f aca="false">E406-C406</f>
        <v>-309445908.067227</v>
      </c>
      <c r="H406" s="7" t="str">
        <f aca="false">IF(F406&gt;=0,A406,"")</f>
        <v/>
      </c>
      <c r="I406" s="7" t="n">
        <f aca="false">IF(F406&lt;0,A406,0)</f>
        <v>401</v>
      </c>
      <c r="J406" s="7" t="str">
        <f aca="false">IF(G406&gt;=0,A406,"")</f>
        <v/>
      </c>
      <c r="K406" s="7" t="n">
        <f aca="false">IF(G406&lt;0,A406,0)</f>
        <v>401</v>
      </c>
    </row>
    <row r="407" customFormat="false" ht="15" hidden="false" customHeight="false" outlineLevel="0" collapsed="false">
      <c r="A407" s="7" t="n">
        <f aca="false">A406+1</f>
        <v>402</v>
      </c>
      <c r="B407" s="7" t="n">
        <f aca="false">MAX('Giả định'!$B$9,ROUNDUP(A407/'Giả định'!$B$7,0)+'Giả định'!$B$8)</f>
        <v>42</v>
      </c>
      <c r="C407" s="25" t="n">
        <f aca="false">('Chi phí'!$C$76+'Chi phí'!$D$76*B407+'Chi phí'!$E$76*A407+'Giả định'!$B$15*('Chi phí'!$F$76+'Chi phí'!$G$76*B407+'Chi phí'!$H$76*A407))*(1+'Giả định'!$B$16)</f>
        <v>458762480</v>
      </c>
      <c r="D407" s="25" t="n">
        <f aca="false">('Chi phí'!$C$77+'Chi phí'!$D$77*B407+'Chi phí'!$E$77*A407+'Giả định'!$B$15*('Chi phí'!$F$77+'Chi phí'!$G$77*B407+'Chi phí'!$H$77*A407))*(1+'Giả định'!$B$16)</f>
        <v>602367480</v>
      </c>
      <c r="E407" s="25" t="n">
        <f aca="false">A407/'Giả định'!$B$19*'Giả định'!$B$20+A407*'Giả định'!$B$23+'Giả định'!$B$24</f>
        <v>149652100.840336</v>
      </c>
      <c r="F407" s="25" t="n">
        <f aca="false">E407-D407</f>
        <v>-452715379.159664</v>
      </c>
      <c r="G407" s="25" t="n">
        <f aca="false">E407-C407</f>
        <v>-309110379.159664</v>
      </c>
      <c r="H407" s="7" t="str">
        <f aca="false">IF(F407&gt;=0,A407,"")</f>
        <v/>
      </c>
      <c r="I407" s="7" t="n">
        <f aca="false">IF(F407&lt;0,A407,0)</f>
        <v>402</v>
      </c>
      <c r="J407" s="7" t="str">
        <f aca="false">IF(G407&gt;=0,A407,"")</f>
        <v/>
      </c>
      <c r="K407" s="7" t="n">
        <f aca="false">IF(G407&lt;0,A407,0)</f>
        <v>402</v>
      </c>
    </row>
    <row r="408" customFormat="false" ht="15" hidden="false" customHeight="false" outlineLevel="0" collapsed="false">
      <c r="A408" s="7" t="n">
        <f aca="false">A407+1</f>
        <v>403</v>
      </c>
      <c r="B408" s="7" t="n">
        <f aca="false">MAX('Giả định'!$B$9,ROUNDUP(A408/'Giả định'!$B$7,0)+'Giả định'!$B$8)</f>
        <v>42</v>
      </c>
      <c r="C408" s="25" t="n">
        <f aca="false">('Chi phí'!$C$76+'Chi phí'!$D$76*B408+'Chi phí'!$E$76*A408+'Giả định'!$B$15*('Chi phí'!$F$76+'Chi phí'!$G$76*B408+'Chi phí'!$H$76*A408))*(1+'Giả định'!$B$16)</f>
        <v>458799220</v>
      </c>
      <c r="D408" s="25" t="n">
        <f aca="false">('Chi phí'!$C$77+'Chi phí'!$D$77*B408+'Chi phí'!$E$77*A408+'Giả định'!$B$15*('Chi phí'!$F$77+'Chi phí'!$G$77*B408+'Chi phí'!$H$77*A408))*(1+'Giả định'!$B$16)</f>
        <v>602404220</v>
      </c>
      <c r="E408" s="25" t="n">
        <f aca="false">A408/'Giả định'!$B$19*'Giả định'!$B$20+A408*'Giả định'!$B$23+'Giả định'!$B$24</f>
        <v>150024369.747899</v>
      </c>
      <c r="F408" s="25" t="n">
        <f aca="false">E408-D408</f>
        <v>-452379850.252101</v>
      </c>
      <c r="G408" s="25" t="n">
        <f aca="false">E408-C408</f>
        <v>-308774850.252101</v>
      </c>
      <c r="H408" s="7" t="str">
        <f aca="false">IF(F408&gt;=0,A408,"")</f>
        <v/>
      </c>
      <c r="I408" s="7" t="n">
        <f aca="false">IF(F408&lt;0,A408,0)</f>
        <v>403</v>
      </c>
      <c r="J408" s="7" t="str">
        <f aca="false">IF(G408&gt;=0,A408,"")</f>
        <v/>
      </c>
      <c r="K408" s="7" t="n">
        <f aca="false">IF(G408&lt;0,A408,0)</f>
        <v>403</v>
      </c>
    </row>
    <row r="409" customFormat="false" ht="15" hidden="false" customHeight="false" outlineLevel="0" collapsed="false">
      <c r="A409" s="7" t="n">
        <f aca="false">A408+1</f>
        <v>404</v>
      </c>
      <c r="B409" s="7" t="n">
        <f aca="false">MAX('Giả định'!$B$9,ROUNDUP(A409/'Giả định'!$B$7,0)+'Giả định'!$B$8)</f>
        <v>42</v>
      </c>
      <c r="C409" s="25" t="n">
        <f aca="false">('Chi phí'!$C$76+'Chi phí'!$D$76*B409+'Chi phí'!$E$76*A409+'Giả định'!$B$15*('Chi phí'!$F$76+'Chi phí'!$G$76*B409+'Chi phí'!$H$76*A409))*(1+'Giả định'!$B$16)</f>
        <v>458835960</v>
      </c>
      <c r="D409" s="25" t="n">
        <f aca="false">('Chi phí'!$C$77+'Chi phí'!$D$77*B409+'Chi phí'!$E$77*A409+'Giả định'!$B$15*('Chi phí'!$F$77+'Chi phí'!$G$77*B409+'Chi phí'!$H$77*A409))*(1+'Giả định'!$B$16)</f>
        <v>602440960</v>
      </c>
      <c r="E409" s="25" t="n">
        <f aca="false">A409/'Giả định'!$B$19*'Giả định'!$B$20+A409*'Giả định'!$B$23+'Giả định'!$B$24</f>
        <v>150396638.655462</v>
      </c>
      <c r="F409" s="25" t="n">
        <f aca="false">E409-D409</f>
        <v>-452044321.344538</v>
      </c>
      <c r="G409" s="25" t="n">
        <f aca="false">E409-C409</f>
        <v>-308439321.344538</v>
      </c>
      <c r="H409" s="7" t="str">
        <f aca="false">IF(F409&gt;=0,A409,"")</f>
        <v/>
      </c>
      <c r="I409" s="7" t="n">
        <f aca="false">IF(F409&lt;0,A409,0)</f>
        <v>404</v>
      </c>
      <c r="J409" s="7" t="str">
        <f aca="false">IF(G409&gt;=0,A409,"")</f>
        <v/>
      </c>
      <c r="K409" s="7" t="n">
        <f aca="false">IF(G409&lt;0,A409,0)</f>
        <v>404</v>
      </c>
    </row>
    <row r="410" customFormat="false" ht="15" hidden="false" customHeight="false" outlineLevel="0" collapsed="false">
      <c r="A410" s="7" t="n">
        <f aca="false">A409+1</f>
        <v>405</v>
      </c>
      <c r="B410" s="7" t="n">
        <f aca="false">MAX('Giả định'!$B$9,ROUNDUP(A410/'Giả định'!$B$7,0)+'Giả định'!$B$8)</f>
        <v>42</v>
      </c>
      <c r="C410" s="25" t="n">
        <f aca="false">('Chi phí'!$C$76+'Chi phí'!$D$76*B410+'Chi phí'!$E$76*A410+'Giả định'!$B$15*('Chi phí'!$F$76+'Chi phí'!$G$76*B410+'Chi phí'!$H$76*A410))*(1+'Giả định'!$B$16)</f>
        <v>458872700</v>
      </c>
      <c r="D410" s="25" t="n">
        <f aca="false">('Chi phí'!$C$77+'Chi phí'!$D$77*B410+'Chi phí'!$E$77*A410+'Giả định'!$B$15*('Chi phí'!$F$77+'Chi phí'!$G$77*B410+'Chi phí'!$H$77*A410))*(1+'Giả định'!$B$16)</f>
        <v>602477700</v>
      </c>
      <c r="E410" s="25" t="n">
        <f aca="false">A410/'Giả định'!$B$19*'Giả định'!$B$20+A410*'Giả định'!$B$23+'Giả định'!$B$24</f>
        <v>150768907.563025</v>
      </c>
      <c r="F410" s="25" t="n">
        <f aca="false">E410-D410</f>
        <v>-451708792.436975</v>
      </c>
      <c r="G410" s="25" t="n">
        <f aca="false">E410-C410</f>
        <v>-308103792.436975</v>
      </c>
      <c r="H410" s="7" t="str">
        <f aca="false">IF(F410&gt;=0,A410,"")</f>
        <v/>
      </c>
      <c r="I410" s="7" t="n">
        <f aca="false">IF(F410&lt;0,A410,0)</f>
        <v>405</v>
      </c>
      <c r="J410" s="7" t="str">
        <f aca="false">IF(G410&gt;=0,A410,"")</f>
        <v/>
      </c>
      <c r="K410" s="7" t="n">
        <f aca="false">IF(G410&lt;0,A410,0)</f>
        <v>405</v>
      </c>
    </row>
    <row r="411" customFormat="false" ht="15" hidden="false" customHeight="false" outlineLevel="0" collapsed="false">
      <c r="A411" s="7" t="n">
        <f aca="false">A410+1</f>
        <v>406</v>
      </c>
      <c r="B411" s="7" t="n">
        <f aca="false">MAX('Giả định'!$B$9,ROUNDUP(A411/'Giả định'!$B$7,0)+'Giả định'!$B$8)</f>
        <v>42</v>
      </c>
      <c r="C411" s="25" t="n">
        <f aca="false">('Chi phí'!$C$76+'Chi phí'!$D$76*B411+'Chi phí'!$E$76*A411+'Giả định'!$B$15*('Chi phí'!$F$76+'Chi phí'!$G$76*B411+'Chi phí'!$H$76*A411))*(1+'Giả định'!$B$16)</f>
        <v>458909440</v>
      </c>
      <c r="D411" s="25" t="n">
        <f aca="false">('Chi phí'!$C$77+'Chi phí'!$D$77*B411+'Chi phí'!$E$77*A411+'Giả định'!$B$15*('Chi phí'!$F$77+'Chi phí'!$G$77*B411+'Chi phí'!$H$77*A411))*(1+'Giả định'!$B$16)</f>
        <v>602514440</v>
      </c>
      <c r="E411" s="25" t="n">
        <f aca="false">A411/'Giả định'!$B$19*'Giả định'!$B$20+A411*'Giả định'!$B$23+'Giả định'!$B$24</f>
        <v>151141176.470588</v>
      </c>
      <c r="F411" s="25" t="n">
        <f aca="false">E411-D411</f>
        <v>-451373263.529412</v>
      </c>
      <c r="G411" s="25" t="n">
        <f aca="false">E411-C411</f>
        <v>-307768263.529412</v>
      </c>
      <c r="H411" s="7" t="str">
        <f aca="false">IF(F411&gt;=0,A411,"")</f>
        <v/>
      </c>
      <c r="I411" s="7" t="n">
        <f aca="false">IF(F411&lt;0,A411,0)</f>
        <v>406</v>
      </c>
      <c r="J411" s="7" t="str">
        <f aca="false">IF(G411&gt;=0,A411,"")</f>
        <v/>
      </c>
      <c r="K411" s="7" t="n">
        <f aca="false">IF(G411&lt;0,A411,0)</f>
        <v>406</v>
      </c>
    </row>
    <row r="412" customFormat="false" ht="15" hidden="false" customHeight="false" outlineLevel="0" collapsed="false">
      <c r="A412" s="7" t="n">
        <f aca="false">A411+1</f>
        <v>407</v>
      </c>
      <c r="B412" s="7" t="n">
        <f aca="false">MAX('Giả định'!$B$9,ROUNDUP(A412/'Giả định'!$B$7,0)+'Giả định'!$B$8)</f>
        <v>42</v>
      </c>
      <c r="C412" s="25" t="n">
        <f aca="false">('Chi phí'!$C$76+'Chi phí'!$D$76*B412+'Chi phí'!$E$76*A412+'Giả định'!$B$15*('Chi phí'!$F$76+'Chi phí'!$G$76*B412+'Chi phí'!$H$76*A412))*(1+'Giả định'!$B$16)</f>
        <v>458946180</v>
      </c>
      <c r="D412" s="25" t="n">
        <f aca="false">('Chi phí'!$C$77+'Chi phí'!$D$77*B412+'Chi phí'!$E$77*A412+'Giả định'!$B$15*('Chi phí'!$F$77+'Chi phí'!$G$77*B412+'Chi phí'!$H$77*A412))*(1+'Giả định'!$B$16)</f>
        <v>602551180</v>
      </c>
      <c r="E412" s="25" t="n">
        <f aca="false">A412/'Giả định'!$B$19*'Giả định'!$B$20+A412*'Giả định'!$B$23+'Giả định'!$B$24</f>
        <v>151513445.378151</v>
      </c>
      <c r="F412" s="25" t="n">
        <f aca="false">E412-D412</f>
        <v>-451037734.621849</v>
      </c>
      <c r="G412" s="25" t="n">
        <f aca="false">E412-C412</f>
        <v>-307432734.621849</v>
      </c>
      <c r="H412" s="7" t="str">
        <f aca="false">IF(F412&gt;=0,A412,"")</f>
        <v/>
      </c>
      <c r="I412" s="7" t="n">
        <f aca="false">IF(F412&lt;0,A412,0)</f>
        <v>407</v>
      </c>
      <c r="J412" s="7" t="str">
        <f aca="false">IF(G412&gt;=0,A412,"")</f>
        <v/>
      </c>
      <c r="K412" s="7" t="n">
        <f aca="false">IF(G412&lt;0,A412,0)</f>
        <v>407</v>
      </c>
    </row>
    <row r="413" customFormat="false" ht="15" hidden="false" customHeight="false" outlineLevel="0" collapsed="false">
      <c r="A413" s="7" t="n">
        <f aca="false">A412+1</f>
        <v>408</v>
      </c>
      <c r="B413" s="7" t="n">
        <f aca="false">MAX('Giả định'!$B$9,ROUNDUP(A413/'Giả định'!$B$7,0)+'Giả định'!$B$8)</f>
        <v>42</v>
      </c>
      <c r="C413" s="25" t="n">
        <f aca="false">('Chi phí'!$C$76+'Chi phí'!$D$76*B413+'Chi phí'!$E$76*A413+'Giả định'!$B$15*('Chi phí'!$F$76+'Chi phí'!$G$76*B413+'Chi phí'!$H$76*A413))*(1+'Giả định'!$B$16)</f>
        <v>458982920</v>
      </c>
      <c r="D413" s="25" t="n">
        <f aca="false">('Chi phí'!$C$77+'Chi phí'!$D$77*B413+'Chi phí'!$E$77*A413+'Giả định'!$B$15*('Chi phí'!$F$77+'Chi phí'!$G$77*B413+'Chi phí'!$H$77*A413))*(1+'Giả định'!$B$16)</f>
        <v>602587920</v>
      </c>
      <c r="E413" s="25" t="n">
        <f aca="false">A413/'Giả định'!$B$19*'Giả định'!$B$20+A413*'Giả định'!$B$23+'Giả định'!$B$24</f>
        <v>151885714.285714</v>
      </c>
      <c r="F413" s="25" t="n">
        <f aca="false">E413-D413</f>
        <v>-450702205.714286</v>
      </c>
      <c r="G413" s="25" t="n">
        <f aca="false">E413-C413</f>
        <v>-307097205.714286</v>
      </c>
      <c r="H413" s="7" t="str">
        <f aca="false">IF(F413&gt;=0,A413,"")</f>
        <v/>
      </c>
      <c r="I413" s="7" t="n">
        <f aca="false">IF(F413&lt;0,A413,0)</f>
        <v>408</v>
      </c>
      <c r="J413" s="7" t="str">
        <f aca="false">IF(G413&gt;=0,A413,"")</f>
        <v/>
      </c>
      <c r="K413" s="7" t="n">
        <f aca="false">IF(G413&lt;0,A413,0)</f>
        <v>408</v>
      </c>
    </row>
    <row r="414" customFormat="false" ht="15" hidden="false" customHeight="false" outlineLevel="0" collapsed="false">
      <c r="A414" s="7" t="n">
        <f aca="false">A413+1</f>
        <v>409</v>
      </c>
      <c r="B414" s="7" t="n">
        <f aca="false">MAX('Giả định'!$B$9,ROUNDUP(A414/'Giả định'!$B$7,0)+'Giả định'!$B$8)</f>
        <v>42</v>
      </c>
      <c r="C414" s="25" t="n">
        <f aca="false">('Chi phí'!$C$76+'Chi phí'!$D$76*B414+'Chi phí'!$E$76*A414+'Giả định'!$B$15*('Chi phí'!$F$76+'Chi phí'!$G$76*B414+'Chi phí'!$H$76*A414))*(1+'Giả định'!$B$16)</f>
        <v>459019660</v>
      </c>
      <c r="D414" s="25" t="n">
        <f aca="false">('Chi phí'!$C$77+'Chi phí'!$D$77*B414+'Chi phí'!$E$77*A414+'Giả định'!$B$15*('Chi phí'!$F$77+'Chi phí'!$G$77*B414+'Chi phí'!$H$77*A414))*(1+'Giả định'!$B$16)</f>
        <v>602624660</v>
      </c>
      <c r="E414" s="25" t="n">
        <f aca="false">A414/'Giả định'!$B$19*'Giả định'!$B$20+A414*'Giả định'!$B$23+'Giả định'!$B$24</f>
        <v>152257983.193277</v>
      </c>
      <c r="F414" s="25" t="n">
        <f aca="false">E414-D414</f>
        <v>-450366676.806723</v>
      </c>
      <c r="G414" s="25" t="n">
        <f aca="false">E414-C414</f>
        <v>-306761676.806723</v>
      </c>
      <c r="H414" s="7" t="str">
        <f aca="false">IF(F414&gt;=0,A414,"")</f>
        <v/>
      </c>
      <c r="I414" s="7" t="n">
        <f aca="false">IF(F414&lt;0,A414,0)</f>
        <v>409</v>
      </c>
      <c r="J414" s="7" t="str">
        <f aca="false">IF(G414&gt;=0,A414,"")</f>
        <v/>
      </c>
      <c r="K414" s="7" t="n">
        <f aca="false">IF(G414&lt;0,A414,0)</f>
        <v>409</v>
      </c>
    </row>
    <row r="415" customFormat="false" ht="15" hidden="false" customHeight="false" outlineLevel="0" collapsed="false">
      <c r="A415" s="7" t="n">
        <f aca="false">A414+1</f>
        <v>410</v>
      </c>
      <c r="B415" s="7" t="n">
        <f aca="false">MAX('Giả định'!$B$9,ROUNDUP(A415/'Giả định'!$B$7,0)+'Giả định'!$B$8)</f>
        <v>42</v>
      </c>
      <c r="C415" s="25" t="n">
        <f aca="false">('Chi phí'!$C$76+'Chi phí'!$D$76*B415+'Chi phí'!$E$76*A415+'Giả định'!$B$15*('Chi phí'!$F$76+'Chi phí'!$G$76*B415+'Chi phí'!$H$76*A415))*(1+'Giả định'!$B$16)</f>
        <v>459056400</v>
      </c>
      <c r="D415" s="25" t="n">
        <f aca="false">('Chi phí'!$C$77+'Chi phí'!$D$77*B415+'Chi phí'!$E$77*A415+'Giả định'!$B$15*('Chi phí'!$F$77+'Chi phí'!$G$77*B415+'Chi phí'!$H$77*A415))*(1+'Giả định'!$B$16)</f>
        <v>602661400</v>
      </c>
      <c r="E415" s="25" t="n">
        <f aca="false">A415/'Giả định'!$B$19*'Giả định'!$B$20+A415*'Giả định'!$B$23+'Giả định'!$B$24</f>
        <v>152630252.10084</v>
      </c>
      <c r="F415" s="25" t="n">
        <f aca="false">E415-D415</f>
        <v>-450031147.89916</v>
      </c>
      <c r="G415" s="25" t="n">
        <f aca="false">E415-C415</f>
        <v>-306426147.89916</v>
      </c>
      <c r="H415" s="7" t="str">
        <f aca="false">IF(F415&gt;=0,A415,"")</f>
        <v/>
      </c>
      <c r="I415" s="7" t="n">
        <f aca="false">IF(F415&lt;0,A415,0)</f>
        <v>410</v>
      </c>
      <c r="J415" s="7" t="str">
        <f aca="false">IF(G415&gt;=0,A415,"")</f>
        <v/>
      </c>
      <c r="K415" s="7" t="n">
        <f aca="false">IF(G415&lt;0,A415,0)</f>
        <v>410</v>
      </c>
    </row>
    <row r="416" customFormat="false" ht="15" hidden="false" customHeight="false" outlineLevel="0" collapsed="false">
      <c r="A416" s="7" t="n">
        <f aca="false">A415+1</f>
        <v>411</v>
      </c>
      <c r="B416" s="7" t="n">
        <f aca="false">MAX('Giả định'!$B$9,ROUNDUP(A416/'Giả định'!$B$7,0)+'Giả định'!$B$8)</f>
        <v>43</v>
      </c>
      <c r="C416" s="25" t="n">
        <f aca="false">('Chi phí'!$C$76+'Chi phí'!$D$76*B416+'Chi phí'!$E$76*A416+'Giả định'!$B$15*('Chi phí'!$F$76+'Chi phí'!$G$76*B416+'Chi phí'!$H$76*A416))*(1+'Giả định'!$B$16)</f>
        <v>468267140</v>
      </c>
      <c r="D416" s="25" t="n">
        <f aca="false">('Chi phí'!$C$77+'Chi phí'!$D$77*B416+'Chi phí'!$E$77*A416+'Giả định'!$B$15*('Chi phí'!$F$77+'Chi phí'!$G$77*B416+'Chi phí'!$H$77*A416))*(1+'Giả định'!$B$16)</f>
        <v>611872140</v>
      </c>
      <c r="E416" s="25" t="n">
        <f aca="false">A416/'Giả định'!$B$19*'Giả định'!$B$20+A416*'Giả định'!$B$23+'Giả định'!$B$24</f>
        <v>153002521.008403</v>
      </c>
      <c r="F416" s="25" t="n">
        <f aca="false">E416-D416</f>
        <v>-458869618.991597</v>
      </c>
      <c r="G416" s="25" t="n">
        <f aca="false">E416-C416</f>
        <v>-315264618.991597</v>
      </c>
      <c r="H416" s="7" t="str">
        <f aca="false">IF(F416&gt;=0,A416,"")</f>
        <v/>
      </c>
      <c r="I416" s="7" t="n">
        <f aca="false">IF(F416&lt;0,A416,0)</f>
        <v>411</v>
      </c>
      <c r="J416" s="7" t="str">
        <f aca="false">IF(G416&gt;=0,A416,"")</f>
        <v/>
      </c>
      <c r="K416" s="7" t="n">
        <f aca="false">IF(G416&lt;0,A416,0)</f>
        <v>411</v>
      </c>
    </row>
    <row r="417" customFormat="false" ht="15" hidden="false" customHeight="false" outlineLevel="0" collapsed="false">
      <c r="A417" s="7" t="n">
        <f aca="false">A416+1</f>
        <v>412</v>
      </c>
      <c r="B417" s="7" t="n">
        <f aca="false">MAX('Giả định'!$B$9,ROUNDUP(A417/'Giả định'!$B$7,0)+'Giả định'!$B$8)</f>
        <v>43</v>
      </c>
      <c r="C417" s="25" t="n">
        <f aca="false">('Chi phí'!$C$76+'Chi phí'!$D$76*B417+'Chi phí'!$E$76*A417+'Giả định'!$B$15*('Chi phí'!$F$76+'Chi phí'!$G$76*B417+'Chi phí'!$H$76*A417))*(1+'Giả định'!$B$16)</f>
        <v>468303880</v>
      </c>
      <c r="D417" s="25" t="n">
        <f aca="false">('Chi phí'!$C$77+'Chi phí'!$D$77*B417+'Chi phí'!$E$77*A417+'Giả định'!$B$15*('Chi phí'!$F$77+'Chi phí'!$G$77*B417+'Chi phí'!$H$77*A417))*(1+'Giả định'!$B$16)</f>
        <v>611908880</v>
      </c>
      <c r="E417" s="25" t="n">
        <f aca="false">A417/'Giả định'!$B$19*'Giả định'!$B$20+A417*'Giả định'!$B$23+'Giả định'!$B$24</f>
        <v>153374789.915966</v>
      </c>
      <c r="F417" s="25" t="n">
        <f aca="false">E417-D417</f>
        <v>-458534090.084034</v>
      </c>
      <c r="G417" s="25" t="n">
        <f aca="false">E417-C417</f>
        <v>-314929090.084034</v>
      </c>
      <c r="H417" s="7" t="str">
        <f aca="false">IF(F417&gt;=0,A417,"")</f>
        <v/>
      </c>
      <c r="I417" s="7" t="n">
        <f aca="false">IF(F417&lt;0,A417,0)</f>
        <v>412</v>
      </c>
      <c r="J417" s="7" t="str">
        <f aca="false">IF(G417&gt;=0,A417,"")</f>
        <v/>
      </c>
      <c r="K417" s="7" t="n">
        <f aca="false">IF(G417&lt;0,A417,0)</f>
        <v>412</v>
      </c>
    </row>
    <row r="418" customFormat="false" ht="15" hidden="false" customHeight="false" outlineLevel="0" collapsed="false">
      <c r="A418" s="7" t="n">
        <f aca="false">A417+1</f>
        <v>413</v>
      </c>
      <c r="B418" s="7" t="n">
        <f aca="false">MAX('Giả định'!$B$9,ROUNDUP(A418/'Giả định'!$B$7,0)+'Giả định'!$B$8)</f>
        <v>43</v>
      </c>
      <c r="C418" s="25" t="n">
        <f aca="false">('Chi phí'!$C$76+'Chi phí'!$D$76*B418+'Chi phí'!$E$76*A418+'Giả định'!$B$15*('Chi phí'!$F$76+'Chi phí'!$G$76*B418+'Chi phí'!$H$76*A418))*(1+'Giả định'!$B$16)</f>
        <v>468340620</v>
      </c>
      <c r="D418" s="25" t="n">
        <f aca="false">('Chi phí'!$C$77+'Chi phí'!$D$77*B418+'Chi phí'!$E$77*A418+'Giả định'!$B$15*('Chi phí'!$F$77+'Chi phí'!$G$77*B418+'Chi phí'!$H$77*A418))*(1+'Giả định'!$B$16)</f>
        <v>611945620</v>
      </c>
      <c r="E418" s="25" t="n">
        <f aca="false">A418/'Giả định'!$B$19*'Giả định'!$B$20+A418*'Giả định'!$B$23+'Giả định'!$B$24</f>
        <v>153747058.823529</v>
      </c>
      <c r="F418" s="25" t="n">
        <f aca="false">E418-D418</f>
        <v>-458198561.176471</v>
      </c>
      <c r="G418" s="25" t="n">
        <f aca="false">E418-C418</f>
        <v>-314593561.176471</v>
      </c>
      <c r="H418" s="7" t="str">
        <f aca="false">IF(F418&gt;=0,A418,"")</f>
        <v/>
      </c>
      <c r="I418" s="7" t="n">
        <f aca="false">IF(F418&lt;0,A418,0)</f>
        <v>413</v>
      </c>
      <c r="J418" s="7" t="str">
        <f aca="false">IF(G418&gt;=0,A418,"")</f>
        <v/>
      </c>
      <c r="K418" s="7" t="n">
        <f aca="false">IF(G418&lt;0,A418,0)</f>
        <v>413</v>
      </c>
    </row>
    <row r="419" customFormat="false" ht="15" hidden="false" customHeight="false" outlineLevel="0" collapsed="false">
      <c r="A419" s="7" t="n">
        <f aca="false">A418+1</f>
        <v>414</v>
      </c>
      <c r="B419" s="7" t="n">
        <f aca="false">MAX('Giả định'!$B$9,ROUNDUP(A419/'Giả định'!$B$7,0)+'Giả định'!$B$8)</f>
        <v>43</v>
      </c>
      <c r="C419" s="25" t="n">
        <f aca="false">('Chi phí'!$C$76+'Chi phí'!$D$76*B419+'Chi phí'!$E$76*A419+'Giả định'!$B$15*('Chi phí'!$F$76+'Chi phí'!$G$76*B419+'Chi phí'!$H$76*A419))*(1+'Giả định'!$B$16)</f>
        <v>468377360</v>
      </c>
      <c r="D419" s="25" t="n">
        <f aca="false">('Chi phí'!$C$77+'Chi phí'!$D$77*B419+'Chi phí'!$E$77*A419+'Giả định'!$B$15*('Chi phí'!$F$77+'Chi phí'!$G$77*B419+'Chi phí'!$H$77*A419))*(1+'Giả định'!$B$16)</f>
        <v>611982360</v>
      </c>
      <c r="E419" s="25" t="n">
        <f aca="false">A419/'Giả định'!$B$19*'Giả định'!$B$20+A419*'Giả định'!$B$23+'Giả định'!$B$24</f>
        <v>154119327.731092</v>
      </c>
      <c r="F419" s="25" t="n">
        <f aca="false">E419-D419</f>
        <v>-457863032.268908</v>
      </c>
      <c r="G419" s="25" t="n">
        <f aca="false">E419-C419</f>
        <v>-314258032.268908</v>
      </c>
      <c r="H419" s="7" t="str">
        <f aca="false">IF(F419&gt;=0,A419,"")</f>
        <v/>
      </c>
      <c r="I419" s="7" t="n">
        <f aca="false">IF(F419&lt;0,A419,0)</f>
        <v>414</v>
      </c>
      <c r="J419" s="7" t="str">
        <f aca="false">IF(G419&gt;=0,A419,"")</f>
        <v/>
      </c>
      <c r="K419" s="7" t="n">
        <f aca="false">IF(G419&lt;0,A419,0)</f>
        <v>414</v>
      </c>
    </row>
    <row r="420" customFormat="false" ht="15" hidden="false" customHeight="false" outlineLevel="0" collapsed="false">
      <c r="A420" s="7" t="n">
        <f aca="false">A419+1</f>
        <v>415</v>
      </c>
      <c r="B420" s="7" t="n">
        <f aca="false">MAX('Giả định'!$B$9,ROUNDUP(A420/'Giả định'!$B$7,0)+'Giả định'!$B$8)</f>
        <v>43</v>
      </c>
      <c r="C420" s="25" t="n">
        <f aca="false">('Chi phí'!$C$76+'Chi phí'!$D$76*B420+'Chi phí'!$E$76*A420+'Giả định'!$B$15*('Chi phí'!$F$76+'Chi phí'!$G$76*B420+'Chi phí'!$H$76*A420))*(1+'Giả định'!$B$16)</f>
        <v>468414100</v>
      </c>
      <c r="D420" s="25" t="n">
        <f aca="false">('Chi phí'!$C$77+'Chi phí'!$D$77*B420+'Chi phí'!$E$77*A420+'Giả định'!$B$15*('Chi phí'!$F$77+'Chi phí'!$G$77*B420+'Chi phí'!$H$77*A420))*(1+'Giả định'!$B$16)</f>
        <v>612019100</v>
      </c>
      <c r="E420" s="25" t="n">
        <f aca="false">A420/'Giả định'!$B$19*'Giả định'!$B$20+A420*'Giả định'!$B$23+'Giả định'!$B$24</f>
        <v>154491596.638655</v>
      </c>
      <c r="F420" s="25" t="n">
        <f aca="false">E420-D420</f>
        <v>-457527503.361345</v>
      </c>
      <c r="G420" s="25" t="n">
        <f aca="false">E420-C420</f>
        <v>-313922503.361345</v>
      </c>
      <c r="H420" s="7" t="str">
        <f aca="false">IF(F420&gt;=0,A420,"")</f>
        <v/>
      </c>
      <c r="I420" s="7" t="n">
        <f aca="false">IF(F420&lt;0,A420,0)</f>
        <v>415</v>
      </c>
      <c r="J420" s="7" t="str">
        <f aca="false">IF(G420&gt;=0,A420,"")</f>
        <v/>
      </c>
      <c r="K420" s="7" t="n">
        <f aca="false">IF(G420&lt;0,A420,0)</f>
        <v>415</v>
      </c>
    </row>
    <row r="421" customFormat="false" ht="15" hidden="false" customHeight="false" outlineLevel="0" collapsed="false">
      <c r="A421" s="7" t="n">
        <f aca="false">A420+1</f>
        <v>416</v>
      </c>
      <c r="B421" s="7" t="n">
        <f aca="false">MAX('Giả định'!$B$9,ROUNDUP(A421/'Giả định'!$B$7,0)+'Giả định'!$B$8)</f>
        <v>43</v>
      </c>
      <c r="C421" s="25" t="n">
        <f aca="false">('Chi phí'!$C$76+'Chi phí'!$D$76*B421+'Chi phí'!$E$76*A421+'Giả định'!$B$15*('Chi phí'!$F$76+'Chi phí'!$G$76*B421+'Chi phí'!$H$76*A421))*(1+'Giả định'!$B$16)</f>
        <v>468450840</v>
      </c>
      <c r="D421" s="25" t="n">
        <f aca="false">('Chi phí'!$C$77+'Chi phí'!$D$77*B421+'Chi phí'!$E$77*A421+'Giả định'!$B$15*('Chi phí'!$F$77+'Chi phí'!$G$77*B421+'Chi phí'!$H$77*A421))*(1+'Giả định'!$B$16)</f>
        <v>612055840</v>
      </c>
      <c r="E421" s="25" t="n">
        <f aca="false">A421/'Giả định'!$B$19*'Giả định'!$B$20+A421*'Giả định'!$B$23+'Giả định'!$B$24</f>
        <v>154863865.546219</v>
      </c>
      <c r="F421" s="25" t="n">
        <f aca="false">E421-D421</f>
        <v>-457191974.453782</v>
      </c>
      <c r="G421" s="25" t="n">
        <f aca="false">E421-C421</f>
        <v>-313586974.453782</v>
      </c>
      <c r="H421" s="7" t="str">
        <f aca="false">IF(F421&gt;=0,A421,"")</f>
        <v/>
      </c>
      <c r="I421" s="7" t="n">
        <f aca="false">IF(F421&lt;0,A421,0)</f>
        <v>416</v>
      </c>
      <c r="J421" s="7" t="str">
        <f aca="false">IF(G421&gt;=0,A421,"")</f>
        <v/>
      </c>
      <c r="K421" s="7" t="n">
        <f aca="false">IF(G421&lt;0,A421,0)</f>
        <v>416</v>
      </c>
    </row>
    <row r="422" customFormat="false" ht="15" hidden="false" customHeight="false" outlineLevel="0" collapsed="false">
      <c r="A422" s="7" t="n">
        <f aca="false">A421+1</f>
        <v>417</v>
      </c>
      <c r="B422" s="7" t="n">
        <f aca="false">MAX('Giả định'!$B$9,ROUNDUP(A422/'Giả định'!$B$7,0)+'Giả định'!$B$8)</f>
        <v>43</v>
      </c>
      <c r="C422" s="25" t="n">
        <f aca="false">('Chi phí'!$C$76+'Chi phí'!$D$76*B422+'Chi phí'!$E$76*A422+'Giả định'!$B$15*('Chi phí'!$F$76+'Chi phí'!$G$76*B422+'Chi phí'!$H$76*A422))*(1+'Giả định'!$B$16)</f>
        <v>468487580</v>
      </c>
      <c r="D422" s="25" t="n">
        <f aca="false">('Chi phí'!$C$77+'Chi phí'!$D$77*B422+'Chi phí'!$E$77*A422+'Giả định'!$B$15*('Chi phí'!$F$77+'Chi phí'!$G$77*B422+'Chi phí'!$H$77*A422))*(1+'Giả định'!$B$16)</f>
        <v>612092580</v>
      </c>
      <c r="E422" s="25" t="n">
        <f aca="false">A422/'Giả định'!$B$19*'Giả định'!$B$20+A422*'Giả định'!$B$23+'Giả định'!$B$24</f>
        <v>155236134.453782</v>
      </c>
      <c r="F422" s="25" t="n">
        <f aca="false">E422-D422</f>
        <v>-456856445.546219</v>
      </c>
      <c r="G422" s="25" t="n">
        <f aca="false">E422-C422</f>
        <v>-313251445.546219</v>
      </c>
      <c r="H422" s="7" t="str">
        <f aca="false">IF(F422&gt;=0,A422,"")</f>
        <v/>
      </c>
      <c r="I422" s="7" t="n">
        <f aca="false">IF(F422&lt;0,A422,0)</f>
        <v>417</v>
      </c>
      <c r="J422" s="7" t="str">
        <f aca="false">IF(G422&gt;=0,A422,"")</f>
        <v/>
      </c>
      <c r="K422" s="7" t="n">
        <f aca="false">IF(G422&lt;0,A422,0)</f>
        <v>417</v>
      </c>
    </row>
    <row r="423" customFormat="false" ht="15" hidden="false" customHeight="false" outlineLevel="0" collapsed="false">
      <c r="A423" s="7" t="n">
        <f aca="false">A422+1</f>
        <v>418</v>
      </c>
      <c r="B423" s="7" t="n">
        <f aca="false">MAX('Giả định'!$B$9,ROUNDUP(A423/'Giả định'!$B$7,0)+'Giả định'!$B$8)</f>
        <v>43</v>
      </c>
      <c r="C423" s="25" t="n">
        <f aca="false">('Chi phí'!$C$76+'Chi phí'!$D$76*B423+'Chi phí'!$E$76*A423+'Giả định'!$B$15*('Chi phí'!$F$76+'Chi phí'!$G$76*B423+'Chi phí'!$H$76*A423))*(1+'Giả định'!$B$16)</f>
        <v>468524320</v>
      </c>
      <c r="D423" s="25" t="n">
        <f aca="false">('Chi phí'!$C$77+'Chi phí'!$D$77*B423+'Chi phí'!$E$77*A423+'Giả định'!$B$15*('Chi phí'!$F$77+'Chi phí'!$G$77*B423+'Chi phí'!$H$77*A423))*(1+'Giả định'!$B$16)</f>
        <v>612129320</v>
      </c>
      <c r="E423" s="25" t="n">
        <f aca="false">A423/'Giả định'!$B$19*'Giả định'!$B$20+A423*'Giả định'!$B$23+'Giả định'!$B$24</f>
        <v>155608403.361345</v>
      </c>
      <c r="F423" s="25" t="n">
        <f aca="false">E423-D423</f>
        <v>-456520916.638655</v>
      </c>
      <c r="G423" s="25" t="n">
        <f aca="false">E423-C423</f>
        <v>-312915916.638656</v>
      </c>
      <c r="H423" s="7" t="str">
        <f aca="false">IF(F423&gt;=0,A423,"")</f>
        <v/>
      </c>
      <c r="I423" s="7" t="n">
        <f aca="false">IF(F423&lt;0,A423,0)</f>
        <v>418</v>
      </c>
      <c r="J423" s="7" t="str">
        <f aca="false">IF(G423&gt;=0,A423,"")</f>
        <v/>
      </c>
      <c r="K423" s="7" t="n">
        <f aca="false">IF(G423&lt;0,A423,0)</f>
        <v>418</v>
      </c>
    </row>
    <row r="424" customFormat="false" ht="15" hidden="false" customHeight="false" outlineLevel="0" collapsed="false">
      <c r="A424" s="7" t="n">
        <f aca="false">A423+1</f>
        <v>419</v>
      </c>
      <c r="B424" s="7" t="n">
        <f aca="false">MAX('Giả định'!$B$9,ROUNDUP(A424/'Giả định'!$B$7,0)+'Giả định'!$B$8)</f>
        <v>43</v>
      </c>
      <c r="C424" s="25" t="n">
        <f aca="false">('Chi phí'!$C$76+'Chi phí'!$D$76*B424+'Chi phí'!$E$76*A424+'Giả định'!$B$15*('Chi phí'!$F$76+'Chi phí'!$G$76*B424+'Chi phí'!$H$76*A424))*(1+'Giả định'!$B$16)</f>
        <v>468561060</v>
      </c>
      <c r="D424" s="25" t="n">
        <f aca="false">('Chi phí'!$C$77+'Chi phí'!$D$77*B424+'Chi phí'!$E$77*A424+'Giả định'!$B$15*('Chi phí'!$F$77+'Chi phí'!$G$77*B424+'Chi phí'!$H$77*A424))*(1+'Giả định'!$B$16)</f>
        <v>612166060</v>
      </c>
      <c r="E424" s="25" t="n">
        <f aca="false">A424/'Giả định'!$B$19*'Giả định'!$B$20+A424*'Giả định'!$B$23+'Giả định'!$B$24</f>
        <v>155980672.268908</v>
      </c>
      <c r="F424" s="25" t="n">
        <f aca="false">E424-D424</f>
        <v>-456185387.731092</v>
      </c>
      <c r="G424" s="25" t="n">
        <f aca="false">E424-C424</f>
        <v>-312580387.731093</v>
      </c>
      <c r="H424" s="7" t="str">
        <f aca="false">IF(F424&gt;=0,A424,"")</f>
        <v/>
      </c>
      <c r="I424" s="7" t="n">
        <f aca="false">IF(F424&lt;0,A424,0)</f>
        <v>419</v>
      </c>
      <c r="J424" s="7" t="str">
        <f aca="false">IF(G424&gt;=0,A424,"")</f>
        <v/>
      </c>
      <c r="K424" s="7" t="n">
        <f aca="false">IF(G424&lt;0,A424,0)</f>
        <v>419</v>
      </c>
    </row>
    <row r="425" customFormat="false" ht="15" hidden="false" customHeight="false" outlineLevel="0" collapsed="false">
      <c r="A425" s="7" t="n">
        <f aca="false">A424+1</f>
        <v>420</v>
      </c>
      <c r="B425" s="7" t="n">
        <f aca="false">MAX('Giả định'!$B$9,ROUNDUP(A425/'Giả định'!$B$7,0)+'Giả định'!$B$8)</f>
        <v>43</v>
      </c>
      <c r="C425" s="25" t="n">
        <f aca="false">('Chi phí'!$C$76+'Chi phí'!$D$76*B425+'Chi phí'!$E$76*A425+'Giả định'!$B$15*('Chi phí'!$F$76+'Chi phí'!$G$76*B425+'Chi phí'!$H$76*A425))*(1+'Giả định'!$B$16)</f>
        <v>468597800</v>
      </c>
      <c r="D425" s="25" t="n">
        <f aca="false">('Chi phí'!$C$77+'Chi phí'!$D$77*B425+'Chi phí'!$E$77*A425+'Giả định'!$B$15*('Chi phí'!$F$77+'Chi phí'!$G$77*B425+'Chi phí'!$H$77*A425))*(1+'Giả định'!$B$16)</f>
        <v>612202800</v>
      </c>
      <c r="E425" s="25" t="n">
        <f aca="false">A425/'Giả định'!$B$19*'Giả định'!$B$20+A425*'Giả định'!$B$23+'Giả định'!$B$24</f>
        <v>156352941.176471</v>
      </c>
      <c r="F425" s="25" t="n">
        <f aca="false">E425-D425</f>
        <v>-455849858.823529</v>
      </c>
      <c r="G425" s="25" t="n">
        <f aca="false">E425-C425</f>
        <v>-312244858.82353</v>
      </c>
      <c r="H425" s="7" t="str">
        <f aca="false">IF(F425&gt;=0,A425,"")</f>
        <v/>
      </c>
      <c r="I425" s="7" t="n">
        <f aca="false">IF(F425&lt;0,A425,0)</f>
        <v>420</v>
      </c>
      <c r="J425" s="7" t="str">
        <f aca="false">IF(G425&gt;=0,A425,"")</f>
        <v/>
      </c>
      <c r="K425" s="7" t="n">
        <f aca="false">IF(G425&lt;0,A425,0)</f>
        <v>420</v>
      </c>
    </row>
    <row r="426" customFormat="false" ht="15" hidden="false" customHeight="false" outlineLevel="0" collapsed="false">
      <c r="A426" s="7" t="n">
        <f aca="false">A425+1</f>
        <v>421</v>
      </c>
      <c r="B426" s="7" t="n">
        <f aca="false">MAX('Giả định'!$B$9,ROUNDUP(A426/'Giả định'!$B$7,0)+'Giả định'!$B$8)</f>
        <v>44</v>
      </c>
      <c r="C426" s="25" t="n">
        <f aca="false">('Chi phí'!$C$76+'Chi phí'!$D$76*B426+'Chi phí'!$E$76*A426+'Giả định'!$B$15*('Chi phí'!$F$76+'Chi phí'!$G$76*B426+'Chi phí'!$H$76*A426))*(1+'Giả định'!$B$16)</f>
        <v>477808540</v>
      </c>
      <c r="D426" s="25" t="n">
        <f aca="false">('Chi phí'!$C$77+'Chi phí'!$D$77*B426+'Chi phí'!$E$77*A426+'Giả định'!$B$15*('Chi phí'!$F$77+'Chi phí'!$G$77*B426+'Chi phí'!$H$77*A426))*(1+'Giả định'!$B$16)</f>
        <v>621413540</v>
      </c>
      <c r="E426" s="25" t="n">
        <f aca="false">A426/'Giả định'!$B$19*'Giả định'!$B$20+A426*'Giả định'!$B$23+'Giả định'!$B$24</f>
        <v>156725210.084034</v>
      </c>
      <c r="F426" s="25" t="n">
        <f aca="false">E426-D426</f>
        <v>-464688329.915966</v>
      </c>
      <c r="G426" s="25" t="n">
        <f aca="false">E426-C426</f>
        <v>-321083329.915966</v>
      </c>
      <c r="H426" s="7" t="str">
        <f aca="false">IF(F426&gt;=0,A426,"")</f>
        <v/>
      </c>
      <c r="I426" s="7" t="n">
        <f aca="false">IF(F426&lt;0,A426,0)</f>
        <v>421</v>
      </c>
      <c r="J426" s="7" t="str">
        <f aca="false">IF(G426&gt;=0,A426,"")</f>
        <v/>
      </c>
      <c r="K426" s="7" t="n">
        <f aca="false">IF(G426&lt;0,A426,0)</f>
        <v>421</v>
      </c>
    </row>
    <row r="427" customFormat="false" ht="15" hidden="false" customHeight="false" outlineLevel="0" collapsed="false">
      <c r="A427" s="7" t="n">
        <f aca="false">A426+1</f>
        <v>422</v>
      </c>
      <c r="B427" s="7" t="n">
        <f aca="false">MAX('Giả định'!$B$9,ROUNDUP(A427/'Giả định'!$B$7,0)+'Giả định'!$B$8)</f>
        <v>44</v>
      </c>
      <c r="C427" s="25" t="n">
        <f aca="false">('Chi phí'!$C$76+'Chi phí'!$D$76*B427+'Chi phí'!$E$76*A427+'Giả định'!$B$15*('Chi phí'!$F$76+'Chi phí'!$G$76*B427+'Chi phí'!$H$76*A427))*(1+'Giả định'!$B$16)</f>
        <v>477845280</v>
      </c>
      <c r="D427" s="25" t="n">
        <f aca="false">('Chi phí'!$C$77+'Chi phí'!$D$77*B427+'Chi phí'!$E$77*A427+'Giả định'!$B$15*('Chi phí'!$F$77+'Chi phí'!$G$77*B427+'Chi phí'!$H$77*A427))*(1+'Giả định'!$B$16)</f>
        <v>621450280</v>
      </c>
      <c r="E427" s="25" t="n">
        <f aca="false">A427/'Giả định'!$B$19*'Giả định'!$B$20+A427*'Giả định'!$B$23+'Giả định'!$B$24</f>
        <v>157097478.991597</v>
      </c>
      <c r="F427" s="25" t="n">
        <f aca="false">E427-D427</f>
        <v>-464352801.008403</v>
      </c>
      <c r="G427" s="25" t="n">
        <f aca="false">E427-C427</f>
        <v>-320747801.008403</v>
      </c>
      <c r="H427" s="7" t="str">
        <f aca="false">IF(F427&gt;=0,A427,"")</f>
        <v/>
      </c>
      <c r="I427" s="7" t="n">
        <f aca="false">IF(F427&lt;0,A427,0)</f>
        <v>422</v>
      </c>
      <c r="J427" s="7" t="str">
        <f aca="false">IF(G427&gt;=0,A427,"")</f>
        <v/>
      </c>
      <c r="K427" s="7" t="n">
        <f aca="false">IF(G427&lt;0,A427,0)</f>
        <v>422</v>
      </c>
    </row>
    <row r="428" customFormat="false" ht="15" hidden="false" customHeight="false" outlineLevel="0" collapsed="false">
      <c r="A428" s="7" t="n">
        <f aca="false">A427+1</f>
        <v>423</v>
      </c>
      <c r="B428" s="7" t="n">
        <f aca="false">MAX('Giả định'!$B$9,ROUNDUP(A428/'Giả định'!$B$7,0)+'Giả định'!$B$8)</f>
        <v>44</v>
      </c>
      <c r="C428" s="25" t="n">
        <f aca="false">('Chi phí'!$C$76+'Chi phí'!$D$76*B428+'Chi phí'!$E$76*A428+'Giả định'!$B$15*('Chi phí'!$F$76+'Chi phí'!$G$76*B428+'Chi phí'!$H$76*A428))*(1+'Giả định'!$B$16)</f>
        <v>477882020</v>
      </c>
      <c r="D428" s="25" t="n">
        <f aca="false">('Chi phí'!$C$77+'Chi phí'!$D$77*B428+'Chi phí'!$E$77*A428+'Giả định'!$B$15*('Chi phí'!$F$77+'Chi phí'!$G$77*B428+'Chi phí'!$H$77*A428))*(1+'Giả định'!$B$16)</f>
        <v>621487020</v>
      </c>
      <c r="E428" s="25" t="n">
        <f aca="false">A428/'Giả định'!$B$19*'Giả định'!$B$20+A428*'Giả định'!$B$23+'Giả định'!$B$24</f>
        <v>157469747.89916</v>
      </c>
      <c r="F428" s="25" t="n">
        <f aca="false">E428-D428</f>
        <v>-464017272.10084</v>
      </c>
      <c r="G428" s="25" t="n">
        <f aca="false">E428-C428</f>
        <v>-320412272.10084</v>
      </c>
      <c r="H428" s="7" t="str">
        <f aca="false">IF(F428&gt;=0,A428,"")</f>
        <v/>
      </c>
      <c r="I428" s="7" t="n">
        <f aca="false">IF(F428&lt;0,A428,0)</f>
        <v>423</v>
      </c>
      <c r="J428" s="7" t="str">
        <f aca="false">IF(G428&gt;=0,A428,"")</f>
        <v/>
      </c>
      <c r="K428" s="7" t="n">
        <f aca="false">IF(G428&lt;0,A428,0)</f>
        <v>423</v>
      </c>
    </row>
    <row r="429" customFormat="false" ht="15" hidden="false" customHeight="false" outlineLevel="0" collapsed="false">
      <c r="A429" s="7" t="n">
        <f aca="false">A428+1</f>
        <v>424</v>
      </c>
      <c r="B429" s="7" t="n">
        <f aca="false">MAX('Giả định'!$B$9,ROUNDUP(A429/'Giả định'!$B$7,0)+'Giả định'!$B$8)</f>
        <v>44</v>
      </c>
      <c r="C429" s="25" t="n">
        <f aca="false">('Chi phí'!$C$76+'Chi phí'!$D$76*B429+'Chi phí'!$E$76*A429+'Giả định'!$B$15*('Chi phí'!$F$76+'Chi phí'!$G$76*B429+'Chi phí'!$H$76*A429))*(1+'Giả định'!$B$16)</f>
        <v>477918760</v>
      </c>
      <c r="D429" s="25" t="n">
        <f aca="false">('Chi phí'!$C$77+'Chi phí'!$D$77*B429+'Chi phí'!$E$77*A429+'Giả định'!$B$15*('Chi phí'!$F$77+'Chi phí'!$G$77*B429+'Chi phí'!$H$77*A429))*(1+'Giả định'!$B$16)</f>
        <v>621523760</v>
      </c>
      <c r="E429" s="25" t="n">
        <f aca="false">A429/'Giả định'!$B$19*'Giả định'!$B$20+A429*'Giả định'!$B$23+'Giả định'!$B$24</f>
        <v>157842016.806723</v>
      </c>
      <c r="F429" s="25" t="n">
        <f aca="false">E429-D429</f>
        <v>-463681743.193277</v>
      </c>
      <c r="G429" s="25" t="n">
        <f aca="false">E429-C429</f>
        <v>-320076743.193277</v>
      </c>
      <c r="H429" s="7" t="str">
        <f aca="false">IF(F429&gt;=0,A429,"")</f>
        <v/>
      </c>
      <c r="I429" s="7" t="n">
        <f aca="false">IF(F429&lt;0,A429,0)</f>
        <v>424</v>
      </c>
      <c r="J429" s="7" t="str">
        <f aca="false">IF(G429&gt;=0,A429,"")</f>
        <v/>
      </c>
      <c r="K429" s="7" t="n">
        <f aca="false">IF(G429&lt;0,A429,0)</f>
        <v>424</v>
      </c>
    </row>
    <row r="430" customFormat="false" ht="15" hidden="false" customHeight="false" outlineLevel="0" collapsed="false">
      <c r="A430" s="7" t="n">
        <f aca="false">A429+1</f>
        <v>425</v>
      </c>
      <c r="B430" s="7" t="n">
        <f aca="false">MAX('Giả định'!$B$9,ROUNDUP(A430/'Giả định'!$B$7,0)+'Giả định'!$B$8)</f>
        <v>44</v>
      </c>
      <c r="C430" s="25" t="n">
        <f aca="false">('Chi phí'!$C$76+'Chi phí'!$D$76*B430+'Chi phí'!$E$76*A430+'Giả định'!$B$15*('Chi phí'!$F$76+'Chi phí'!$G$76*B430+'Chi phí'!$H$76*A430))*(1+'Giả định'!$B$16)</f>
        <v>477955500</v>
      </c>
      <c r="D430" s="25" t="n">
        <f aca="false">('Chi phí'!$C$77+'Chi phí'!$D$77*B430+'Chi phí'!$E$77*A430+'Giả định'!$B$15*('Chi phí'!$F$77+'Chi phí'!$G$77*B430+'Chi phí'!$H$77*A430))*(1+'Giả định'!$B$16)</f>
        <v>621560500</v>
      </c>
      <c r="E430" s="25" t="n">
        <f aca="false">A430/'Giả định'!$B$19*'Giả định'!$B$20+A430*'Giả định'!$B$23+'Giả định'!$B$24</f>
        <v>158214285.714286</v>
      </c>
      <c r="F430" s="25" t="n">
        <f aca="false">E430-D430</f>
        <v>-463346214.285714</v>
      </c>
      <c r="G430" s="25" t="n">
        <f aca="false">E430-C430</f>
        <v>-319741214.285714</v>
      </c>
      <c r="H430" s="7" t="str">
        <f aca="false">IF(F430&gt;=0,A430,"")</f>
        <v/>
      </c>
      <c r="I430" s="7" t="n">
        <f aca="false">IF(F430&lt;0,A430,0)</f>
        <v>425</v>
      </c>
      <c r="J430" s="7" t="str">
        <f aca="false">IF(G430&gt;=0,A430,"")</f>
        <v/>
      </c>
      <c r="K430" s="7" t="n">
        <f aca="false">IF(G430&lt;0,A430,0)</f>
        <v>425</v>
      </c>
    </row>
    <row r="431" customFormat="false" ht="15" hidden="false" customHeight="false" outlineLevel="0" collapsed="false">
      <c r="A431" s="7" t="n">
        <f aca="false">A430+1</f>
        <v>426</v>
      </c>
      <c r="B431" s="7" t="n">
        <f aca="false">MAX('Giả định'!$B$9,ROUNDUP(A431/'Giả định'!$B$7,0)+'Giả định'!$B$8)</f>
        <v>44</v>
      </c>
      <c r="C431" s="25" t="n">
        <f aca="false">('Chi phí'!$C$76+'Chi phí'!$D$76*B431+'Chi phí'!$E$76*A431+'Giả định'!$B$15*('Chi phí'!$F$76+'Chi phí'!$G$76*B431+'Chi phí'!$H$76*A431))*(1+'Giả định'!$B$16)</f>
        <v>477992240</v>
      </c>
      <c r="D431" s="25" t="n">
        <f aca="false">('Chi phí'!$C$77+'Chi phí'!$D$77*B431+'Chi phí'!$E$77*A431+'Giả định'!$B$15*('Chi phí'!$F$77+'Chi phí'!$G$77*B431+'Chi phí'!$H$77*A431))*(1+'Giả định'!$B$16)</f>
        <v>621597240</v>
      </c>
      <c r="E431" s="25" t="n">
        <f aca="false">A431/'Giả định'!$B$19*'Giả định'!$B$20+A431*'Giả định'!$B$23+'Giả định'!$B$24</f>
        <v>158586554.621849</v>
      </c>
      <c r="F431" s="25" t="n">
        <f aca="false">E431-D431</f>
        <v>-463010685.378151</v>
      </c>
      <c r="G431" s="25" t="n">
        <f aca="false">E431-C431</f>
        <v>-319405685.378151</v>
      </c>
      <c r="H431" s="7" t="str">
        <f aca="false">IF(F431&gt;=0,A431,"")</f>
        <v/>
      </c>
      <c r="I431" s="7" t="n">
        <f aca="false">IF(F431&lt;0,A431,0)</f>
        <v>426</v>
      </c>
      <c r="J431" s="7" t="str">
        <f aca="false">IF(G431&gt;=0,A431,"")</f>
        <v/>
      </c>
      <c r="K431" s="7" t="n">
        <f aca="false">IF(G431&lt;0,A431,0)</f>
        <v>426</v>
      </c>
    </row>
    <row r="432" customFormat="false" ht="15" hidden="false" customHeight="false" outlineLevel="0" collapsed="false">
      <c r="A432" s="7" t="n">
        <f aca="false">A431+1</f>
        <v>427</v>
      </c>
      <c r="B432" s="7" t="n">
        <f aca="false">MAX('Giả định'!$B$9,ROUNDUP(A432/'Giả định'!$B$7,0)+'Giả định'!$B$8)</f>
        <v>44</v>
      </c>
      <c r="C432" s="25" t="n">
        <f aca="false">('Chi phí'!$C$76+'Chi phí'!$D$76*B432+'Chi phí'!$E$76*A432+'Giả định'!$B$15*('Chi phí'!$F$76+'Chi phí'!$G$76*B432+'Chi phí'!$H$76*A432))*(1+'Giả định'!$B$16)</f>
        <v>478028980</v>
      </c>
      <c r="D432" s="25" t="n">
        <f aca="false">('Chi phí'!$C$77+'Chi phí'!$D$77*B432+'Chi phí'!$E$77*A432+'Giả định'!$B$15*('Chi phí'!$F$77+'Chi phí'!$G$77*B432+'Chi phí'!$H$77*A432))*(1+'Giả định'!$B$16)</f>
        <v>621633980</v>
      </c>
      <c r="E432" s="25" t="n">
        <f aca="false">A432/'Giả định'!$B$19*'Giả định'!$B$20+A432*'Giả định'!$B$23+'Giả định'!$B$24</f>
        <v>158958823.529412</v>
      </c>
      <c r="F432" s="25" t="n">
        <f aca="false">E432-D432</f>
        <v>-462675156.470588</v>
      </c>
      <c r="G432" s="25" t="n">
        <f aca="false">E432-C432</f>
        <v>-319070156.470588</v>
      </c>
      <c r="H432" s="7" t="str">
        <f aca="false">IF(F432&gt;=0,A432,"")</f>
        <v/>
      </c>
      <c r="I432" s="7" t="n">
        <f aca="false">IF(F432&lt;0,A432,0)</f>
        <v>427</v>
      </c>
      <c r="J432" s="7" t="str">
        <f aca="false">IF(G432&gt;=0,A432,"")</f>
        <v/>
      </c>
      <c r="K432" s="7" t="n">
        <f aca="false">IF(G432&lt;0,A432,0)</f>
        <v>427</v>
      </c>
    </row>
    <row r="433" customFormat="false" ht="15" hidden="false" customHeight="false" outlineLevel="0" collapsed="false">
      <c r="A433" s="7" t="n">
        <f aca="false">A432+1</f>
        <v>428</v>
      </c>
      <c r="B433" s="7" t="n">
        <f aca="false">MAX('Giả định'!$B$9,ROUNDUP(A433/'Giả định'!$B$7,0)+'Giả định'!$B$8)</f>
        <v>44</v>
      </c>
      <c r="C433" s="25" t="n">
        <f aca="false">('Chi phí'!$C$76+'Chi phí'!$D$76*B433+'Chi phí'!$E$76*A433+'Giả định'!$B$15*('Chi phí'!$F$76+'Chi phí'!$G$76*B433+'Chi phí'!$H$76*A433))*(1+'Giả định'!$B$16)</f>
        <v>478065720</v>
      </c>
      <c r="D433" s="25" t="n">
        <f aca="false">('Chi phí'!$C$77+'Chi phí'!$D$77*B433+'Chi phí'!$E$77*A433+'Giả định'!$B$15*('Chi phí'!$F$77+'Chi phí'!$G$77*B433+'Chi phí'!$H$77*A433))*(1+'Giả định'!$B$16)</f>
        <v>621670720</v>
      </c>
      <c r="E433" s="25" t="n">
        <f aca="false">A433/'Giả định'!$B$19*'Giả định'!$B$20+A433*'Giả định'!$B$23+'Giả định'!$B$24</f>
        <v>159331092.436975</v>
      </c>
      <c r="F433" s="25" t="n">
        <f aca="false">E433-D433</f>
        <v>-462339627.563025</v>
      </c>
      <c r="G433" s="25" t="n">
        <f aca="false">E433-C433</f>
        <v>-318734627.563025</v>
      </c>
      <c r="H433" s="7" t="str">
        <f aca="false">IF(F433&gt;=0,A433,"")</f>
        <v/>
      </c>
      <c r="I433" s="7" t="n">
        <f aca="false">IF(F433&lt;0,A433,0)</f>
        <v>428</v>
      </c>
      <c r="J433" s="7" t="str">
        <f aca="false">IF(G433&gt;=0,A433,"")</f>
        <v/>
      </c>
      <c r="K433" s="7" t="n">
        <f aca="false">IF(G433&lt;0,A433,0)</f>
        <v>428</v>
      </c>
    </row>
    <row r="434" customFormat="false" ht="15" hidden="false" customHeight="false" outlineLevel="0" collapsed="false">
      <c r="A434" s="7" t="n">
        <f aca="false">A433+1</f>
        <v>429</v>
      </c>
      <c r="B434" s="7" t="n">
        <f aca="false">MAX('Giả định'!$B$9,ROUNDUP(A434/'Giả định'!$B$7,0)+'Giả định'!$B$8)</f>
        <v>44</v>
      </c>
      <c r="C434" s="25" t="n">
        <f aca="false">('Chi phí'!$C$76+'Chi phí'!$D$76*B434+'Chi phí'!$E$76*A434+'Giả định'!$B$15*('Chi phí'!$F$76+'Chi phí'!$G$76*B434+'Chi phí'!$H$76*A434))*(1+'Giả định'!$B$16)</f>
        <v>478102460</v>
      </c>
      <c r="D434" s="25" t="n">
        <f aca="false">('Chi phí'!$C$77+'Chi phí'!$D$77*B434+'Chi phí'!$E$77*A434+'Giả định'!$B$15*('Chi phí'!$F$77+'Chi phí'!$G$77*B434+'Chi phí'!$H$77*A434))*(1+'Giả định'!$B$16)</f>
        <v>621707460</v>
      </c>
      <c r="E434" s="25" t="n">
        <f aca="false">A434/'Giả định'!$B$19*'Giả định'!$B$20+A434*'Giả định'!$B$23+'Giả định'!$B$24</f>
        <v>159703361.344538</v>
      </c>
      <c r="F434" s="25" t="n">
        <f aca="false">E434-D434</f>
        <v>-462004098.655462</v>
      </c>
      <c r="G434" s="25" t="n">
        <f aca="false">E434-C434</f>
        <v>-318399098.655462</v>
      </c>
      <c r="H434" s="7" t="str">
        <f aca="false">IF(F434&gt;=0,A434,"")</f>
        <v/>
      </c>
      <c r="I434" s="7" t="n">
        <f aca="false">IF(F434&lt;0,A434,0)</f>
        <v>429</v>
      </c>
      <c r="J434" s="7" t="str">
        <f aca="false">IF(G434&gt;=0,A434,"")</f>
        <v/>
      </c>
      <c r="K434" s="7" t="n">
        <f aca="false">IF(G434&lt;0,A434,0)</f>
        <v>429</v>
      </c>
    </row>
    <row r="435" customFormat="false" ht="15" hidden="false" customHeight="false" outlineLevel="0" collapsed="false">
      <c r="A435" s="7" t="n">
        <f aca="false">A434+1</f>
        <v>430</v>
      </c>
      <c r="B435" s="7" t="n">
        <f aca="false">MAX('Giả định'!$B$9,ROUNDUP(A435/'Giả định'!$B$7,0)+'Giả định'!$B$8)</f>
        <v>44</v>
      </c>
      <c r="C435" s="25" t="n">
        <f aca="false">('Chi phí'!$C$76+'Chi phí'!$D$76*B435+'Chi phí'!$E$76*A435+'Giả định'!$B$15*('Chi phí'!$F$76+'Chi phí'!$G$76*B435+'Chi phí'!$H$76*A435))*(1+'Giả định'!$B$16)</f>
        <v>478139200</v>
      </c>
      <c r="D435" s="25" t="n">
        <f aca="false">('Chi phí'!$C$77+'Chi phí'!$D$77*B435+'Chi phí'!$E$77*A435+'Giả định'!$B$15*('Chi phí'!$F$77+'Chi phí'!$G$77*B435+'Chi phí'!$H$77*A435))*(1+'Giả định'!$B$16)</f>
        <v>621744200</v>
      </c>
      <c r="E435" s="25" t="n">
        <f aca="false">A435/'Giả định'!$B$19*'Giả định'!$B$20+A435*'Giả định'!$B$23+'Giả định'!$B$24</f>
        <v>160075630.252101</v>
      </c>
      <c r="F435" s="25" t="n">
        <f aca="false">E435-D435</f>
        <v>-461668569.747899</v>
      </c>
      <c r="G435" s="25" t="n">
        <f aca="false">E435-C435</f>
        <v>-318063569.747899</v>
      </c>
      <c r="H435" s="7" t="str">
        <f aca="false">IF(F435&gt;=0,A435,"")</f>
        <v/>
      </c>
      <c r="I435" s="7" t="n">
        <f aca="false">IF(F435&lt;0,A435,0)</f>
        <v>430</v>
      </c>
      <c r="J435" s="7" t="str">
        <f aca="false">IF(G435&gt;=0,A435,"")</f>
        <v/>
      </c>
      <c r="K435" s="7" t="n">
        <f aca="false">IF(G435&lt;0,A435,0)</f>
        <v>430</v>
      </c>
    </row>
    <row r="436" customFormat="false" ht="15" hidden="false" customHeight="false" outlineLevel="0" collapsed="false">
      <c r="A436" s="7" t="n">
        <f aca="false">A435+1</f>
        <v>431</v>
      </c>
      <c r="B436" s="7" t="n">
        <f aca="false">MAX('Giả định'!$B$9,ROUNDUP(A436/'Giả định'!$B$7,0)+'Giả định'!$B$8)</f>
        <v>45</v>
      </c>
      <c r="C436" s="25" t="n">
        <f aca="false">('Chi phí'!$C$76+'Chi phí'!$D$76*B436+'Chi phí'!$E$76*A436+'Giả định'!$B$15*('Chi phí'!$F$76+'Chi phí'!$G$76*B436+'Chi phí'!$H$76*A436))*(1+'Giả định'!$B$16)</f>
        <v>487349940</v>
      </c>
      <c r="D436" s="25" t="n">
        <f aca="false">('Chi phí'!$C$77+'Chi phí'!$D$77*B436+'Chi phí'!$E$77*A436+'Giả định'!$B$15*('Chi phí'!$F$77+'Chi phí'!$G$77*B436+'Chi phí'!$H$77*A436))*(1+'Giả định'!$B$16)</f>
        <v>630954940</v>
      </c>
      <c r="E436" s="25" t="n">
        <f aca="false">A436/'Giả định'!$B$19*'Giả định'!$B$20+A436*'Giả định'!$B$23+'Giả định'!$B$24</f>
        <v>160447899.159664</v>
      </c>
      <c r="F436" s="25" t="n">
        <f aca="false">E436-D436</f>
        <v>-470507040.840336</v>
      </c>
      <c r="G436" s="25" t="n">
        <f aca="false">E436-C436</f>
        <v>-326902040.840336</v>
      </c>
      <c r="H436" s="7" t="str">
        <f aca="false">IF(F436&gt;=0,A436,"")</f>
        <v/>
      </c>
      <c r="I436" s="7" t="n">
        <f aca="false">IF(F436&lt;0,A436,0)</f>
        <v>431</v>
      </c>
      <c r="J436" s="7" t="str">
        <f aca="false">IF(G436&gt;=0,A436,"")</f>
        <v/>
      </c>
      <c r="K436" s="7" t="n">
        <f aca="false">IF(G436&lt;0,A436,0)</f>
        <v>431</v>
      </c>
    </row>
    <row r="437" customFormat="false" ht="15" hidden="false" customHeight="false" outlineLevel="0" collapsed="false">
      <c r="A437" s="7" t="n">
        <f aca="false">A436+1</f>
        <v>432</v>
      </c>
      <c r="B437" s="7" t="n">
        <f aca="false">MAX('Giả định'!$B$9,ROUNDUP(A437/'Giả định'!$B$7,0)+'Giả định'!$B$8)</f>
        <v>45</v>
      </c>
      <c r="C437" s="25" t="n">
        <f aca="false">('Chi phí'!$C$76+'Chi phí'!$D$76*B437+'Chi phí'!$E$76*A437+'Giả định'!$B$15*('Chi phí'!$F$76+'Chi phí'!$G$76*B437+'Chi phí'!$H$76*A437))*(1+'Giả định'!$B$16)</f>
        <v>487386680</v>
      </c>
      <c r="D437" s="25" t="n">
        <f aca="false">('Chi phí'!$C$77+'Chi phí'!$D$77*B437+'Chi phí'!$E$77*A437+'Giả định'!$B$15*('Chi phí'!$F$77+'Chi phí'!$G$77*B437+'Chi phí'!$H$77*A437))*(1+'Giả định'!$B$16)</f>
        <v>630991680</v>
      </c>
      <c r="E437" s="25" t="n">
        <f aca="false">A437/'Giả định'!$B$19*'Giả định'!$B$20+A437*'Giả định'!$B$23+'Giả định'!$B$24</f>
        <v>160820168.067227</v>
      </c>
      <c r="F437" s="25" t="n">
        <f aca="false">E437-D437</f>
        <v>-470171511.932773</v>
      </c>
      <c r="G437" s="25" t="n">
        <f aca="false">E437-C437</f>
        <v>-326566511.932773</v>
      </c>
      <c r="H437" s="7" t="str">
        <f aca="false">IF(F437&gt;=0,A437,"")</f>
        <v/>
      </c>
      <c r="I437" s="7" t="n">
        <f aca="false">IF(F437&lt;0,A437,0)</f>
        <v>432</v>
      </c>
      <c r="J437" s="7" t="str">
        <f aca="false">IF(G437&gt;=0,A437,"")</f>
        <v/>
      </c>
      <c r="K437" s="7" t="n">
        <f aca="false">IF(G437&lt;0,A437,0)</f>
        <v>432</v>
      </c>
    </row>
    <row r="438" customFormat="false" ht="15" hidden="false" customHeight="false" outlineLevel="0" collapsed="false">
      <c r="A438" s="7" t="n">
        <f aca="false">A437+1</f>
        <v>433</v>
      </c>
      <c r="B438" s="7" t="n">
        <f aca="false">MAX('Giả định'!$B$9,ROUNDUP(A438/'Giả định'!$B$7,0)+'Giả định'!$B$8)</f>
        <v>45</v>
      </c>
      <c r="C438" s="25" t="n">
        <f aca="false">('Chi phí'!$C$76+'Chi phí'!$D$76*B438+'Chi phí'!$E$76*A438+'Giả định'!$B$15*('Chi phí'!$F$76+'Chi phí'!$G$76*B438+'Chi phí'!$H$76*A438))*(1+'Giả định'!$B$16)</f>
        <v>487423420</v>
      </c>
      <c r="D438" s="25" t="n">
        <f aca="false">('Chi phí'!$C$77+'Chi phí'!$D$77*B438+'Chi phí'!$E$77*A438+'Giả định'!$B$15*('Chi phí'!$F$77+'Chi phí'!$G$77*B438+'Chi phí'!$H$77*A438))*(1+'Giả định'!$B$16)</f>
        <v>631028420</v>
      </c>
      <c r="E438" s="25" t="n">
        <f aca="false">A438/'Giả định'!$B$19*'Giả định'!$B$20+A438*'Giả định'!$B$23+'Giả định'!$B$24</f>
        <v>161192436.97479</v>
      </c>
      <c r="F438" s="25" t="n">
        <f aca="false">E438-D438</f>
        <v>-469835983.02521</v>
      </c>
      <c r="G438" s="25" t="n">
        <f aca="false">E438-C438</f>
        <v>-326230983.02521</v>
      </c>
      <c r="H438" s="7" t="str">
        <f aca="false">IF(F438&gt;=0,A438,"")</f>
        <v/>
      </c>
      <c r="I438" s="7" t="n">
        <f aca="false">IF(F438&lt;0,A438,0)</f>
        <v>433</v>
      </c>
      <c r="J438" s="7" t="str">
        <f aca="false">IF(G438&gt;=0,A438,"")</f>
        <v/>
      </c>
      <c r="K438" s="7" t="n">
        <f aca="false">IF(G438&lt;0,A438,0)</f>
        <v>433</v>
      </c>
    </row>
    <row r="439" customFormat="false" ht="15" hidden="false" customHeight="false" outlineLevel="0" collapsed="false">
      <c r="A439" s="7" t="n">
        <f aca="false">A438+1</f>
        <v>434</v>
      </c>
      <c r="B439" s="7" t="n">
        <f aca="false">MAX('Giả định'!$B$9,ROUNDUP(A439/'Giả định'!$B$7,0)+'Giả định'!$B$8)</f>
        <v>45</v>
      </c>
      <c r="C439" s="25" t="n">
        <f aca="false">('Chi phí'!$C$76+'Chi phí'!$D$76*B439+'Chi phí'!$E$76*A439+'Giả định'!$B$15*('Chi phí'!$F$76+'Chi phí'!$G$76*B439+'Chi phí'!$H$76*A439))*(1+'Giả định'!$B$16)</f>
        <v>487460160</v>
      </c>
      <c r="D439" s="25" t="n">
        <f aca="false">('Chi phí'!$C$77+'Chi phí'!$D$77*B439+'Chi phí'!$E$77*A439+'Giả định'!$B$15*('Chi phí'!$F$77+'Chi phí'!$G$77*B439+'Chi phí'!$H$77*A439))*(1+'Giả định'!$B$16)</f>
        <v>631065160</v>
      </c>
      <c r="E439" s="25" t="n">
        <f aca="false">A439/'Giả định'!$B$19*'Giả định'!$B$20+A439*'Giả định'!$B$23+'Giả định'!$B$24</f>
        <v>161564705.882353</v>
      </c>
      <c r="F439" s="25" t="n">
        <f aca="false">E439-D439</f>
        <v>-469500454.117647</v>
      </c>
      <c r="G439" s="25" t="n">
        <f aca="false">E439-C439</f>
        <v>-325895454.117647</v>
      </c>
      <c r="H439" s="7" t="str">
        <f aca="false">IF(F439&gt;=0,A439,"")</f>
        <v/>
      </c>
      <c r="I439" s="7" t="n">
        <f aca="false">IF(F439&lt;0,A439,0)</f>
        <v>434</v>
      </c>
      <c r="J439" s="7" t="str">
        <f aca="false">IF(G439&gt;=0,A439,"")</f>
        <v/>
      </c>
      <c r="K439" s="7" t="n">
        <f aca="false">IF(G439&lt;0,A439,0)</f>
        <v>434</v>
      </c>
    </row>
    <row r="440" customFormat="false" ht="15" hidden="false" customHeight="false" outlineLevel="0" collapsed="false">
      <c r="A440" s="7" t="n">
        <f aca="false">A439+1</f>
        <v>435</v>
      </c>
      <c r="B440" s="7" t="n">
        <f aca="false">MAX('Giả định'!$B$9,ROUNDUP(A440/'Giả định'!$B$7,0)+'Giả định'!$B$8)</f>
        <v>45</v>
      </c>
      <c r="C440" s="25" t="n">
        <f aca="false">('Chi phí'!$C$76+'Chi phí'!$D$76*B440+'Chi phí'!$E$76*A440+'Giả định'!$B$15*('Chi phí'!$F$76+'Chi phí'!$G$76*B440+'Chi phí'!$H$76*A440))*(1+'Giả định'!$B$16)</f>
        <v>487496900</v>
      </c>
      <c r="D440" s="25" t="n">
        <f aca="false">('Chi phí'!$C$77+'Chi phí'!$D$77*B440+'Chi phí'!$E$77*A440+'Giả định'!$B$15*('Chi phí'!$F$77+'Chi phí'!$G$77*B440+'Chi phí'!$H$77*A440))*(1+'Giả định'!$B$16)</f>
        <v>631101900</v>
      </c>
      <c r="E440" s="25" t="n">
        <f aca="false">A440/'Giả định'!$B$19*'Giả định'!$B$20+A440*'Giả định'!$B$23+'Giả định'!$B$24</f>
        <v>161936974.789916</v>
      </c>
      <c r="F440" s="25" t="n">
        <f aca="false">E440-D440</f>
        <v>-469164925.210084</v>
      </c>
      <c r="G440" s="25" t="n">
        <f aca="false">E440-C440</f>
        <v>-325559925.210084</v>
      </c>
      <c r="H440" s="7" t="str">
        <f aca="false">IF(F440&gt;=0,A440,"")</f>
        <v/>
      </c>
      <c r="I440" s="7" t="n">
        <f aca="false">IF(F440&lt;0,A440,0)</f>
        <v>435</v>
      </c>
      <c r="J440" s="7" t="str">
        <f aca="false">IF(G440&gt;=0,A440,"")</f>
        <v/>
      </c>
      <c r="K440" s="7" t="n">
        <f aca="false">IF(G440&lt;0,A440,0)</f>
        <v>435</v>
      </c>
    </row>
    <row r="441" customFormat="false" ht="15" hidden="false" customHeight="false" outlineLevel="0" collapsed="false">
      <c r="A441" s="7" t="n">
        <f aca="false">A440+1</f>
        <v>436</v>
      </c>
      <c r="B441" s="7" t="n">
        <f aca="false">MAX('Giả định'!$B$9,ROUNDUP(A441/'Giả định'!$B$7,0)+'Giả định'!$B$8)</f>
        <v>45</v>
      </c>
      <c r="C441" s="25" t="n">
        <f aca="false">('Chi phí'!$C$76+'Chi phí'!$D$76*B441+'Chi phí'!$E$76*A441+'Giả định'!$B$15*('Chi phí'!$F$76+'Chi phí'!$G$76*B441+'Chi phí'!$H$76*A441))*(1+'Giả định'!$B$16)</f>
        <v>487533640</v>
      </c>
      <c r="D441" s="25" t="n">
        <f aca="false">('Chi phí'!$C$77+'Chi phí'!$D$77*B441+'Chi phí'!$E$77*A441+'Giả định'!$B$15*('Chi phí'!$F$77+'Chi phí'!$G$77*B441+'Chi phí'!$H$77*A441))*(1+'Giả định'!$B$16)</f>
        <v>631138640</v>
      </c>
      <c r="E441" s="25" t="n">
        <f aca="false">A441/'Giả định'!$B$19*'Giả định'!$B$20+A441*'Giả định'!$B$23+'Giả định'!$B$24</f>
        <v>162309243.697479</v>
      </c>
      <c r="F441" s="25" t="n">
        <f aca="false">E441-D441</f>
        <v>-468829396.302521</v>
      </c>
      <c r="G441" s="25" t="n">
        <f aca="false">E441-C441</f>
        <v>-325224396.302521</v>
      </c>
      <c r="H441" s="7" t="str">
        <f aca="false">IF(F441&gt;=0,A441,"")</f>
        <v/>
      </c>
      <c r="I441" s="7" t="n">
        <f aca="false">IF(F441&lt;0,A441,0)</f>
        <v>436</v>
      </c>
      <c r="J441" s="7" t="str">
        <f aca="false">IF(G441&gt;=0,A441,"")</f>
        <v/>
      </c>
      <c r="K441" s="7" t="n">
        <f aca="false">IF(G441&lt;0,A441,0)</f>
        <v>436</v>
      </c>
    </row>
    <row r="442" customFormat="false" ht="15" hidden="false" customHeight="false" outlineLevel="0" collapsed="false">
      <c r="A442" s="7" t="n">
        <f aca="false">A441+1</f>
        <v>437</v>
      </c>
      <c r="B442" s="7" t="n">
        <f aca="false">MAX('Giả định'!$B$9,ROUNDUP(A442/'Giả định'!$B$7,0)+'Giả định'!$B$8)</f>
        <v>45</v>
      </c>
      <c r="C442" s="25" t="n">
        <f aca="false">('Chi phí'!$C$76+'Chi phí'!$D$76*B442+'Chi phí'!$E$76*A442+'Giả định'!$B$15*('Chi phí'!$F$76+'Chi phí'!$G$76*B442+'Chi phí'!$H$76*A442))*(1+'Giả định'!$B$16)</f>
        <v>487570380</v>
      </c>
      <c r="D442" s="25" t="n">
        <f aca="false">('Chi phí'!$C$77+'Chi phí'!$D$77*B442+'Chi phí'!$E$77*A442+'Giả định'!$B$15*('Chi phí'!$F$77+'Chi phí'!$G$77*B442+'Chi phí'!$H$77*A442))*(1+'Giả định'!$B$16)</f>
        <v>631175380</v>
      </c>
      <c r="E442" s="25" t="n">
        <f aca="false">A442/'Giả định'!$B$19*'Giả định'!$B$20+A442*'Giả định'!$B$23+'Giả định'!$B$24</f>
        <v>162681512.605042</v>
      </c>
      <c r="F442" s="25" t="n">
        <f aca="false">E442-D442</f>
        <v>-468493867.394958</v>
      </c>
      <c r="G442" s="25" t="n">
        <f aca="false">E442-C442</f>
        <v>-324888867.394958</v>
      </c>
      <c r="H442" s="7" t="str">
        <f aca="false">IF(F442&gt;=0,A442,"")</f>
        <v/>
      </c>
      <c r="I442" s="7" t="n">
        <f aca="false">IF(F442&lt;0,A442,0)</f>
        <v>437</v>
      </c>
      <c r="J442" s="7" t="str">
        <f aca="false">IF(G442&gt;=0,A442,"")</f>
        <v/>
      </c>
      <c r="K442" s="7" t="n">
        <f aca="false">IF(G442&lt;0,A442,0)</f>
        <v>437</v>
      </c>
    </row>
    <row r="443" customFormat="false" ht="15" hidden="false" customHeight="false" outlineLevel="0" collapsed="false">
      <c r="A443" s="7" t="n">
        <f aca="false">A442+1</f>
        <v>438</v>
      </c>
      <c r="B443" s="7" t="n">
        <f aca="false">MAX('Giả định'!$B$9,ROUNDUP(A443/'Giả định'!$B$7,0)+'Giả định'!$B$8)</f>
        <v>45</v>
      </c>
      <c r="C443" s="25" t="n">
        <f aca="false">('Chi phí'!$C$76+'Chi phí'!$D$76*B443+'Chi phí'!$E$76*A443+'Giả định'!$B$15*('Chi phí'!$F$76+'Chi phí'!$G$76*B443+'Chi phí'!$H$76*A443))*(1+'Giả định'!$B$16)</f>
        <v>487607120</v>
      </c>
      <c r="D443" s="25" t="n">
        <f aca="false">('Chi phí'!$C$77+'Chi phí'!$D$77*B443+'Chi phí'!$E$77*A443+'Giả định'!$B$15*('Chi phí'!$F$77+'Chi phí'!$G$77*B443+'Chi phí'!$H$77*A443))*(1+'Giả định'!$B$16)</f>
        <v>631212120</v>
      </c>
      <c r="E443" s="25" t="n">
        <f aca="false">A443/'Giả định'!$B$19*'Giả định'!$B$20+A443*'Giả định'!$B$23+'Giả định'!$B$24</f>
        <v>163053781.512605</v>
      </c>
      <c r="F443" s="25" t="n">
        <f aca="false">E443-D443</f>
        <v>-468158338.487395</v>
      </c>
      <c r="G443" s="25" t="n">
        <f aca="false">E443-C443</f>
        <v>-324553338.487395</v>
      </c>
      <c r="H443" s="7" t="str">
        <f aca="false">IF(F443&gt;=0,A443,"")</f>
        <v/>
      </c>
      <c r="I443" s="7" t="n">
        <f aca="false">IF(F443&lt;0,A443,0)</f>
        <v>438</v>
      </c>
      <c r="J443" s="7" t="str">
        <f aca="false">IF(G443&gt;=0,A443,"")</f>
        <v/>
      </c>
      <c r="K443" s="7" t="n">
        <f aca="false">IF(G443&lt;0,A443,0)</f>
        <v>438</v>
      </c>
    </row>
    <row r="444" customFormat="false" ht="15" hidden="false" customHeight="false" outlineLevel="0" collapsed="false">
      <c r="A444" s="7" t="n">
        <f aca="false">A443+1</f>
        <v>439</v>
      </c>
      <c r="B444" s="7" t="n">
        <f aca="false">MAX('Giả định'!$B$9,ROUNDUP(A444/'Giả định'!$B$7,0)+'Giả định'!$B$8)</f>
        <v>45</v>
      </c>
      <c r="C444" s="25" t="n">
        <f aca="false">('Chi phí'!$C$76+'Chi phí'!$D$76*B444+'Chi phí'!$E$76*A444+'Giả định'!$B$15*('Chi phí'!$F$76+'Chi phí'!$G$76*B444+'Chi phí'!$H$76*A444))*(1+'Giả định'!$B$16)</f>
        <v>487643860</v>
      </c>
      <c r="D444" s="25" t="n">
        <f aca="false">('Chi phí'!$C$77+'Chi phí'!$D$77*B444+'Chi phí'!$E$77*A444+'Giả định'!$B$15*('Chi phí'!$F$77+'Chi phí'!$G$77*B444+'Chi phí'!$H$77*A444))*(1+'Giả định'!$B$16)</f>
        <v>631248860</v>
      </c>
      <c r="E444" s="25" t="n">
        <f aca="false">A444/'Giả định'!$B$19*'Giả định'!$B$20+A444*'Giả định'!$B$23+'Giả định'!$B$24</f>
        <v>163426050.420168</v>
      </c>
      <c r="F444" s="25" t="n">
        <f aca="false">E444-D444</f>
        <v>-467822809.579832</v>
      </c>
      <c r="G444" s="25" t="n">
        <f aca="false">E444-C444</f>
        <v>-324217809.579832</v>
      </c>
      <c r="H444" s="7" t="str">
        <f aca="false">IF(F444&gt;=0,A444,"")</f>
        <v/>
      </c>
      <c r="I444" s="7" t="n">
        <f aca="false">IF(F444&lt;0,A444,0)</f>
        <v>439</v>
      </c>
      <c r="J444" s="7" t="str">
        <f aca="false">IF(G444&gt;=0,A444,"")</f>
        <v/>
      </c>
      <c r="K444" s="7" t="n">
        <f aca="false">IF(G444&lt;0,A444,0)</f>
        <v>439</v>
      </c>
    </row>
    <row r="445" customFormat="false" ht="15" hidden="false" customHeight="false" outlineLevel="0" collapsed="false">
      <c r="A445" s="7" t="n">
        <f aca="false">A444+1</f>
        <v>440</v>
      </c>
      <c r="B445" s="7" t="n">
        <f aca="false">MAX('Giả định'!$B$9,ROUNDUP(A445/'Giả định'!$B$7,0)+'Giả định'!$B$8)</f>
        <v>45</v>
      </c>
      <c r="C445" s="25" t="n">
        <f aca="false">('Chi phí'!$C$76+'Chi phí'!$D$76*B445+'Chi phí'!$E$76*A445+'Giả định'!$B$15*('Chi phí'!$F$76+'Chi phí'!$G$76*B445+'Chi phí'!$H$76*A445))*(1+'Giả định'!$B$16)</f>
        <v>487680600</v>
      </c>
      <c r="D445" s="25" t="n">
        <f aca="false">('Chi phí'!$C$77+'Chi phí'!$D$77*B445+'Chi phí'!$E$77*A445+'Giả định'!$B$15*('Chi phí'!$F$77+'Chi phí'!$G$77*B445+'Chi phí'!$H$77*A445))*(1+'Giả định'!$B$16)</f>
        <v>631285600</v>
      </c>
      <c r="E445" s="25" t="n">
        <f aca="false">A445/'Giả định'!$B$19*'Giả định'!$B$20+A445*'Giả định'!$B$23+'Giả định'!$B$24</f>
        <v>163798319.327731</v>
      </c>
      <c r="F445" s="25" t="n">
        <f aca="false">E445-D445</f>
        <v>-467487280.672269</v>
      </c>
      <c r="G445" s="25" t="n">
        <f aca="false">E445-C445</f>
        <v>-323882280.672269</v>
      </c>
      <c r="H445" s="7" t="str">
        <f aca="false">IF(F445&gt;=0,A445,"")</f>
        <v/>
      </c>
      <c r="I445" s="7" t="n">
        <f aca="false">IF(F445&lt;0,A445,0)</f>
        <v>440</v>
      </c>
      <c r="J445" s="7" t="str">
        <f aca="false">IF(G445&gt;=0,A445,"")</f>
        <v/>
      </c>
      <c r="K445" s="7" t="n">
        <f aca="false">IF(G445&lt;0,A445,0)</f>
        <v>440</v>
      </c>
    </row>
    <row r="446" customFormat="false" ht="15" hidden="false" customHeight="false" outlineLevel="0" collapsed="false">
      <c r="A446" s="7" t="n">
        <f aca="false">A445+1</f>
        <v>441</v>
      </c>
      <c r="B446" s="7" t="n">
        <f aca="false">MAX('Giả định'!$B$9,ROUNDUP(A446/'Giả định'!$B$7,0)+'Giả định'!$B$8)</f>
        <v>46</v>
      </c>
      <c r="C446" s="25" t="n">
        <f aca="false">('Chi phí'!$C$76+'Chi phí'!$D$76*B446+'Chi phí'!$E$76*A446+'Giả định'!$B$15*('Chi phí'!$F$76+'Chi phí'!$G$76*B446+'Chi phí'!$H$76*A446))*(1+'Giả định'!$B$16)</f>
        <v>496891340</v>
      </c>
      <c r="D446" s="25" t="n">
        <f aca="false">('Chi phí'!$C$77+'Chi phí'!$D$77*B446+'Chi phí'!$E$77*A446+'Giả định'!$B$15*('Chi phí'!$F$77+'Chi phí'!$G$77*B446+'Chi phí'!$H$77*A446))*(1+'Giả định'!$B$16)</f>
        <v>640496340</v>
      </c>
      <c r="E446" s="25" t="n">
        <f aca="false">A446/'Giả định'!$B$19*'Giả định'!$B$20+A446*'Giả định'!$B$23+'Giả định'!$B$24</f>
        <v>164170588.235294</v>
      </c>
      <c r="F446" s="25" t="n">
        <f aca="false">E446-D446</f>
        <v>-476325751.764706</v>
      </c>
      <c r="G446" s="25" t="n">
        <f aca="false">E446-C446</f>
        <v>-332720751.764706</v>
      </c>
      <c r="H446" s="7" t="str">
        <f aca="false">IF(F446&gt;=0,A446,"")</f>
        <v/>
      </c>
      <c r="I446" s="7" t="n">
        <f aca="false">IF(F446&lt;0,A446,0)</f>
        <v>441</v>
      </c>
      <c r="J446" s="7" t="str">
        <f aca="false">IF(G446&gt;=0,A446,"")</f>
        <v/>
      </c>
      <c r="K446" s="7" t="n">
        <f aca="false">IF(G446&lt;0,A446,0)</f>
        <v>441</v>
      </c>
    </row>
    <row r="447" customFormat="false" ht="15" hidden="false" customHeight="false" outlineLevel="0" collapsed="false">
      <c r="A447" s="7" t="n">
        <f aca="false">A446+1</f>
        <v>442</v>
      </c>
      <c r="B447" s="7" t="n">
        <f aca="false">MAX('Giả định'!$B$9,ROUNDUP(A447/'Giả định'!$B$7,0)+'Giả định'!$B$8)</f>
        <v>46</v>
      </c>
      <c r="C447" s="25" t="n">
        <f aca="false">('Chi phí'!$C$76+'Chi phí'!$D$76*B447+'Chi phí'!$E$76*A447+'Giả định'!$B$15*('Chi phí'!$F$76+'Chi phí'!$G$76*B447+'Chi phí'!$H$76*A447))*(1+'Giả định'!$B$16)</f>
        <v>496928080</v>
      </c>
      <c r="D447" s="25" t="n">
        <f aca="false">('Chi phí'!$C$77+'Chi phí'!$D$77*B447+'Chi phí'!$E$77*A447+'Giả định'!$B$15*('Chi phí'!$F$77+'Chi phí'!$G$77*B447+'Chi phí'!$H$77*A447))*(1+'Giả định'!$B$16)</f>
        <v>640533080</v>
      </c>
      <c r="E447" s="25" t="n">
        <f aca="false">A447/'Giả định'!$B$19*'Giả định'!$B$20+A447*'Giả định'!$B$23+'Giả định'!$B$24</f>
        <v>164542857.142857</v>
      </c>
      <c r="F447" s="25" t="n">
        <f aca="false">E447-D447</f>
        <v>-475990222.857143</v>
      </c>
      <c r="G447" s="25" t="n">
        <f aca="false">E447-C447</f>
        <v>-332385222.857143</v>
      </c>
      <c r="H447" s="7" t="str">
        <f aca="false">IF(F447&gt;=0,A447,"")</f>
        <v/>
      </c>
      <c r="I447" s="7" t="n">
        <f aca="false">IF(F447&lt;0,A447,0)</f>
        <v>442</v>
      </c>
      <c r="J447" s="7" t="str">
        <f aca="false">IF(G447&gt;=0,A447,"")</f>
        <v/>
      </c>
      <c r="K447" s="7" t="n">
        <f aca="false">IF(G447&lt;0,A447,0)</f>
        <v>442</v>
      </c>
    </row>
    <row r="448" customFormat="false" ht="15" hidden="false" customHeight="false" outlineLevel="0" collapsed="false">
      <c r="A448" s="7" t="n">
        <f aca="false">A447+1</f>
        <v>443</v>
      </c>
      <c r="B448" s="7" t="n">
        <f aca="false">MAX('Giả định'!$B$9,ROUNDUP(A448/'Giả định'!$B$7,0)+'Giả định'!$B$8)</f>
        <v>46</v>
      </c>
      <c r="C448" s="25" t="n">
        <f aca="false">('Chi phí'!$C$76+'Chi phí'!$D$76*B448+'Chi phí'!$E$76*A448+'Giả định'!$B$15*('Chi phí'!$F$76+'Chi phí'!$G$76*B448+'Chi phí'!$H$76*A448))*(1+'Giả định'!$B$16)</f>
        <v>496964820</v>
      </c>
      <c r="D448" s="25" t="n">
        <f aca="false">('Chi phí'!$C$77+'Chi phí'!$D$77*B448+'Chi phí'!$E$77*A448+'Giả định'!$B$15*('Chi phí'!$F$77+'Chi phí'!$G$77*B448+'Chi phí'!$H$77*A448))*(1+'Giả định'!$B$16)</f>
        <v>640569820</v>
      </c>
      <c r="E448" s="25" t="n">
        <f aca="false">A448/'Giả định'!$B$19*'Giả định'!$B$20+A448*'Giả định'!$B$23+'Giả định'!$B$24</f>
        <v>164915126.05042</v>
      </c>
      <c r="F448" s="25" t="n">
        <f aca="false">E448-D448</f>
        <v>-475654693.94958</v>
      </c>
      <c r="G448" s="25" t="n">
        <f aca="false">E448-C448</f>
        <v>-332049693.94958</v>
      </c>
      <c r="H448" s="7" t="str">
        <f aca="false">IF(F448&gt;=0,A448,"")</f>
        <v/>
      </c>
      <c r="I448" s="7" t="n">
        <f aca="false">IF(F448&lt;0,A448,0)</f>
        <v>443</v>
      </c>
      <c r="J448" s="7" t="str">
        <f aca="false">IF(G448&gt;=0,A448,"")</f>
        <v/>
      </c>
      <c r="K448" s="7" t="n">
        <f aca="false">IF(G448&lt;0,A448,0)</f>
        <v>443</v>
      </c>
    </row>
    <row r="449" customFormat="false" ht="15" hidden="false" customHeight="false" outlineLevel="0" collapsed="false">
      <c r="A449" s="7" t="n">
        <f aca="false">A448+1</f>
        <v>444</v>
      </c>
      <c r="B449" s="7" t="n">
        <f aca="false">MAX('Giả định'!$B$9,ROUNDUP(A449/'Giả định'!$B$7,0)+'Giả định'!$B$8)</f>
        <v>46</v>
      </c>
      <c r="C449" s="25" t="n">
        <f aca="false">('Chi phí'!$C$76+'Chi phí'!$D$76*B449+'Chi phí'!$E$76*A449+'Giả định'!$B$15*('Chi phí'!$F$76+'Chi phí'!$G$76*B449+'Chi phí'!$H$76*A449))*(1+'Giả định'!$B$16)</f>
        <v>497001560</v>
      </c>
      <c r="D449" s="25" t="n">
        <f aca="false">('Chi phí'!$C$77+'Chi phí'!$D$77*B449+'Chi phí'!$E$77*A449+'Giả định'!$B$15*('Chi phí'!$F$77+'Chi phí'!$G$77*B449+'Chi phí'!$H$77*A449))*(1+'Giả định'!$B$16)</f>
        <v>640606560</v>
      </c>
      <c r="E449" s="25" t="n">
        <f aca="false">A449/'Giả định'!$B$19*'Giả định'!$B$20+A449*'Giả định'!$B$23+'Giả định'!$B$24</f>
        <v>165287394.957983</v>
      </c>
      <c r="F449" s="25" t="n">
        <f aca="false">E449-D449</f>
        <v>-475319165.042017</v>
      </c>
      <c r="G449" s="25" t="n">
        <f aca="false">E449-C449</f>
        <v>-331714165.042017</v>
      </c>
      <c r="H449" s="7" t="str">
        <f aca="false">IF(F449&gt;=0,A449,"")</f>
        <v/>
      </c>
      <c r="I449" s="7" t="n">
        <f aca="false">IF(F449&lt;0,A449,0)</f>
        <v>444</v>
      </c>
      <c r="J449" s="7" t="str">
        <f aca="false">IF(G449&gt;=0,A449,"")</f>
        <v/>
      </c>
      <c r="K449" s="7" t="n">
        <f aca="false">IF(G449&lt;0,A449,0)</f>
        <v>444</v>
      </c>
    </row>
    <row r="450" customFormat="false" ht="15" hidden="false" customHeight="false" outlineLevel="0" collapsed="false">
      <c r="A450" s="7" t="n">
        <f aca="false">A449+1</f>
        <v>445</v>
      </c>
      <c r="B450" s="7" t="n">
        <f aca="false">MAX('Giả định'!$B$9,ROUNDUP(A450/'Giả định'!$B$7,0)+'Giả định'!$B$8)</f>
        <v>46</v>
      </c>
      <c r="C450" s="25" t="n">
        <f aca="false">('Chi phí'!$C$76+'Chi phí'!$D$76*B450+'Chi phí'!$E$76*A450+'Giả định'!$B$15*('Chi phí'!$F$76+'Chi phí'!$G$76*B450+'Chi phí'!$H$76*A450))*(1+'Giả định'!$B$16)</f>
        <v>497038300</v>
      </c>
      <c r="D450" s="25" t="n">
        <f aca="false">('Chi phí'!$C$77+'Chi phí'!$D$77*B450+'Chi phí'!$E$77*A450+'Giả định'!$B$15*('Chi phí'!$F$77+'Chi phí'!$G$77*B450+'Chi phí'!$H$77*A450))*(1+'Giả định'!$B$16)</f>
        <v>640643300</v>
      </c>
      <c r="E450" s="25" t="n">
        <f aca="false">A450/'Giả định'!$B$19*'Giả định'!$B$20+A450*'Giả định'!$B$23+'Giả định'!$B$24</f>
        <v>165659663.865546</v>
      </c>
      <c r="F450" s="25" t="n">
        <f aca="false">E450-D450</f>
        <v>-474983636.134454</v>
      </c>
      <c r="G450" s="25" t="n">
        <f aca="false">E450-C450</f>
        <v>-331378636.134454</v>
      </c>
      <c r="H450" s="7" t="str">
        <f aca="false">IF(F450&gt;=0,A450,"")</f>
        <v/>
      </c>
      <c r="I450" s="7" t="n">
        <f aca="false">IF(F450&lt;0,A450,0)</f>
        <v>445</v>
      </c>
      <c r="J450" s="7" t="str">
        <f aca="false">IF(G450&gt;=0,A450,"")</f>
        <v/>
      </c>
      <c r="K450" s="7" t="n">
        <f aca="false">IF(G450&lt;0,A450,0)</f>
        <v>445</v>
      </c>
    </row>
    <row r="451" customFormat="false" ht="15" hidden="false" customHeight="false" outlineLevel="0" collapsed="false">
      <c r="A451" s="7" t="n">
        <f aca="false">A450+1</f>
        <v>446</v>
      </c>
      <c r="B451" s="7" t="n">
        <f aca="false">MAX('Giả định'!$B$9,ROUNDUP(A451/'Giả định'!$B$7,0)+'Giả định'!$B$8)</f>
        <v>46</v>
      </c>
      <c r="C451" s="25" t="n">
        <f aca="false">('Chi phí'!$C$76+'Chi phí'!$D$76*B451+'Chi phí'!$E$76*A451+'Giả định'!$B$15*('Chi phí'!$F$76+'Chi phí'!$G$76*B451+'Chi phí'!$H$76*A451))*(1+'Giả định'!$B$16)</f>
        <v>497075040</v>
      </c>
      <c r="D451" s="25" t="n">
        <f aca="false">('Chi phí'!$C$77+'Chi phí'!$D$77*B451+'Chi phí'!$E$77*A451+'Giả định'!$B$15*('Chi phí'!$F$77+'Chi phí'!$G$77*B451+'Chi phí'!$H$77*A451))*(1+'Giả định'!$B$16)</f>
        <v>640680040</v>
      </c>
      <c r="E451" s="25" t="n">
        <f aca="false">A451/'Giả định'!$B$19*'Giả định'!$B$20+A451*'Giả định'!$B$23+'Giả định'!$B$24</f>
        <v>166031932.773109</v>
      </c>
      <c r="F451" s="25" t="n">
        <f aca="false">E451-D451</f>
        <v>-474648107.226891</v>
      </c>
      <c r="G451" s="25" t="n">
        <f aca="false">E451-C451</f>
        <v>-331043107.226891</v>
      </c>
      <c r="H451" s="7" t="str">
        <f aca="false">IF(F451&gt;=0,A451,"")</f>
        <v/>
      </c>
      <c r="I451" s="7" t="n">
        <f aca="false">IF(F451&lt;0,A451,0)</f>
        <v>446</v>
      </c>
      <c r="J451" s="7" t="str">
        <f aca="false">IF(G451&gt;=0,A451,"")</f>
        <v/>
      </c>
      <c r="K451" s="7" t="n">
        <f aca="false">IF(G451&lt;0,A451,0)</f>
        <v>446</v>
      </c>
    </row>
    <row r="452" customFormat="false" ht="15" hidden="false" customHeight="false" outlineLevel="0" collapsed="false">
      <c r="A452" s="7" t="n">
        <f aca="false">A451+1</f>
        <v>447</v>
      </c>
      <c r="B452" s="7" t="n">
        <f aca="false">MAX('Giả định'!$B$9,ROUNDUP(A452/'Giả định'!$B$7,0)+'Giả định'!$B$8)</f>
        <v>46</v>
      </c>
      <c r="C452" s="25" t="n">
        <f aca="false">('Chi phí'!$C$76+'Chi phí'!$D$76*B452+'Chi phí'!$E$76*A452+'Giả định'!$B$15*('Chi phí'!$F$76+'Chi phí'!$G$76*B452+'Chi phí'!$H$76*A452))*(1+'Giả định'!$B$16)</f>
        <v>497111780</v>
      </c>
      <c r="D452" s="25" t="n">
        <f aca="false">('Chi phí'!$C$77+'Chi phí'!$D$77*B452+'Chi phí'!$E$77*A452+'Giả định'!$B$15*('Chi phí'!$F$77+'Chi phí'!$G$77*B452+'Chi phí'!$H$77*A452))*(1+'Giả định'!$B$16)</f>
        <v>640716780</v>
      </c>
      <c r="E452" s="25" t="n">
        <f aca="false">A452/'Giả định'!$B$19*'Giả định'!$B$20+A452*'Giả định'!$B$23+'Giả định'!$B$24</f>
        <v>166404201.680672</v>
      </c>
      <c r="F452" s="25" t="n">
        <f aca="false">E452-D452</f>
        <v>-474312578.319328</v>
      </c>
      <c r="G452" s="25" t="n">
        <f aca="false">E452-C452</f>
        <v>-330707578.319328</v>
      </c>
      <c r="H452" s="7" t="str">
        <f aca="false">IF(F452&gt;=0,A452,"")</f>
        <v/>
      </c>
      <c r="I452" s="7" t="n">
        <f aca="false">IF(F452&lt;0,A452,0)</f>
        <v>447</v>
      </c>
      <c r="J452" s="7" t="str">
        <f aca="false">IF(G452&gt;=0,A452,"")</f>
        <v/>
      </c>
      <c r="K452" s="7" t="n">
        <f aca="false">IF(G452&lt;0,A452,0)</f>
        <v>447</v>
      </c>
    </row>
    <row r="453" customFormat="false" ht="15" hidden="false" customHeight="false" outlineLevel="0" collapsed="false">
      <c r="A453" s="7" t="n">
        <f aca="false">A452+1</f>
        <v>448</v>
      </c>
      <c r="B453" s="7" t="n">
        <f aca="false">MAX('Giả định'!$B$9,ROUNDUP(A453/'Giả định'!$B$7,0)+'Giả định'!$B$8)</f>
        <v>46</v>
      </c>
      <c r="C453" s="25" t="n">
        <f aca="false">('Chi phí'!$C$76+'Chi phí'!$D$76*B453+'Chi phí'!$E$76*A453+'Giả định'!$B$15*('Chi phí'!$F$76+'Chi phí'!$G$76*B453+'Chi phí'!$H$76*A453))*(1+'Giả định'!$B$16)</f>
        <v>497148520</v>
      </c>
      <c r="D453" s="25" t="n">
        <f aca="false">('Chi phí'!$C$77+'Chi phí'!$D$77*B453+'Chi phí'!$E$77*A453+'Giả định'!$B$15*('Chi phí'!$F$77+'Chi phí'!$G$77*B453+'Chi phí'!$H$77*A453))*(1+'Giả định'!$B$16)</f>
        <v>640753520</v>
      </c>
      <c r="E453" s="25" t="n">
        <f aca="false">A453/'Giả định'!$B$19*'Giả định'!$B$20+A453*'Giả định'!$B$23+'Giả định'!$B$24</f>
        <v>166776470.588235</v>
      </c>
      <c r="F453" s="25" t="n">
        <f aca="false">E453-D453</f>
        <v>-473977049.411765</v>
      </c>
      <c r="G453" s="25" t="n">
        <f aca="false">E453-C453</f>
        <v>-330372049.411765</v>
      </c>
      <c r="H453" s="7" t="str">
        <f aca="false">IF(F453&gt;=0,A453,"")</f>
        <v/>
      </c>
      <c r="I453" s="7" t="n">
        <f aca="false">IF(F453&lt;0,A453,0)</f>
        <v>448</v>
      </c>
      <c r="J453" s="7" t="str">
        <f aca="false">IF(G453&gt;=0,A453,"")</f>
        <v/>
      </c>
      <c r="K453" s="7" t="n">
        <f aca="false">IF(G453&lt;0,A453,0)</f>
        <v>448</v>
      </c>
    </row>
    <row r="454" customFormat="false" ht="15" hidden="false" customHeight="false" outlineLevel="0" collapsed="false">
      <c r="A454" s="7" t="n">
        <f aca="false">A453+1</f>
        <v>449</v>
      </c>
      <c r="B454" s="7" t="n">
        <f aca="false">MAX('Giả định'!$B$9,ROUNDUP(A454/'Giả định'!$B$7,0)+'Giả định'!$B$8)</f>
        <v>46</v>
      </c>
      <c r="C454" s="25" t="n">
        <f aca="false">('Chi phí'!$C$76+'Chi phí'!$D$76*B454+'Chi phí'!$E$76*A454+'Giả định'!$B$15*('Chi phí'!$F$76+'Chi phí'!$G$76*B454+'Chi phí'!$H$76*A454))*(1+'Giả định'!$B$16)</f>
        <v>497185260</v>
      </c>
      <c r="D454" s="25" t="n">
        <f aca="false">('Chi phí'!$C$77+'Chi phí'!$D$77*B454+'Chi phí'!$E$77*A454+'Giả định'!$B$15*('Chi phí'!$F$77+'Chi phí'!$G$77*B454+'Chi phí'!$H$77*A454))*(1+'Giả định'!$B$16)</f>
        <v>640790260</v>
      </c>
      <c r="E454" s="25" t="n">
        <f aca="false">A454/'Giả định'!$B$19*'Giả định'!$B$20+A454*'Giả định'!$B$23+'Giả định'!$B$24</f>
        <v>167148739.495798</v>
      </c>
      <c r="F454" s="25" t="n">
        <f aca="false">E454-D454</f>
        <v>-473641520.504202</v>
      </c>
      <c r="G454" s="25" t="n">
        <f aca="false">E454-C454</f>
        <v>-330036520.504202</v>
      </c>
      <c r="H454" s="7" t="str">
        <f aca="false">IF(F454&gt;=0,A454,"")</f>
        <v/>
      </c>
      <c r="I454" s="7" t="n">
        <f aca="false">IF(F454&lt;0,A454,0)</f>
        <v>449</v>
      </c>
      <c r="J454" s="7" t="str">
        <f aca="false">IF(G454&gt;=0,A454,"")</f>
        <v/>
      </c>
      <c r="K454" s="7" t="n">
        <f aca="false">IF(G454&lt;0,A454,0)</f>
        <v>449</v>
      </c>
    </row>
    <row r="455" customFormat="false" ht="15" hidden="false" customHeight="false" outlineLevel="0" collapsed="false">
      <c r="A455" s="7" t="n">
        <f aca="false">A454+1</f>
        <v>450</v>
      </c>
      <c r="B455" s="7" t="n">
        <f aca="false">MAX('Giả định'!$B$9,ROUNDUP(A455/'Giả định'!$B$7,0)+'Giả định'!$B$8)</f>
        <v>46</v>
      </c>
      <c r="C455" s="25" t="n">
        <f aca="false">('Chi phí'!$C$76+'Chi phí'!$D$76*B455+'Chi phí'!$E$76*A455+'Giả định'!$B$15*('Chi phí'!$F$76+'Chi phí'!$G$76*B455+'Chi phí'!$H$76*A455))*(1+'Giả định'!$B$16)</f>
        <v>497222000</v>
      </c>
      <c r="D455" s="25" t="n">
        <f aca="false">('Chi phí'!$C$77+'Chi phí'!$D$77*B455+'Chi phí'!$E$77*A455+'Giả định'!$B$15*('Chi phí'!$F$77+'Chi phí'!$G$77*B455+'Chi phí'!$H$77*A455))*(1+'Giả định'!$B$16)</f>
        <v>640827000</v>
      </c>
      <c r="E455" s="25" t="n">
        <f aca="false">A455/'Giả định'!$B$19*'Giả định'!$B$20+A455*'Giả định'!$B$23+'Giả định'!$B$24</f>
        <v>167521008.403361</v>
      </c>
      <c r="F455" s="25" t="n">
        <f aca="false">E455-D455</f>
        <v>-473305991.596639</v>
      </c>
      <c r="G455" s="25" t="n">
        <f aca="false">E455-C455</f>
        <v>-329700991.596639</v>
      </c>
      <c r="H455" s="7" t="str">
        <f aca="false">IF(F455&gt;=0,A455,"")</f>
        <v/>
      </c>
      <c r="I455" s="7" t="n">
        <f aca="false">IF(F455&lt;0,A455,0)</f>
        <v>450</v>
      </c>
      <c r="J455" s="7" t="str">
        <f aca="false">IF(G455&gt;=0,A455,"")</f>
        <v/>
      </c>
      <c r="K455" s="7" t="n">
        <f aca="false">IF(G455&lt;0,A455,0)</f>
        <v>450</v>
      </c>
    </row>
    <row r="456" customFormat="false" ht="15" hidden="false" customHeight="false" outlineLevel="0" collapsed="false">
      <c r="A456" s="7" t="n">
        <f aca="false">A455+1</f>
        <v>451</v>
      </c>
      <c r="B456" s="7" t="n">
        <f aca="false">MAX('Giả định'!$B$9,ROUNDUP(A456/'Giả định'!$B$7,0)+'Giả định'!$B$8)</f>
        <v>47</v>
      </c>
      <c r="C456" s="25" t="n">
        <f aca="false">('Chi phí'!$C$76+'Chi phí'!$D$76*B456+'Chi phí'!$E$76*A456+'Giả định'!$B$15*('Chi phí'!$F$76+'Chi phí'!$G$76*B456+'Chi phí'!$H$76*A456))*(1+'Giả định'!$B$16)</f>
        <v>506432740</v>
      </c>
      <c r="D456" s="25" t="n">
        <f aca="false">('Chi phí'!$C$77+'Chi phí'!$D$77*B456+'Chi phí'!$E$77*A456+'Giả định'!$B$15*('Chi phí'!$F$77+'Chi phí'!$G$77*B456+'Chi phí'!$H$77*A456))*(1+'Giả định'!$B$16)</f>
        <v>650037740</v>
      </c>
      <c r="E456" s="25" t="n">
        <f aca="false">A456/'Giả định'!$B$19*'Giả định'!$B$20+A456*'Giả định'!$B$23+'Giả định'!$B$24</f>
        <v>167893277.310924</v>
      </c>
      <c r="F456" s="25" t="n">
        <f aca="false">E456-D456</f>
        <v>-482144462.689076</v>
      </c>
      <c r="G456" s="25" t="n">
        <f aca="false">E456-C456</f>
        <v>-338539462.689076</v>
      </c>
      <c r="H456" s="7" t="str">
        <f aca="false">IF(F456&gt;=0,A456,"")</f>
        <v/>
      </c>
      <c r="I456" s="7" t="n">
        <f aca="false">IF(F456&lt;0,A456,0)</f>
        <v>451</v>
      </c>
      <c r="J456" s="7" t="str">
        <f aca="false">IF(G456&gt;=0,A456,"")</f>
        <v/>
      </c>
      <c r="K456" s="7" t="n">
        <f aca="false">IF(G456&lt;0,A456,0)</f>
        <v>451</v>
      </c>
    </row>
    <row r="457" customFormat="false" ht="15" hidden="false" customHeight="false" outlineLevel="0" collapsed="false">
      <c r="A457" s="7" t="n">
        <f aca="false">A456+1</f>
        <v>452</v>
      </c>
      <c r="B457" s="7" t="n">
        <f aca="false">MAX('Giả định'!$B$9,ROUNDUP(A457/'Giả định'!$B$7,0)+'Giả định'!$B$8)</f>
        <v>47</v>
      </c>
      <c r="C457" s="25" t="n">
        <f aca="false">('Chi phí'!$C$76+'Chi phí'!$D$76*B457+'Chi phí'!$E$76*A457+'Giả định'!$B$15*('Chi phí'!$F$76+'Chi phí'!$G$76*B457+'Chi phí'!$H$76*A457))*(1+'Giả định'!$B$16)</f>
        <v>506469480</v>
      </c>
      <c r="D457" s="25" t="n">
        <f aca="false">('Chi phí'!$C$77+'Chi phí'!$D$77*B457+'Chi phí'!$E$77*A457+'Giả định'!$B$15*('Chi phí'!$F$77+'Chi phí'!$G$77*B457+'Chi phí'!$H$77*A457))*(1+'Giả định'!$B$16)</f>
        <v>650074480</v>
      </c>
      <c r="E457" s="25" t="n">
        <f aca="false">A457/'Giả định'!$B$19*'Giả định'!$B$20+A457*'Giả định'!$B$23+'Giả định'!$B$24</f>
        <v>168265546.218487</v>
      </c>
      <c r="F457" s="25" t="n">
        <f aca="false">E457-D457</f>
        <v>-481808933.781513</v>
      </c>
      <c r="G457" s="25" t="n">
        <f aca="false">E457-C457</f>
        <v>-338203933.781513</v>
      </c>
      <c r="H457" s="7" t="str">
        <f aca="false">IF(F457&gt;=0,A457,"")</f>
        <v/>
      </c>
      <c r="I457" s="7" t="n">
        <f aca="false">IF(F457&lt;0,A457,0)</f>
        <v>452</v>
      </c>
      <c r="J457" s="7" t="str">
        <f aca="false">IF(G457&gt;=0,A457,"")</f>
        <v/>
      </c>
      <c r="K457" s="7" t="n">
        <f aca="false">IF(G457&lt;0,A457,0)</f>
        <v>452</v>
      </c>
    </row>
    <row r="458" customFormat="false" ht="15" hidden="false" customHeight="false" outlineLevel="0" collapsed="false">
      <c r="A458" s="7" t="n">
        <f aca="false">A457+1</f>
        <v>453</v>
      </c>
      <c r="B458" s="7" t="n">
        <f aca="false">MAX('Giả định'!$B$9,ROUNDUP(A458/'Giả định'!$B$7,0)+'Giả định'!$B$8)</f>
        <v>47</v>
      </c>
      <c r="C458" s="25" t="n">
        <f aca="false">('Chi phí'!$C$76+'Chi phí'!$D$76*B458+'Chi phí'!$E$76*A458+'Giả định'!$B$15*('Chi phí'!$F$76+'Chi phí'!$G$76*B458+'Chi phí'!$H$76*A458))*(1+'Giả định'!$B$16)</f>
        <v>506506220</v>
      </c>
      <c r="D458" s="25" t="n">
        <f aca="false">('Chi phí'!$C$77+'Chi phí'!$D$77*B458+'Chi phí'!$E$77*A458+'Giả định'!$B$15*('Chi phí'!$F$77+'Chi phí'!$G$77*B458+'Chi phí'!$H$77*A458))*(1+'Giả định'!$B$16)</f>
        <v>650111220</v>
      </c>
      <c r="E458" s="25" t="n">
        <f aca="false">A458/'Giả định'!$B$19*'Giả định'!$B$20+A458*'Giả định'!$B$23+'Giả định'!$B$24</f>
        <v>168637815.12605</v>
      </c>
      <c r="F458" s="25" t="n">
        <f aca="false">E458-D458</f>
        <v>-481473404.87395</v>
      </c>
      <c r="G458" s="25" t="n">
        <f aca="false">E458-C458</f>
        <v>-337868404.87395</v>
      </c>
      <c r="H458" s="7" t="str">
        <f aca="false">IF(F458&gt;=0,A458,"")</f>
        <v/>
      </c>
      <c r="I458" s="7" t="n">
        <f aca="false">IF(F458&lt;0,A458,0)</f>
        <v>453</v>
      </c>
      <c r="J458" s="7" t="str">
        <f aca="false">IF(G458&gt;=0,A458,"")</f>
        <v/>
      </c>
      <c r="K458" s="7" t="n">
        <f aca="false">IF(G458&lt;0,A458,0)</f>
        <v>453</v>
      </c>
    </row>
    <row r="459" customFormat="false" ht="15" hidden="false" customHeight="false" outlineLevel="0" collapsed="false">
      <c r="A459" s="7" t="n">
        <f aca="false">A458+1</f>
        <v>454</v>
      </c>
      <c r="B459" s="7" t="n">
        <f aca="false">MAX('Giả định'!$B$9,ROUNDUP(A459/'Giả định'!$B$7,0)+'Giả định'!$B$8)</f>
        <v>47</v>
      </c>
      <c r="C459" s="25" t="n">
        <f aca="false">('Chi phí'!$C$76+'Chi phí'!$D$76*B459+'Chi phí'!$E$76*A459+'Giả định'!$B$15*('Chi phí'!$F$76+'Chi phí'!$G$76*B459+'Chi phí'!$H$76*A459))*(1+'Giả định'!$B$16)</f>
        <v>506542960</v>
      </c>
      <c r="D459" s="25" t="n">
        <f aca="false">('Chi phí'!$C$77+'Chi phí'!$D$77*B459+'Chi phí'!$E$77*A459+'Giả định'!$B$15*('Chi phí'!$F$77+'Chi phí'!$G$77*B459+'Chi phí'!$H$77*A459))*(1+'Giả định'!$B$16)</f>
        <v>650147960</v>
      </c>
      <c r="E459" s="25" t="n">
        <f aca="false">A459/'Giả định'!$B$19*'Giả định'!$B$20+A459*'Giả định'!$B$23+'Giả định'!$B$24</f>
        <v>169010084.033613</v>
      </c>
      <c r="F459" s="25" t="n">
        <f aca="false">E459-D459</f>
        <v>-481137875.966387</v>
      </c>
      <c r="G459" s="25" t="n">
        <f aca="false">E459-C459</f>
        <v>-337532875.966387</v>
      </c>
      <c r="H459" s="7" t="str">
        <f aca="false">IF(F459&gt;=0,A459,"")</f>
        <v/>
      </c>
      <c r="I459" s="7" t="n">
        <f aca="false">IF(F459&lt;0,A459,0)</f>
        <v>454</v>
      </c>
      <c r="J459" s="7" t="str">
        <f aca="false">IF(G459&gt;=0,A459,"")</f>
        <v/>
      </c>
      <c r="K459" s="7" t="n">
        <f aca="false">IF(G459&lt;0,A459,0)</f>
        <v>454</v>
      </c>
    </row>
    <row r="460" customFormat="false" ht="15" hidden="false" customHeight="false" outlineLevel="0" collapsed="false">
      <c r="A460" s="7" t="n">
        <f aca="false">A459+1</f>
        <v>455</v>
      </c>
      <c r="B460" s="7" t="n">
        <f aca="false">MAX('Giả định'!$B$9,ROUNDUP(A460/'Giả định'!$B$7,0)+'Giả định'!$B$8)</f>
        <v>47</v>
      </c>
      <c r="C460" s="25" t="n">
        <f aca="false">('Chi phí'!$C$76+'Chi phí'!$D$76*B460+'Chi phí'!$E$76*A460+'Giả định'!$B$15*('Chi phí'!$F$76+'Chi phí'!$G$76*B460+'Chi phí'!$H$76*A460))*(1+'Giả định'!$B$16)</f>
        <v>506579700</v>
      </c>
      <c r="D460" s="25" t="n">
        <f aca="false">('Chi phí'!$C$77+'Chi phí'!$D$77*B460+'Chi phí'!$E$77*A460+'Giả định'!$B$15*('Chi phí'!$F$77+'Chi phí'!$G$77*B460+'Chi phí'!$H$77*A460))*(1+'Giả định'!$B$16)</f>
        <v>650184700</v>
      </c>
      <c r="E460" s="25" t="n">
        <f aca="false">A460/'Giả định'!$B$19*'Giả định'!$B$20+A460*'Giả định'!$B$23+'Giả định'!$B$24</f>
        <v>169382352.941176</v>
      </c>
      <c r="F460" s="25" t="n">
        <f aca="false">E460-D460</f>
        <v>-480802347.058824</v>
      </c>
      <c r="G460" s="25" t="n">
        <f aca="false">E460-C460</f>
        <v>-337197347.058824</v>
      </c>
      <c r="H460" s="7" t="str">
        <f aca="false">IF(F460&gt;=0,A460,"")</f>
        <v/>
      </c>
      <c r="I460" s="7" t="n">
        <f aca="false">IF(F460&lt;0,A460,0)</f>
        <v>455</v>
      </c>
      <c r="J460" s="7" t="str">
        <f aca="false">IF(G460&gt;=0,A460,"")</f>
        <v/>
      </c>
      <c r="K460" s="7" t="n">
        <f aca="false">IF(G460&lt;0,A460,0)</f>
        <v>455</v>
      </c>
    </row>
    <row r="461" customFormat="false" ht="15" hidden="false" customHeight="false" outlineLevel="0" collapsed="false">
      <c r="A461" s="7" t="n">
        <f aca="false">A460+1</f>
        <v>456</v>
      </c>
      <c r="B461" s="7" t="n">
        <f aca="false">MAX('Giả định'!$B$9,ROUNDUP(A461/'Giả định'!$B$7,0)+'Giả định'!$B$8)</f>
        <v>47</v>
      </c>
      <c r="C461" s="25" t="n">
        <f aca="false">('Chi phí'!$C$76+'Chi phí'!$D$76*B461+'Chi phí'!$E$76*A461+'Giả định'!$B$15*('Chi phí'!$F$76+'Chi phí'!$G$76*B461+'Chi phí'!$H$76*A461))*(1+'Giả định'!$B$16)</f>
        <v>506616440</v>
      </c>
      <c r="D461" s="25" t="n">
        <f aca="false">('Chi phí'!$C$77+'Chi phí'!$D$77*B461+'Chi phí'!$E$77*A461+'Giả định'!$B$15*('Chi phí'!$F$77+'Chi phí'!$G$77*B461+'Chi phí'!$H$77*A461))*(1+'Giả định'!$B$16)</f>
        <v>650221440</v>
      </c>
      <c r="E461" s="25" t="n">
        <f aca="false">A461/'Giả định'!$B$19*'Giả định'!$B$20+A461*'Giả định'!$B$23+'Giả định'!$B$24</f>
        <v>169754621.84874</v>
      </c>
      <c r="F461" s="25" t="n">
        <f aca="false">E461-D461</f>
        <v>-480466818.151261</v>
      </c>
      <c r="G461" s="25" t="n">
        <f aca="false">E461-C461</f>
        <v>-336861818.151261</v>
      </c>
      <c r="H461" s="7" t="str">
        <f aca="false">IF(F461&gt;=0,A461,"")</f>
        <v/>
      </c>
      <c r="I461" s="7" t="n">
        <f aca="false">IF(F461&lt;0,A461,0)</f>
        <v>456</v>
      </c>
      <c r="J461" s="7" t="str">
        <f aca="false">IF(G461&gt;=0,A461,"")</f>
        <v/>
      </c>
      <c r="K461" s="7" t="n">
        <f aca="false">IF(G461&lt;0,A461,0)</f>
        <v>456</v>
      </c>
    </row>
    <row r="462" customFormat="false" ht="15" hidden="false" customHeight="false" outlineLevel="0" collapsed="false">
      <c r="A462" s="7" t="n">
        <f aca="false">A461+1</f>
        <v>457</v>
      </c>
      <c r="B462" s="7" t="n">
        <f aca="false">MAX('Giả định'!$B$9,ROUNDUP(A462/'Giả định'!$B$7,0)+'Giả định'!$B$8)</f>
        <v>47</v>
      </c>
      <c r="C462" s="25" t="n">
        <f aca="false">('Chi phí'!$C$76+'Chi phí'!$D$76*B462+'Chi phí'!$E$76*A462+'Giả định'!$B$15*('Chi phí'!$F$76+'Chi phí'!$G$76*B462+'Chi phí'!$H$76*A462))*(1+'Giả định'!$B$16)</f>
        <v>506653180</v>
      </c>
      <c r="D462" s="25" t="n">
        <f aca="false">('Chi phí'!$C$77+'Chi phí'!$D$77*B462+'Chi phí'!$E$77*A462+'Giả định'!$B$15*('Chi phí'!$F$77+'Chi phí'!$G$77*B462+'Chi phí'!$H$77*A462))*(1+'Giả định'!$B$16)</f>
        <v>650258180</v>
      </c>
      <c r="E462" s="25" t="n">
        <f aca="false">A462/'Giả định'!$B$19*'Giả định'!$B$20+A462*'Giả định'!$B$23+'Giả định'!$B$24</f>
        <v>170126890.756303</v>
      </c>
      <c r="F462" s="25" t="n">
        <f aca="false">E462-D462</f>
        <v>-480131289.243697</v>
      </c>
      <c r="G462" s="25" t="n">
        <f aca="false">E462-C462</f>
        <v>-336526289.243698</v>
      </c>
      <c r="H462" s="7" t="str">
        <f aca="false">IF(F462&gt;=0,A462,"")</f>
        <v/>
      </c>
      <c r="I462" s="7" t="n">
        <f aca="false">IF(F462&lt;0,A462,0)</f>
        <v>457</v>
      </c>
      <c r="J462" s="7" t="str">
        <f aca="false">IF(G462&gt;=0,A462,"")</f>
        <v/>
      </c>
      <c r="K462" s="7" t="n">
        <f aca="false">IF(G462&lt;0,A462,0)</f>
        <v>457</v>
      </c>
    </row>
    <row r="463" customFormat="false" ht="15" hidden="false" customHeight="false" outlineLevel="0" collapsed="false">
      <c r="A463" s="7" t="n">
        <f aca="false">A462+1</f>
        <v>458</v>
      </c>
      <c r="B463" s="7" t="n">
        <f aca="false">MAX('Giả định'!$B$9,ROUNDUP(A463/'Giả định'!$B$7,0)+'Giả định'!$B$8)</f>
        <v>47</v>
      </c>
      <c r="C463" s="25" t="n">
        <f aca="false">('Chi phí'!$C$76+'Chi phí'!$D$76*B463+'Chi phí'!$E$76*A463+'Giả định'!$B$15*('Chi phí'!$F$76+'Chi phí'!$G$76*B463+'Chi phí'!$H$76*A463))*(1+'Giả định'!$B$16)</f>
        <v>506689920</v>
      </c>
      <c r="D463" s="25" t="n">
        <f aca="false">('Chi phí'!$C$77+'Chi phí'!$D$77*B463+'Chi phí'!$E$77*A463+'Giả định'!$B$15*('Chi phí'!$F$77+'Chi phí'!$G$77*B463+'Chi phí'!$H$77*A463))*(1+'Giả định'!$B$16)</f>
        <v>650294920</v>
      </c>
      <c r="E463" s="25" t="n">
        <f aca="false">A463/'Giả định'!$B$19*'Giả định'!$B$20+A463*'Giả định'!$B$23+'Giả định'!$B$24</f>
        <v>170499159.663866</v>
      </c>
      <c r="F463" s="25" t="n">
        <f aca="false">E463-D463</f>
        <v>-479795760.336134</v>
      </c>
      <c r="G463" s="25" t="n">
        <f aca="false">E463-C463</f>
        <v>-336190760.336135</v>
      </c>
      <c r="H463" s="7" t="str">
        <f aca="false">IF(F463&gt;=0,A463,"")</f>
        <v/>
      </c>
      <c r="I463" s="7" t="n">
        <f aca="false">IF(F463&lt;0,A463,0)</f>
        <v>458</v>
      </c>
      <c r="J463" s="7" t="str">
        <f aca="false">IF(G463&gt;=0,A463,"")</f>
        <v/>
      </c>
      <c r="K463" s="7" t="n">
        <f aca="false">IF(G463&lt;0,A463,0)</f>
        <v>458</v>
      </c>
    </row>
    <row r="464" customFormat="false" ht="15" hidden="false" customHeight="false" outlineLevel="0" collapsed="false">
      <c r="A464" s="7" t="n">
        <f aca="false">A463+1</f>
        <v>459</v>
      </c>
      <c r="B464" s="7" t="n">
        <f aca="false">MAX('Giả định'!$B$9,ROUNDUP(A464/'Giả định'!$B$7,0)+'Giả định'!$B$8)</f>
        <v>47</v>
      </c>
      <c r="C464" s="25" t="n">
        <f aca="false">('Chi phí'!$C$76+'Chi phí'!$D$76*B464+'Chi phí'!$E$76*A464+'Giả định'!$B$15*('Chi phí'!$F$76+'Chi phí'!$G$76*B464+'Chi phí'!$H$76*A464))*(1+'Giả định'!$B$16)</f>
        <v>506726660</v>
      </c>
      <c r="D464" s="25" t="n">
        <f aca="false">('Chi phí'!$C$77+'Chi phí'!$D$77*B464+'Chi phí'!$E$77*A464+'Giả định'!$B$15*('Chi phí'!$F$77+'Chi phí'!$G$77*B464+'Chi phí'!$H$77*A464))*(1+'Giả định'!$B$16)</f>
        <v>650331660</v>
      </c>
      <c r="E464" s="25" t="n">
        <f aca="false">A464/'Giả định'!$B$19*'Giả định'!$B$20+A464*'Giả định'!$B$23+'Giả định'!$B$24</f>
        <v>170871428.571429</v>
      </c>
      <c r="F464" s="25" t="n">
        <f aca="false">E464-D464</f>
        <v>-479460231.428571</v>
      </c>
      <c r="G464" s="25" t="n">
        <f aca="false">E464-C464</f>
        <v>-335855231.428571</v>
      </c>
      <c r="H464" s="7" t="str">
        <f aca="false">IF(F464&gt;=0,A464,"")</f>
        <v/>
      </c>
      <c r="I464" s="7" t="n">
        <f aca="false">IF(F464&lt;0,A464,0)</f>
        <v>459</v>
      </c>
      <c r="J464" s="7" t="str">
        <f aca="false">IF(G464&gt;=0,A464,"")</f>
        <v/>
      </c>
      <c r="K464" s="7" t="n">
        <f aca="false">IF(G464&lt;0,A464,0)</f>
        <v>459</v>
      </c>
    </row>
    <row r="465" customFormat="false" ht="15" hidden="false" customHeight="false" outlineLevel="0" collapsed="false">
      <c r="A465" s="7" t="n">
        <f aca="false">A464+1</f>
        <v>460</v>
      </c>
      <c r="B465" s="7" t="n">
        <f aca="false">MAX('Giả định'!$B$9,ROUNDUP(A465/'Giả định'!$B$7,0)+'Giả định'!$B$8)</f>
        <v>47</v>
      </c>
      <c r="C465" s="25" t="n">
        <f aca="false">('Chi phí'!$C$76+'Chi phí'!$D$76*B465+'Chi phí'!$E$76*A465+'Giả định'!$B$15*('Chi phí'!$F$76+'Chi phí'!$G$76*B465+'Chi phí'!$H$76*A465))*(1+'Giả định'!$B$16)</f>
        <v>506763400</v>
      </c>
      <c r="D465" s="25" t="n">
        <f aca="false">('Chi phí'!$C$77+'Chi phí'!$D$77*B465+'Chi phí'!$E$77*A465+'Giả định'!$B$15*('Chi phí'!$F$77+'Chi phí'!$G$77*B465+'Chi phí'!$H$77*A465))*(1+'Giả định'!$B$16)</f>
        <v>650368400</v>
      </c>
      <c r="E465" s="25" t="n">
        <f aca="false">A465/'Giả định'!$B$19*'Giả định'!$B$20+A465*'Giả định'!$B$23+'Giả định'!$B$24</f>
        <v>171243697.478992</v>
      </c>
      <c r="F465" s="25" t="n">
        <f aca="false">E465-D465</f>
        <v>-479124702.521008</v>
      </c>
      <c r="G465" s="25" t="n">
        <f aca="false">E465-C465</f>
        <v>-335519702.521009</v>
      </c>
      <c r="H465" s="7" t="str">
        <f aca="false">IF(F465&gt;=0,A465,"")</f>
        <v/>
      </c>
      <c r="I465" s="7" t="n">
        <f aca="false">IF(F465&lt;0,A465,0)</f>
        <v>460</v>
      </c>
      <c r="J465" s="7" t="str">
        <f aca="false">IF(G465&gt;=0,A465,"")</f>
        <v/>
      </c>
      <c r="K465" s="7" t="n">
        <f aca="false">IF(G465&lt;0,A465,0)</f>
        <v>460</v>
      </c>
    </row>
    <row r="466" customFormat="false" ht="15" hidden="false" customHeight="false" outlineLevel="0" collapsed="false">
      <c r="A466" s="7" t="n">
        <f aca="false">A465+1</f>
        <v>461</v>
      </c>
      <c r="B466" s="7" t="n">
        <f aca="false">MAX('Giả định'!$B$9,ROUNDUP(A466/'Giả định'!$B$7,0)+'Giả định'!$B$8)</f>
        <v>48</v>
      </c>
      <c r="C466" s="25" t="n">
        <f aca="false">('Chi phí'!$C$76+'Chi phí'!$D$76*B466+'Chi phí'!$E$76*A466+'Giả định'!$B$15*('Chi phí'!$F$76+'Chi phí'!$G$76*B466+'Chi phí'!$H$76*A466))*(1+'Giả định'!$B$16)</f>
        <v>515974140</v>
      </c>
      <c r="D466" s="25" t="n">
        <f aca="false">('Chi phí'!$C$77+'Chi phí'!$D$77*B466+'Chi phí'!$E$77*A466+'Giả định'!$B$15*('Chi phí'!$F$77+'Chi phí'!$G$77*B466+'Chi phí'!$H$77*A466))*(1+'Giả định'!$B$16)</f>
        <v>659579140</v>
      </c>
      <c r="E466" s="25" t="n">
        <f aca="false">A466/'Giả định'!$B$19*'Giả định'!$B$20+A466*'Giả định'!$B$23+'Giả định'!$B$24</f>
        <v>171615966.386555</v>
      </c>
      <c r="F466" s="25" t="n">
        <f aca="false">E466-D466</f>
        <v>-487963173.613445</v>
      </c>
      <c r="G466" s="25" t="n">
        <f aca="false">E466-C466</f>
        <v>-344358173.613445</v>
      </c>
      <c r="H466" s="7" t="str">
        <f aca="false">IF(F466&gt;=0,A466,"")</f>
        <v/>
      </c>
      <c r="I466" s="7" t="n">
        <f aca="false">IF(F466&lt;0,A466,0)</f>
        <v>461</v>
      </c>
      <c r="J466" s="7" t="str">
        <f aca="false">IF(G466&gt;=0,A466,"")</f>
        <v/>
      </c>
      <c r="K466" s="7" t="n">
        <f aca="false">IF(G466&lt;0,A466,0)</f>
        <v>461</v>
      </c>
    </row>
    <row r="467" customFormat="false" ht="15" hidden="false" customHeight="false" outlineLevel="0" collapsed="false">
      <c r="A467" s="7" t="n">
        <f aca="false">A466+1</f>
        <v>462</v>
      </c>
      <c r="B467" s="7" t="n">
        <f aca="false">MAX('Giả định'!$B$9,ROUNDUP(A467/'Giả định'!$B$7,0)+'Giả định'!$B$8)</f>
        <v>48</v>
      </c>
      <c r="C467" s="25" t="n">
        <f aca="false">('Chi phí'!$C$76+'Chi phí'!$D$76*B467+'Chi phí'!$E$76*A467+'Giả định'!$B$15*('Chi phí'!$F$76+'Chi phí'!$G$76*B467+'Chi phí'!$H$76*A467))*(1+'Giả định'!$B$16)</f>
        <v>516010880</v>
      </c>
      <c r="D467" s="25" t="n">
        <f aca="false">('Chi phí'!$C$77+'Chi phí'!$D$77*B467+'Chi phí'!$E$77*A467+'Giả định'!$B$15*('Chi phí'!$F$77+'Chi phí'!$G$77*B467+'Chi phí'!$H$77*A467))*(1+'Giả định'!$B$16)</f>
        <v>659615880</v>
      </c>
      <c r="E467" s="25" t="n">
        <f aca="false">A467/'Giả định'!$B$19*'Giả định'!$B$20+A467*'Giả định'!$B$23+'Giả định'!$B$24</f>
        <v>171988235.294118</v>
      </c>
      <c r="F467" s="25" t="n">
        <f aca="false">E467-D467</f>
        <v>-487627644.705882</v>
      </c>
      <c r="G467" s="25" t="n">
        <f aca="false">E467-C467</f>
        <v>-344022644.705882</v>
      </c>
      <c r="H467" s="7" t="str">
        <f aca="false">IF(F467&gt;=0,A467,"")</f>
        <v/>
      </c>
      <c r="I467" s="7" t="n">
        <f aca="false">IF(F467&lt;0,A467,0)</f>
        <v>462</v>
      </c>
      <c r="J467" s="7" t="str">
        <f aca="false">IF(G467&gt;=0,A467,"")</f>
        <v/>
      </c>
      <c r="K467" s="7" t="n">
        <f aca="false">IF(G467&lt;0,A467,0)</f>
        <v>462</v>
      </c>
    </row>
    <row r="468" customFormat="false" ht="15" hidden="false" customHeight="false" outlineLevel="0" collapsed="false">
      <c r="A468" s="7" t="n">
        <f aca="false">A467+1</f>
        <v>463</v>
      </c>
      <c r="B468" s="7" t="n">
        <f aca="false">MAX('Giả định'!$B$9,ROUNDUP(A468/'Giả định'!$B$7,0)+'Giả định'!$B$8)</f>
        <v>48</v>
      </c>
      <c r="C468" s="25" t="n">
        <f aca="false">('Chi phí'!$C$76+'Chi phí'!$D$76*B468+'Chi phí'!$E$76*A468+'Giả định'!$B$15*('Chi phí'!$F$76+'Chi phí'!$G$76*B468+'Chi phí'!$H$76*A468))*(1+'Giả định'!$B$16)</f>
        <v>516047620</v>
      </c>
      <c r="D468" s="25" t="n">
        <f aca="false">('Chi phí'!$C$77+'Chi phí'!$D$77*B468+'Chi phí'!$E$77*A468+'Giả định'!$B$15*('Chi phí'!$F$77+'Chi phí'!$G$77*B468+'Chi phí'!$H$77*A468))*(1+'Giả định'!$B$16)</f>
        <v>659652620</v>
      </c>
      <c r="E468" s="25" t="n">
        <f aca="false">A468/'Giả định'!$B$19*'Giả định'!$B$20+A468*'Giả định'!$B$23+'Giả định'!$B$24</f>
        <v>172360504.201681</v>
      </c>
      <c r="F468" s="25" t="n">
        <f aca="false">E468-D468</f>
        <v>-487292115.798319</v>
      </c>
      <c r="G468" s="25" t="n">
        <f aca="false">E468-C468</f>
        <v>-343687115.798319</v>
      </c>
      <c r="H468" s="7" t="str">
        <f aca="false">IF(F468&gt;=0,A468,"")</f>
        <v/>
      </c>
      <c r="I468" s="7" t="n">
        <f aca="false">IF(F468&lt;0,A468,0)</f>
        <v>463</v>
      </c>
      <c r="J468" s="7" t="str">
        <f aca="false">IF(G468&gt;=0,A468,"")</f>
        <v/>
      </c>
      <c r="K468" s="7" t="n">
        <f aca="false">IF(G468&lt;0,A468,0)</f>
        <v>463</v>
      </c>
    </row>
    <row r="469" customFormat="false" ht="15" hidden="false" customHeight="false" outlineLevel="0" collapsed="false">
      <c r="A469" s="7" t="n">
        <f aca="false">A468+1</f>
        <v>464</v>
      </c>
      <c r="B469" s="7" t="n">
        <f aca="false">MAX('Giả định'!$B$9,ROUNDUP(A469/'Giả định'!$B$7,0)+'Giả định'!$B$8)</f>
        <v>48</v>
      </c>
      <c r="C469" s="25" t="n">
        <f aca="false">('Chi phí'!$C$76+'Chi phí'!$D$76*B469+'Chi phí'!$E$76*A469+'Giả định'!$B$15*('Chi phí'!$F$76+'Chi phí'!$G$76*B469+'Chi phí'!$H$76*A469))*(1+'Giả định'!$B$16)</f>
        <v>516084360</v>
      </c>
      <c r="D469" s="25" t="n">
        <f aca="false">('Chi phí'!$C$77+'Chi phí'!$D$77*B469+'Chi phí'!$E$77*A469+'Giả định'!$B$15*('Chi phí'!$F$77+'Chi phí'!$G$77*B469+'Chi phí'!$H$77*A469))*(1+'Giả định'!$B$16)</f>
        <v>659689360</v>
      </c>
      <c r="E469" s="25" t="n">
        <f aca="false">A469/'Giả định'!$B$19*'Giả định'!$B$20+A469*'Giả định'!$B$23+'Giả định'!$B$24</f>
        <v>172732773.109244</v>
      </c>
      <c r="F469" s="25" t="n">
        <f aca="false">E469-D469</f>
        <v>-486956586.890756</v>
      </c>
      <c r="G469" s="25" t="n">
        <f aca="false">E469-C469</f>
        <v>-343351586.890756</v>
      </c>
      <c r="H469" s="7" t="str">
        <f aca="false">IF(F469&gt;=0,A469,"")</f>
        <v/>
      </c>
      <c r="I469" s="7" t="n">
        <f aca="false">IF(F469&lt;0,A469,0)</f>
        <v>464</v>
      </c>
      <c r="J469" s="7" t="str">
        <f aca="false">IF(G469&gt;=0,A469,"")</f>
        <v/>
      </c>
      <c r="K469" s="7" t="n">
        <f aca="false">IF(G469&lt;0,A469,0)</f>
        <v>464</v>
      </c>
    </row>
    <row r="470" customFormat="false" ht="15" hidden="false" customHeight="false" outlineLevel="0" collapsed="false">
      <c r="A470" s="7" t="n">
        <f aca="false">A469+1</f>
        <v>465</v>
      </c>
      <c r="B470" s="7" t="n">
        <f aca="false">MAX('Giả định'!$B$9,ROUNDUP(A470/'Giả định'!$B$7,0)+'Giả định'!$B$8)</f>
        <v>48</v>
      </c>
      <c r="C470" s="25" t="n">
        <f aca="false">('Chi phí'!$C$76+'Chi phí'!$D$76*B470+'Chi phí'!$E$76*A470+'Giả định'!$B$15*('Chi phí'!$F$76+'Chi phí'!$G$76*B470+'Chi phí'!$H$76*A470))*(1+'Giả định'!$B$16)</f>
        <v>516121100</v>
      </c>
      <c r="D470" s="25" t="n">
        <f aca="false">('Chi phí'!$C$77+'Chi phí'!$D$77*B470+'Chi phí'!$E$77*A470+'Giả định'!$B$15*('Chi phí'!$F$77+'Chi phí'!$G$77*B470+'Chi phí'!$H$77*A470))*(1+'Giả định'!$B$16)</f>
        <v>659726100</v>
      </c>
      <c r="E470" s="25" t="n">
        <f aca="false">A470/'Giả định'!$B$19*'Giả định'!$B$20+A470*'Giả định'!$B$23+'Giả định'!$B$24</f>
        <v>173105042.016807</v>
      </c>
      <c r="F470" s="25" t="n">
        <f aca="false">E470-D470</f>
        <v>-486621057.983193</v>
      </c>
      <c r="G470" s="25" t="n">
        <f aca="false">E470-C470</f>
        <v>-343016057.983193</v>
      </c>
      <c r="H470" s="7" t="str">
        <f aca="false">IF(F470&gt;=0,A470,"")</f>
        <v/>
      </c>
      <c r="I470" s="7" t="n">
        <f aca="false">IF(F470&lt;0,A470,0)</f>
        <v>465</v>
      </c>
      <c r="J470" s="7" t="str">
        <f aca="false">IF(G470&gt;=0,A470,"")</f>
        <v/>
      </c>
      <c r="K470" s="7" t="n">
        <f aca="false">IF(G470&lt;0,A470,0)</f>
        <v>465</v>
      </c>
    </row>
    <row r="471" customFormat="false" ht="15" hidden="false" customHeight="false" outlineLevel="0" collapsed="false">
      <c r="A471" s="7" t="n">
        <f aca="false">A470+1</f>
        <v>466</v>
      </c>
      <c r="B471" s="7" t="n">
        <f aca="false">MAX('Giả định'!$B$9,ROUNDUP(A471/'Giả định'!$B$7,0)+'Giả định'!$B$8)</f>
        <v>48</v>
      </c>
      <c r="C471" s="25" t="n">
        <f aca="false">('Chi phí'!$C$76+'Chi phí'!$D$76*B471+'Chi phí'!$E$76*A471+'Giả định'!$B$15*('Chi phí'!$F$76+'Chi phí'!$G$76*B471+'Chi phí'!$H$76*A471))*(1+'Giả định'!$B$16)</f>
        <v>516157840</v>
      </c>
      <c r="D471" s="25" t="n">
        <f aca="false">('Chi phí'!$C$77+'Chi phí'!$D$77*B471+'Chi phí'!$E$77*A471+'Giả định'!$B$15*('Chi phí'!$F$77+'Chi phí'!$G$77*B471+'Chi phí'!$H$77*A471))*(1+'Giả định'!$B$16)</f>
        <v>659762840</v>
      </c>
      <c r="E471" s="25" t="n">
        <f aca="false">A471/'Giả định'!$B$19*'Giả định'!$B$20+A471*'Giả định'!$B$23+'Giả định'!$B$24</f>
        <v>173477310.92437</v>
      </c>
      <c r="F471" s="25" t="n">
        <f aca="false">E471-D471</f>
        <v>-486285529.07563</v>
      </c>
      <c r="G471" s="25" t="n">
        <f aca="false">E471-C471</f>
        <v>-342680529.07563</v>
      </c>
      <c r="H471" s="7" t="str">
        <f aca="false">IF(F471&gt;=0,A471,"")</f>
        <v/>
      </c>
      <c r="I471" s="7" t="n">
        <f aca="false">IF(F471&lt;0,A471,0)</f>
        <v>466</v>
      </c>
      <c r="J471" s="7" t="str">
        <f aca="false">IF(G471&gt;=0,A471,"")</f>
        <v/>
      </c>
      <c r="K471" s="7" t="n">
        <f aca="false">IF(G471&lt;0,A471,0)</f>
        <v>466</v>
      </c>
    </row>
    <row r="472" customFormat="false" ht="15" hidden="false" customHeight="false" outlineLevel="0" collapsed="false">
      <c r="A472" s="7" t="n">
        <f aca="false">A471+1</f>
        <v>467</v>
      </c>
      <c r="B472" s="7" t="n">
        <f aca="false">MAX('Giả định'!$B$9,ROUNDUP(A472/'Giả định'!$B$7,0)+'Giả định'!$B$8)</f>
        <v>48</v>
      </c>
      <c r="C472" s="25" t="n">
        <f aca="false">('Chi phí'!$C$76+'Chi phí'!$D$76*B472+'Chi phí'!$E$76*A472+'Giả định'!$B$15*('Chi phí'!$F$76+'Chi phí'!$G$76*B472+'Chi phí'!$H$76*A472))*(1+'Giả định'!$B$16)</f>
        <v>516194580</v>
      </c>
      <c r="D472" s="25" t="n">
        <f aca="false">('Chi phí'!$C$77+'Chi phí'!$D$77*B472+'Chi phí'!$E$77*A472+'Giả định'!$B$15*('Chi phí'!$F$77+'Chi phí'!$G$77*B472+'Chi phí'!$H$77*A472))*(1+'Giả định'!$B$16)</f>
        <v>659799580</v>
      </c>
      <c r="E472" s="25" t="n">
        <f aca="false">A472/'Giả định'!$B$19*'Giả định'!$B$20+A472*'Giả định'!$B$23+'Giả định'!$B$24</f>
        <v>173849579.831933</v>
      </c>
      <c r="F472" s="25" t="n">
        <f aca="false">E472-D472</f>
        <v>-485950000.168067</v>
      </c>
      <c r="G472" s="25" t="n">
        <f aca="false">E472-C472</f>
        <v>-342345000.168067</v>
      </c>
      <c r="H472" s="7" t="str">
        <f aca="false">IF(F472&gt;=0,A472,"")</f>
        <v/>
      </c>
      <c r="I472" s="7" t="n">
        <f aca="false">IF(F472&lt;0,A472,0)</f>
        <v>467</v>
      </c>
      <c r="J472" s="7" t="str">
        <f aca="false">IF(G472&gt;=0,A472,"")</f>
        <v/>
      </c>
      <c r="K472" s="7" t="n">
        <f aca="false">IF(G472&lt;0,A472,0)</f>
        <v>467</v>
      </c>
    </row>
    <row r="473" customFormat="false" ht="15" hidden="false" customHeight="false" outlineLevel="0" collapsed="false">
      <c r="A473" s="7" t="n">
        <f aca="false">A472+1</f>
        <v>468</v>
      </c>
      <c r="B473" s="7" t="n">
        <f aca="false">MAX('Giả định'!$B$9,ROUNDUP(A473/'Giả định'!$B$7,0)+'Giả định'!$B$8)</f>
        <v>48</v>
      </c>
      <c r="C473" s="25" t="n">
        <f aca="false">('Chi phí'!$C$76+'Chi phí'!$D$76*B473+'Chi phí'!$E$76*A473+'Giả định'!$B$15*('Chi phí'!$F$76+'Chi phí'!$G$76*B473+'Chi phí'!$H$76*A473))*(1+'Giả định'!$B$16)</f>
        <v>516231320</v>
      </c>
      <c r="D473" s="25" t="n">
        <f aca="false">('Chi phí'!$C$77+'Chi phí'!$D$77*B473+'Chi phí'!$E$77*A473+'Giả định'!$B$15*('Chi phí'!$F$77+'Chi phí'!$G$77*B473+'Chi phí'!$H$77*A473))*(1+'Giả định'!$B$16)</f>
        <v>659836320</v>
      </c>
      <c r="E473" s="25" t="n">
        <f aca="false">A473/'Giả định'!$B$19*'Giả định'!$B$20+A473*'Giả định'!$B$23+'Giả định'!$B$24</f>
        <v>174221848.739496</v>
      </c>
      <c r="F473" s="25" t="n">
        <f aca="false">E473-D473</f>
        <v>-485614471.260504</v>
      </c>
      <c r="G473" s="25" t="n">
        <f aca="false">E473-C473</f>
        <v>-342009471.260504</v>
      </c>
      <c r="H473" s="7" t="str">
        <f aca="false">IF(F473&gt;=0,A473,"")</f>
        <v/>
      </c>
      <c r="I473" s="7" t="n">
        <f aca="false">IF(F473&lt;0,A473,0)</f>
        <v>468</v>
      </c>
      <c r="J473" s="7" t="str">
        <f aca="false">IF(G473&gt;=0,A473,"")</f>
        <v/>
      </c>
      <c r="K473" s="7" t="n">
        <f aca="false">IF(G473&lt;0,A473,0)</f>
        <v>468</v>
      </c>
    </row>
    <row r="474" customFormat="false" ht="15" hidden="false" customHeight="false" outlineLevel="0" collapsed="false">
      <c r="A474" s="7" t="n">
        <f aca="false">A473+1</f>
        <v>469</v>
      </c>
      <c r="B474" s="7" t="n">
        <f aca="false">MAX('Giả định'!$B$9,ROUNDUP(A474/'Giả định'!$B$7,0)+'Giả định'!$B$8)</f>
        <v>48</v>
      </c>
      <c r="C474" s="25" t="n">
        <f aca="false">('Chi phí'!$C$76+'Chi phí'!$D$76*B474+'Chi phí'!$E$76*A474+'Giả định'!$B$15*('Chi phí'!$F$76+'Chi phí'!$G$76*B474+'Chi phí'!$H$76*A474))*(1+'Giả định'!$B$16)</f>
        <v>516268060</v>
      </c>
      <c r="D474" s="25" t="n">
        <f aca="false">('Chi phí'!$C$77+'Chi phí'!$D$77*B474+'Chi phí'!$E$77*A474+'Giả định'!$B$15*('Chi phí'!$F$77+'Chi phí'!$G$77*B474+'Chi phí'!$H$77*A474))*(1+'Giả định'!$B$16)</f>
        <v>659873060</v>
      </c>
      <c r="E474" s="25" t="n">
        <f aca="false">A474/'Giả định'!$B$19*'Giả định'!$B$20+A474*'Giả định'!$B$23+'Giả định'!$B$24</f>
        <v>174594117.647059</v>
      </c>
      <c r="F474" s="25" t="n">
        <f aca="false">E474-D474</f>
        <v>-485278942.352941</v>
      </c>
      <c r="G474" s="25" t="n">
        <f aca="false">E474-C474</f>
        <v>-341673942.352941</v>
      </c>
      <c r="H474" s="7" t="str">
        <f aca="false">IF(F474&gt;=0,A474,"")</f>
        <v/>
      </c>
      <c r="I474" s="7" t="n">
        <f aca="false">IF(F474&lt;0,A474,0)</f>
        <v>469</v>
      </c>
      <c r="J474" s="7" t="str">
        <f aca="false">IF(G474&gt;=0,A474,"")</f>
        <v/>
      </c>
      <c r="K474" s="7" t="n">
        <f aca="false">IF(G474&lt;0,A474,0)</f>
        <v>469</v>
      </c>
    </row>
    <row r="475" customFormat="false" ht="15" hidden="false" customHeight="false" outlineLevel="0" collapsed="false">
      <c r="A475" s="7" t="n">
        <f aca="false">A474+1</f>
        <v>470</v>
      </c>
      <c r="B475" s="7" t="n">
        <f aca="false">MAX('Giả định'!$B$9,ROUNDUP(A475/'Giả định'!$B$7,0)+'Giả định'!$B$8)</f>
        <v>48</v>
      </c>
      <c r="C475" s="25" t="n">
        <f aca="false">('Chi phí'!$C$76+'Chi phí'!$D$76*B475+'Chi phí'!$E$76*A475+'Giả định'!$B$15*('Chi phí'!$F$76+'Chi phí'!$G$76*B475+'Chi phí'!$H$76*A475))*(1+'Giả định'!$B$16)</f>
        <v>516304800</v>
      </c>
      <c r="D475" s="25" t="n">
        <f aca="false">('Chi phí'!$C$77+'Chi phí'!$D$77*B475+'Chi phí'!$E$77*A475+'Giả định'!$B$15*('Chi phí'!$F$77+'Chi phí'!$G$77*B475+'Chi phí'!$H$77*A475))*(1+'Giả định'!$B$16)</f>
        <v>659909800</v>
      </c>
      <c r="E475" s="25" t="n">
        <f aca="false">A475/'Giả định'!$B$19*'Giả định'!$B$20+A475*'Giả định'!$B$23+'Giả định'!$B$24</f>
        <v>174966386.554622</v>
      </c>
      <c r="F475" s="25" t="n">
        <f aca="false">E475-D475</f>
        <v>-484943413.445378</v>
      </c>
      <c r="G475" s="25" t="n">
        <f aca="false">E475-C475</f>
        <v>-341338413.445378</v>
      </c>
      <c r="H475" s="7" t="str">
        <f aca="false">IF(F475&gt;=0,A475,"")</f>
        <v/>
      </c>
      <c r="I475" s="7" t="n">
        <f aca="false">IF(F475&lt;0,A475,0)</f>
        <v>470</v>
      </c>
      <c r="J475" s="7" t="str">
        <f aca="false">IF(G475&gt;=0,A475,"")</f>
        <v/>
      </c>
      <c r="K475" s="7" t="n">
        <f aca="false">IF(G475&lt;0,A475,0)</f>
        <v>470</v>
      </c>
    </row>
    <row r="476" customFormat="false" ht="15" hidden="false" customHeight="false" outlineLevel="0" collapsed="false">
      <c r="A476" s="7" t="n">
        <f aca="false">A475+1</f>
        <v>471</v>
      </c>
      <c r="B476" s="7" t="n">
        <f aca="false">MAX('Giả định'!$B$9,ROUNDUP(A476/'Giả định'!$B$7,0)+'Giả định'!$B$8)</f>
        <v>49</v>
      </c>
      <c r="C476" s="25" t="n">
        <f aca="false">('Chi phí'!$C$76+'Chi phí'!$D$76*B476+'Chi phí'!$E$76*A476+'Giả định'!$B$15*('Chi phí'!$F$76+'Chi phí'!$G$76*B476+'Chi phí'!$H$76*A476))*(1+'Giả định'!$B$16)</f>
        <v>525515540</v>
      </c>
      <c r="D476" s="25" t="n">
        <f aca="false">('Chi phí'!$C$77+'Chi phí'!$D$77*B476+'Chi phí'!$E$77*A476+'Giả định'!$B$15*('Chi phí'!$F$77+'Chi phí'!$G$77*B476+'Chi phí'!$H$77*A476))*(1+'Giả định'!$B$16)</f>
        <v>669120540</v>
      </c>
      <c r="E476" s="25" t="n">
        <f aca="false">A476/'Giả định'!$B$19*'Giả định'!$B$20+A476*'Giả định'!$B$23+'Giả định'!$B$24</f>
        <v>175338655.462185</v>
      </c>
      <c r="F476" s="25" t="n">
        <f aca="false">E476-D476</f>
        <v>-493781884.537815</v>
      </c>
      <c r="G476" s="25" t="n">
        <f aca="false">E476-C476</f>
        <v>-350176884.537815</v>
      </c>
      <c r="H476" s="7" t="str">
        <f aca="false">IF(F476&gt;=0,A476,"")</f>
        <v/>
      </c>
      <c r="I476" s="7" t="n">
        <f aca="false">IF(F476&lt;0,A476,0)</f>
        <v>471</v>
      </c>
      <c r="J476" s="7" t="str">
        <f aca="false">IF(G476&gt;=0,A476,"")</f>
        <v/>
      </c>
      <c r="K476" s="7" t="n">
        <f aca="false">IF(G476&lt;0,A476,0)</f>
        <v>471</v>
      </c>
    </row>
    <row r="477" customFormat="false" ht="15" hidden="false" customHeight="false" outlineLevel="0" collapsed="false">
      <c r="A477" s="7" t="n">
        <f aca="false">A476+1</f>
        <v>472</v>
      </c>
      <c r="B477" s="7" t="n">
        <f aca="false">MAX('Giả định'!$B$9,ROUNDUP(A477/'Giả định'!$B$7,0)+'Giả định'!$B$8)</f>
        <v>49</v>
      </c>
      <c r="C477" s="25" t="n">
        <f aca="false">('Chi phí'!$C$76+'Chi phí'!$D$76*B477+'Chi phí'!$E$76*A477+'Giả định'!$B$15*('Chi phí'!$F$76+'Chi phí'!$G$76*B477+'Chi phí'!$H$76*A477))*(1+'Giả định'!$B$16)</f>
        <v>525552280</v>
      </c>
      <c r="D477" s="25" t="n">
        <f aca="false">('Chi phí'!$C$77+'Chi phí'!$D$77*B477+'Chi phí'!$E$77*A477+'Giả định'!$B$15*('Chi phí'!$F$77+'Chi phí'!$G$77*B477+'Chi phí'!$H$77*A477))*(1+'Giả định'!$B$16)</f>
        <v>669157280</v>
      </c>
      <c r="E477" s="25" t="n">
        <f aca="false">A477/'Giả định'!$B$19*'Giả định'!$B$20+A477*'Giả định'!$B$23+'Giả định'!$B$24</f>
        <v>175710924.369748</v>
      </c>
      <c r="F477" s="25" t="n">
        <f aca="false">E477-D477</f>
        <v>-493446355.630252</v>
      </c>
      <c r="G477" s="25" t="n">
        <f aca="false">E477-C477</f>
        <v>-349841355.630252</v>
      </c>
      <c r="H477" s="7" t="str">
        <f aca="false">IF(F477&gt;=0,A477,"")</f>
        <v/>
      </c>
      <c r="I477" s="7" t="n">
        <f aca="false">IF(F477&lt;0,A477,0)</f>
        <v>472</v>
      </c>
      <c r="J477" s="7" t="str">
        <f aca="false">IF(G477&gt;=0,A477,"")</f>
        <v/>
      </c>
      <c r="K477" s="7" t="n">
        <f aca="false">IF(G477&lt;0,A477,0)</f>
        <v>472</v>
      </c>
    </row>
    <row r="478" customFormat="false" ht="15" hidden="false" customHeight="false" outlineLevel="0" collapsed="false">
      <c r="A478" s="7" t="n">
        <f aca="false">A477+1</f>
        <v>473</v>
      </c>
      <c r="B478" s="7" t="n">
        <f aca="false">MAX('Giả định'!$B$9,ROUNDUP(A478/'Giả định'!$B$7,0)+'Giả định'!$B$8)</f>
        <v>49</v>
      </c>
      <c r="C478" s="25" t="n">
        <f aca="false">('Chi phí'!$C$76+'Chi phí'!$D$76*B478+'Chi phí'!$E$76*A478+'Giả định'!$B$15*('Chi phí'!$F$76+'Chi phí'!$G$76*B478+'Chi phí'!$H$76*A478))*(1+'Giả định'!$B$16)</f>
        <v>525589020</v>
      </c>
      <c r="D478" s="25" t="n">
        <f aca="false">('Chi phí'!$C$77+'Chi phí'!$D$77*B478+'Chi phí'!$E$77*A478+'Giả định'!$B$15*('Chi phí'!$F$77+'Chi phí'!$G$77*B478+'Chi phí'!$H$77*A478))*(1+'Giả định'!$B$16)</f>
        <v>669194020</v>
      </c>
      <c r="E478" s="25" t="n">
        <f aca="false">A478/'Giả định'!$B$19*'Giả định'!$B$20+A478*'Giả định'!$B$23+'Giả định'!$B$24</f>
        <v>176083193.277311</v>
      </c>
      <c r="F478" s="25" t="n">
        <f aca="false">E478-D478</f>
        <v>-493110826.722689</v>
      </c>
      <c r="G478" s="25" t="n">
        <f aca="false">E478-C478</f>
        <v>-349505826.722689</v>
      </c>
      <c r="H478" s="7" t="str">
        <f aca="false">IF(F478&gt;=0,A478,"")</f>
        <v/>
      </c>
      <c r="I478" s="7" t="n">
        <f aca="false">IF(F478&lt;0,A478,0)</f>
        <v>473</v>
      </c>
      <c r="J478" s="7" t="str">
        <f aca="false">IF(G478&gt;=0,A478,"")</f>
        <v/>
      </c>
      <c r="K478" s="7" t="n">
        <f aca="false">IF(G478&lt;0,A478,0)</f>
        <v>473</v>
      </c>
    </row>
    <row r="479" customFormat="false" ht="15" hidden="false" customHeight="false" outlineLevel="0" collapsed="false">
      <c r="A479" s="7" t="n">
        <f aca="false">A478+1</f>
        <v>474</v>
      </c>
      <c r="B479" s="7" t="n">
        <f aca="false">MAX('Giả định'!$B$9,ROUNDUP(A479/'Giả định'!$B$7,0)+'Giả định'!$B$8)</f>
        <v>49</v>
      </c>
      <c r="C479" s="25" t="n">
        <f aca="false">('Chi phí'!$C$76+'Chi phí'!$D$76*B479+'Chi phí'!$E$76*A479+'Giả định'!$B$15*('Chi phí'!$F$76+'Chi phí'!$G$76*B479+'Chi phí'!$H$76*A479))*(1+'Giả định'!$B$16)</f>
        <v>525625760</v>
      </c>
      <c r="D479" s="25" t="n">
        <f aca="false">('Chi phí'!$C$77+'Chi phí'!$D$77*B479+'Chi phí'!$E$77*A479+'Giả định'!$B$15*('Chi phí'!$F$77+'Chi phí'!$G$77*B479+'Chi phí'!$H$77*A479))*(1+'Giả định'!$B$16)</f>
        <v>669230760</v>
      </c>
      <c r="E479" s="25" t="n">
        <f aca="false">A479/'Giả định'!$B$19*'Giả định'!$B$20+A479*'Giả định'!$B$23+'Giả định'!$B$24</f>
        <v>176455462.184874</v>
      </c>
      <c r="F479" s="25" t="n">
        <f aca="false">E479-D479</f>
        <v>-492775297.815126</v>
      </c>
      <c r="G479" s="25" t="n">
        <f aca="false">E479-C479</f>
        <v>-349170297.815126</v>
      </c>
      <c r="H479" s="7" t="str">
        <f aca="false">IF(F479&gt;=0,A479,"")</f>
        <v/>
      </c>
      <c r="I479" s="7" t="n">
        <f aca="false">IF(F479&lt;0,A479,0)</f>
        <v>474</v>
      </c>
      <c r="J479" s="7" t="str">
        <f aca="false">IF(G479&gt;=0,A479,"")</f>
        <v/>
      </c>
      <c r="K479" s="7" t="n">
        <f aca="false">IF(G479&lt;0,A479,0)</f>
        <v>474</v>
      </c>
    </row>
    <row r="480" customFormat="false" ht="15" hidden="false" customHeight="false" outlineLevel="0" collapsed="false">
      <c r="A480" s="7" t="n">
        <f aca="false">A479+1</f>
        <v>475</v>
      </c>
      <c r="B480" s="7" t="n">
        <f aca="false">MAX('Giả định'!$B$9,ROUNDUP(A480/'Giả định'!$B$7,0)+'Giả định'!$B$8)</f>
        <v>49</v>
      </c>
      <c r="C480" s="25" t="n">
        <f aca="false">('Chi phí'!$C$76+'Chi phí'!$D$76*B480+'Chi phí'!$E$76*A480+'Giả định'!$B$15*('Chi phí'!$F$76+'Chi phí'!$G$76*B480+'Chi phí'!$H$76*A480))*(1+'Giả định'!$B$16)</f>
        <v>525662500</v>
      </c>
      <c r="D480" s="25" t="n">
        <f aca="false">('Chi phí'!$C$77+'Chi phí'!$D$77*B480+'Chi phí'!$E$77*A480+'Giả định'!$B$15*('Chi phí'!$F$77+'Chi phí'!$G$77*B480+'Chi phí'!$H$77*A480))*(1+'Giả định'!$B$16)</f>
        <v>669267500</v>
      </c>
      <c r="E480" s="25" t="n">
        <f aca="false">A480/'Giả định'!$B$19*'Giả định'!$B$20+A480*'Giả định'!$B$23+'Giả định'!$B$24</f>
        <v>176827731.092437</v>
      </c>
      <c r="F480" s="25" t="n">
        <f aca="false">E480-D480</f>
        <v>-492439768.907563</v>
      </c>
      <c r="G480" s="25" t="n">
        <f aca="false">E480-C480</f>
        <v>-348834768.907563</v>
      </c>
      <c r="H480" s="7" t="str">
        <f aca="false">IF(F480&gt;=0,A480,"")</f>
        <v/>
      </c>
      <c r="I480" s="7" t="n">
        <f aca="false">IF(F480&lt;0,A480,0)</f>
        <v>475</v>
      </c>
      <c r="J480" s="7" t="str">
        <f aca="false">IF(G480&gt;=0,A480,"")</f>
        <v/>
      </c>
      <c r="K480" s="7" t="n">
        <f aca="false">IF(G480&lt;0,A480,0)</f>
        <v>475</v>
      </c>
    </row>
    <row r="481" customFormat="false" ht="15" hidden="false" customHeight="false" outlineLevel="0" collapsed="false">
      <c r="A481" s="7" t="n">
        <f aca="false">A480+1</f>
        <v>476</v>
      </c>
      <c r="B481" s="7" t="n">
        <f aca="false">MAX('Giả định'!$B$9,ROUNDUP(A481/'Giả định'!$B$7,0)+'Giả định'!$B$8)</f>
        <v>49</v>
      </c>
      <c r="C481" s="25" t="n">
        <f aca="false">('Chi phí'!$C$76+'Chi phí'!$D$76*B481+'Chi phí'!$E$76*A481+'Giả định'!$B$15*('Chi phí'!$F$76+'Chi phí'!$G$76*B481+'Chi phí'!$H$76*A481))*(1+'Giả định'!$B$16)</f>
        <v>525699240</v>
      </c>
      <c r="D481" s="25" t="n">
        <f aca="false">('Chi phí'!$C$77+'Chi phí'!$D$77*B481+'Chi phí'!$E$77*A481+'Giả định'!$B$15*('Chi phí'!$F$77+'Chi phí'!$G$77*B481+'Chi phí'!$H$77*A481))*(1+'Giả định'!$B$16)</f>
        <v>669304240</v>
      </c>
      <c r="E481" s="25" t="n">
        <f aca="false">A481/'Giả định'!$B$19*'Giả định'!$B$20+A481*'Giả định'!$B$23+'Giả định'!$B$24</f>
        <v>177200000</v>
      </c>
      <c r="F481" s="25" t="n">
        <f aca="false">E481-D481</f>
        <v>-492104240</v>
      </c>
      <c r="G481" s="25" t="n">
        <f aca="false">E481-C481</f>
        <v>-348499240</v>
      </c>
      <c r="H481" s="7" t="str">
        <f aca="false">IF(F481&gt;=0,A481,"")</f>
        <v/>
      </c>
      <c r="I481" s="7" t="n">
        <f aca="false">IF(F481&lt;0,A481,0)</f>
        <v>476</v>
      </c>
      <c r="J481" s="7" t="str">
        <f aca="false">IF(G481&gt;=0,A481,"")</f>
        <v/>
      </c>
      <c r="K481" s="7" t="n">
        <f aca="false">IF(G481&lt;0,A481,0)</f>
        <v>476</v>
      </c>
    </row>
    <row r="482" customFormat="false" ht="15" hidden="false" customHeight="false" outlineLevel="0" collapsed="false">
      <c r="A482" s="7" t="n">
        <f aca="false">A481+1</f>
        <v>477</v>
      </c>
      <c r="B482" s="7" t="n">
        <f aca="false">MAX('Giả định'!$B$9,ROUNDUP(A482/'Giả định'!$B$7,0)+'Giả định'!$B$8)</f>
        <v>49</v>
      </c>
      <c r="C482" s="25" t="n">
        <f aca="false">('Chi phí'!$C$76+'Chi phí'!$D$76*B482+'Chi phí'!$E$76*A482+'Giả định'!$B$15*('Chi phí'!$F$76+'Chi phí'!$G$76*B482+'Chi phí'!$H$76*A482))*(1+'Giả định'!$B$16)</f>
        <v>525735980</v>
      </c>
      <c r="D482" s="25" t="n">
        <f aca="false">('Chi phí'!$C$77+'Chi phí'!$D$77*B482+'Chi phí'!$E$77*A482+'Giả định'!$B$15*('Chi phí'!$F$77+'Chi phí'!$G$77*B482+'Chi phí'!$H$77*A482))*(1+'Giả định'!$B$16)</f>
        <v>669340980</v>
      </c>
      <c r="E482" s="25" t="n">
        <f aca="false">A482/'Giả định'!$B$19*'Giả định'!$B$20+A482*'Giả định'!$B$23+'Giả định'!$B$24</f>
        <v>177572268.907563</v>
      </c>
      <c r="F482" s="25" t="n">
        <f aca="false">E482-D482</f>
        <v>-491768711.092437</v>
      </c>
      <c r="G482" s="25" t="n">
        <f aca="false">E482-C482</f>
        <v>-348163711.092437</v>
      </c>
      <c r="H482" s="7" t="str">
        <f aca="false">IF(F482&gt;=0,A482,"")</f>
        <v/>
      </c>
      <c r="I482" s="7" t="n">
        <f aca="false">IF(F482&lt;0,A482,0)</f>
        <v>477</v>
      </c>
      <c r="J482" s="7" t="str">
        <f aca="false">IF(G482&gt;=0,A482,"")</f>
        <v/>
      </c>
      <c r="K482" s="7" t="n">
        <f aca="false">IF(G482&lt;0,A482,0)</f>
        <v>477</v>
      </c>
    </row>
    <row r="483" customFormat="false" ht="15" hidden="false" customHeight="false" outlineLevel="0" collapsed="false">
      <c r="A483" s="7" t="n">
        <f aca="false">A482+1</f>
        <v>478</v>
      </c>
      <c r="B483" s="7" t="n">
        <f aca="false">MAX('Giả định'!$B$9,ROUNDUP(A483/'Giả định'!$B$7,0)+'Giả định'!$B$8)</f>
        <v>49</v>
      </c>
      <c r="C483" s="25" t="n">
        <f aca="false">('Chi phí'!$C$76+'Chi phí'!$D$76*B483+'Chi phí'!$E$76*A483+'Giả định'!$B$15*('Chi phí'!$F$76+'Chi phí'!$G$76*B483+'Chi phí'!$H$76*A483))*(1+'Giả định'!$B$16)</f>
        <v>525772720</v>
      </c>
      <c r="D483" s="25" t="n">
        <f aca="false">('Chi phí'!$C$77+'Chi phí'!$D$77*B483+'Chi phí'!$E$77*A483+'Giả định'!$B$15*('Chi phí'!$F$77+'Chi phí'!$G$77*B483+'Chi phí'!$H$77*A483))*(1+'Giả định'!$B$16)</f>
        <v>669377720</v>
      </c>
      <c r="E483" s="25" t="n">
        <f aca="false">A483/'Giả định'!$B$19*'Giả định'!$B$20+A483*'Giả định'!$B$23+'Giả định'!$B$24</f>
        <v>177944537.815126</v>
      </c>
      <c r="F483" s="25" t="n">
        <f aca="false">E483-D483</f>
        <v>-491433182.184874</v>
      </c>
      <c r="G483" s="25" t="n">
        <f aca="false">E483-C483</f>
        <v>-347828182.184874</v>
      </c>
      <c r="H483" s="7" t="str">
        <f aca="false">IF(F483&gt;=0,A483,"")</f>
        <v/>
      </c>
      <c r="I483" s="7" t="n">
        <f aca="false">IF(F483&lt;0,A483,0)</f>
        <v>478</v>
      </c>
      <c r="J483" s="7" t="str">
        <f aca="false">IF(G483&gt;=0,A483,"")</f>
        <v/>
      </c>
      <c r="K483" s="7" t="n">
        <f aca="false">IF(G483&lt;0,A483,0)</f>
        <v>478</v>
      </c>
    </row>
    <row r="484" customFormat="false" ht="15" hidden="false" customHeight="false" outlineLevel="0" collapsed="false">
      <c r="A484" s="7" t="n">
        <f aca="false">A483+1</f>
        <v>479</v>
      </c>
      <c r="B484" s="7" t="n">
        <f aca="false">MAX('Giả định'!$B$9,ROUNDUP(A484/'Giả định'!$B$7,0)+'Giả định'!$B$8)</f>
        <v>49</v>
      </c>
      <c r="C484" s="25" t="n">
        <f aca="false">('Chi phí'!$C$76+'Chi phí'!$D$76*B484+'Chi phí'!$E$76*A484+'Giả định'!$B$15*('Chi phí'!$F$76+'Chi phí'!$G$76*B484+'Chi phí'!$H$76*A484))*(1+'Giả định'!$B$16)</f>
        <v>525809460</v>
      </c>
      <c r="D484" s="25" t="n">
        <f aca="false">('Chi phí'!$C$77+'Chi phí'!$D$77*B484+'Chi phí'!$E$77*A484+'Giả định'!$B$15*('Chi phí'!$F$77+'Chi phí'!$G$77*B484+'Chi phí'!$H$77*A484))*(1+'Giả định'!$B$16)</f>
        <v>669414460</v>
      </c>
      <c r="E484" s="25" t="n">
        <f aca="false">A484/'Giả định'!$B$19*'Giả định'!$B$20+A484*'Giả định'!$B$23+'Giả định'!$B$24</f>
        <v>178316806.722689</v>
      </c>
      <c r="F484" s="25" t="n">
        <f aca="false">E484-D484</f>
        <v>-491097653.277311</v>
      </c>
      <c r="G484" s="25" t="n">
        <f aca="false">E484-C484</f>
        <v>-347492653.277311</v>
      </c>
      <c r="H484" s="7" t="str">
        <f aca="false">IF(F484&gt;=0,A484,"")</f>
        <v/>
      </c>
      <c r="I484" s="7" t="n">
        <f aca="false">IF(F484&lt;0,A484,0)</f>
        <v>479</v>
      </c>
      <c r="J484" s="7" t="str">
        <f aca="false">IF(G484&gt;=0,A484,"")</f>
        <v/>
      </c>
      <c r="K484" s="7" t="n">
        <f aca="false">IF(G484&lt;0,A484,0)</f>
        <v>479</v>
      </c>
    </row>
    <row r="485" customFormat="false" ht="15" hidden="false" customHeight="false" outlineLevel="0" collapsed="false">
      <c r="A485" s="7" t="n">
        <f aca="false">A484+1</f>
        <v>480</v>
      </c>
      <c r="B485" s="7" t="n">
        <f aca="false">MAX('Giả định'!$B$9,ROUNDUP(A485/'Giả định'!$B$7,0)+'Giả định'!$B$8)</f>
        <v>49</v>
      </c>
      <c r="C485" s="25" t="n">
        <f aca="false">('Chi phí'!$C$76+'Chi phí'!$D$76*B485+'Chi phí'!$E$76*A485+'Giả định'!$B$15*('Chi phí'!$F$76+'Chi phí'!$G$76*B485+'Chi phí'!$H$76*A485))*(1+'Giả định'!$B$16)</f>
        <v>525846200</v>
      </c>
      <c r="D485" s="25" t="n">
        <f aca="false">('Chi phí'!$C$77+'Chi phí'!$D$77*B485+'Chi phí'!$E$77*A485+'Giả định'!$B$15*('Chi phí'!$F$77+'Chi phí'!$G$77*B485+'Chi phí'!$H$77*A485))*(1+'Giả định'!$B$16)</f>
        <v>669451200</v>
      </c>
      <c r="E485" s="25" t="n">
        <f aca="false">A485/'Giả định'!$B$19*'Giả định'!$B$20+A485*'Giả định'!$B$23+'Giả định'!$B$24</f>
        <v>178689075.630252</v>
      </c>
      <c r="F485" s="25" t="n">
        <f aca="false">E485-D485</f>
        <v>-490762124.369748</v>
      </c>
      <c r="G485" s="25" t="n">
        <f aca="false">E485-C485</f>
        <v>-347157124.369748</v>
      </c>
      <c r="H485" s="7" t="str">
        <f aca="false">IF(F485&gt;=0,A485,"")</f>
        <v/>
      </c>
      <c r="I485" s="7" t="n">
        <f aca="false">IF(F485&lt;0,A485,0)</f>
        <v>480</v>
      </c>
      <c r="J485" s="7" t="str">
        <f aca="false">IF(G485&gt;=0,A485,"")</f>
        <v/>
      </c>
      <c r="K485" s="7" t="n">
        <f aca="false">IF(G485&lt;0,A485,0)</f>
        <v>480</v>
      </c>
    </row>
    <row r="486" customFormat="false" ht="15" hidden="false" customHeight="false" outlineLevel="0" collapsed="false">
      <c r="A486" s="7" t="n">
        <f aca="false">A485+1</f>
        <v>481</v>
      </c>
      <c r="B486" s="7" t="n">
        <f aca="false">MAX('Giả định'!$B$9,ROUNDUP(A486/'Giả định'!$B$7,0)+'Giả định'!$B$8)</f>
        <v>50</v>
      </c>
      <c r="C486" s="25" t="n">
        <f aca="false">('Chi phí'!$C$76+'Chi phí'!$D$76*B486+'Chi phí'!$E$76*A486+'Giả định'!$B$15*('Chi phí'!$F$76+'Chi phí'!$G$76*B486+'Chi phí'!$H$76*A486))*(1+'Giả định'!$B$16)</f>
        <v>535056940</v>
      </c>
      <c r="D486" s="25" t="n">
        <f aca="false">('Chi phí'!$C$77+'Chi phí'!$D$77*B486+'Chi phí'!$E$77*A486+'Giả định'!$B$15*('Chi phí'!$F$77+'Chi phí'!$G$77*B486+'Chi phí'!$H$77*A486))*(1+'Giả định'!$B$16)</f>
        <v>678661940</v>
      </c>
      <c r="E486" s="25" t="n">
        <f aca="false">A486/'Giả định'!$B$19*'Giả định'!$B$20+A486*'Giả định'!$B$23+'Giả định'!$B$24</f>
        <v>179061344.537815</v>
      </c>
      <c r="F486" s="25" t="n">
        <f aca="false">E486-D486</f>
        <v>-499600595.462185</v>
      </c>
      <c r="G486" s="25" t="n">
        <f aca="false">E486-C486</f>
        <v>-355995595.462185</v>
      </c>
      <c r="H486" s="7" t="str">
        <f aca="false">IF(F486&gt;=0,A486,"")</f>
        <v/>
      </c>
      <c r="I486" s="7" t="n">
        <f aca="false">IF(F486&lt;0,A486,0)</f>
        <v>481</v>
      </c>
      <c r="J486" s="7" t="str">
        <f aca="false">IF(G486&gt;=0,A486,"")</f>
        <v/>
      </c>
      <c r="K486" s="7" t="n">
        <f aca="false">IF(G486&lt;0,A486,0)</f>
        <v>481</v>
      </c>
    </row>
    <row r="487" customFormat="false" ht="15" hidden="false" customHeight="false" outlineLevel="0" collapsed="false">
      <c r="A487" s="7" t="n">
        <f aca="false">A486+1</f>
        <v>482</v>
      </c>
      <c r="B487" s="7" t="n">
        <f aca="false">MAX('Giả định'!$B$9,ROUNDUP(A487/'Giả định'!$B$7,0)+'Giả định'!$B$8)</f>
        <v>50</v>
      </c>
      <c r="C487" s="25" t="n">
        <f aca="false">('Chi phí'!$C$76+'Chi phí'!$D$76*B487+'Chi phí'!$E$76*A487+'Giả định'!$B$15*('Chi phí'!$F$76+'Chi phí'!$G$76*B487+'Chi phí'!$H$76*A487))*(1+'Giả định'!$B$16)</f>
        <v>535093680</v>
      </c>
      <c r="D487" s="25" t="n">
        <f aca="false">('Chi phí'!$C$77+'Chi phí'!$D$77*B487+'Chi phí'!$E$77*A487+'Giả định'!$B$15*('Chi phí'!$F$77+'Chi phí'!$G$77*B487+'Chi phí'!$H$77*A487))*(1+'Giả định'!$B$16)</f>
        <v>678698680</v>
      </c>
      <c r="E487" s="25" t="n">
        <f aca="false">A487/'Giả định'!$B$19*'Giả định'!$B$20+A487*'Giả định'!$B$23+'Giả định'!$B$24</f>
        <v>179433613.445378</v>
      </c>
      <c r="F487" s="25" t="n">
        <f aca="false">E487-D487</f>
        <v>-499265066.554622</v>
      </c>
      <c r="G487" s="25" t="n">
        <f aca="false">E487-C487</f>
        <v>-355660066.554622</v>
      </c>
      <c r="H487" s="7" t="str">
        <f aca="false">IF(F487&gt;=0,A487,"")</f>
        <v/>
      </c>
      <c r="I487" s="7" t="n">
        <f aca="false">IF(F487&lt;0,A487,0)</f>
        <v>482</v>
      </c>
      <c r="J487" s="7" t="str">
        <f aca="false">IF(G487&gt;=0,A487,"")</f>
        <v/>
      </c>
      <c r="K487" s="7" t="n">
        <f aca="false">IF(G487&lt;0,A487,0)</f>
        <v>482</v>
      </c>
    </row>
    <row r="488" customFormat="false" ht="15" hidden="false" customHeight="false" outlineLevel="0" collapsed="false">
      <c r="A488" s="7" t="n">
        <f aca="false">A487+1</f>
        <v>483</v>
      </c>
      <c r="B488" s="7" t="n">
        <f aca="false">MAX('Giả định'!$B$9,ROUNDUP(A488/'Giả định'!$B$7,0)+'Giả định'!$B$8)</f>
        <v>50</v>
      </c>
      <c r="C488" s="25" t="n">
        <f aca="false">('Chi phí'!$C$76+'Chi phí'!$D$76*B488+'Chi phí'!$E$76*A488+'Giả định'!$B$15*('Chi phí'!$F$76+'Chi phí'!$G$76*B488+'Chi phí'!$H$76*A488))*(1+'Giả định'!$B$16)</f>
        <v>535130420</v>
      </c>
      <c r="D488" s="25" t="n">
        <f aca="false">('Chi phí'!$C$77+'Chi phí'!$D$77*B488+'Chi phí'!$E$77*A488+'Giả định'!$B$15*('Chi phí'!$F$77+'Chi phí'!$G$77*B488+'Chi phí'!$H$77*A488))*(1+'Giả định'!$B$16)</f>
        <v>678735420</v>
      </c>
      <c r="E488" s="25" t="n">
        <f aca="false">A488/'Giả định'!$B$19*'Giả định'!$B$20+A488*'Giả định'!$B$23+'Giả định'!$B$24</f>
        <v>179805882.352941</v>
      </c>
      <c r="F488" s="25" t="n">
        <f aca="false">E488-D488</f>
        <v>-498929537.647059</v>
      </c>
      <c r="G488" s="25" t="n">
        <f aca="false">E488-C488</f>
        <v>-355324537.647059</v>
      </c>
      <c r="H488" s="7" t="str">
        <f aca="false">IF(F488&gt;=0,A488,"")</f>
        <v/>
      </c>
      <c r="I488" s="7" t="n">
        <f aca="false">IF(F488&lt;0,A488,0)</f>
        <v>483</v>
      </c>
      <c r="J488" s="7" t="str">
        <f aca="false">IF(G488&gt;=0,A488,"")</f>
        <v/>
      </c>
      <c r="K488" s="7" t="n">
        <f aca="false">IF(G488&lt;0,A488,0)</f>
        <v>483</v>
      </c>
    </row>
    <row r="489" customFormat="false" ht="15" hidden="false" customHeight="false" outlineLevel="0" collapsed="false">
      <c r="A489" s="7" t="n">
        <f aca="false">A488+1</f>
        <v>484</v>
      </c>
      <c r="B489" s="7" t="n">
        <f aca="false">MAX('Giả định'!$B$9,ROUNDUP(A489/'Giả định'!$B$7,0)+'Giả định'!$B$8)</f>
        <v>50</v>
      </c>
      <c r="C489" s="25" t="n">
        <f aca="false">('Chi phí'!$C$76+'Chi phí'!$D$76*B489+'Chi phí'!$E$76*A489+'Giả định'!$B$15*('Chi phí'!$F$76+'Chi phí'!$G$76*B489+'Chi phí'!$H$76*A489))*(1+'Giả định'!$B$16)</f>
        <v>535167160</v>
      </c>
      <c r="D489" s="25" t="n">
        <f aca="false">('Chi phí'!$C$77+'Chi phí'!$D$77*B489+'Chi phí'!$E$77*A489+'Giả định'!$B$15*('Chi phí'!$F$77+'Chi phí'!$G$77*B489+'Chi phí'!$H$77*A489))*(1+'Giả định'!$B$16)</f>
        <v>678772160</v>
      </c>
      <c r="E489" s="25" t="n">
        <f aca="false">A489/'Giả định'!$B$19*'Giả định'!$B$20+A489*'Giả định'!$B$23+'Giả định'!$B$24</f>
        <v>180178151.260504</v>
      </c>
      <c r="F489" s="25" t="n">
        <f aca="false">E489-D489</f>
        <v>-498594008.739496</v>
      </c>
      <c r="G489" s="25" t="n">
        <f aca="false">E489-C489</f>
        <v>-354989008.739496</v>
      </c>
      <c r="H489" s="7" t="str">
        <f aca="false">IF(F489&gt;=0,A489,"")</f>
        <v/>
      </c>
      <c r="I489" s="7" t="n">
        <f aca="false">IF(F489&lt;0,A489,0)</f>
        <v>484</v>
      </c>
      <c r="J489" s="7" t="str">
        <f aca="false">IF(G489&gt;=0,A489,"")</f>
        <v/>
      </c>
      <c r="K489" s="7" t="n">
        <f aca="false">IF(G489&lt;0,A489,0)</f>
        <v>484</v>
      </c>
    </row>
    <row r="490" customFormat="false" ht="15" hidden="false" customHeight="false" outlineLevel="0" collapsed="false">
      <c r="A490" s="7" t="n">
        <f aca="false">A489+1</f>
        <v>485</v>
      </c>
      <c r="B490" s="7" t="n">
        <f aca="false">MAX('Giả định'!$B$9,ROUNDUP(A490/'Giả định'!$B$7,0)+'Giả định'!$B$8)</f>
        <v>50</v>
      </c>
      <c r="C490" s="25" t="n">
        <f aca="false">('Chi phí'!$C$76+'Chi phí'!$D$76*B490+'Chi phí'!$E$76*A490+'Giả định'!$B$15*('Chi phí'!$F$76+'Chi phí'!$G$76*B490+'Chi phí'!$H$76*A490))*(1+'Giả định'!$B$16)</f>
        <v>535203900</v>
      </c>
      <c r="D490" s="25" t="n">
        <f aca="false">('Chi phí'!$C$77+'Chi phí'!$D$77*B490+'Chi phí'!$E$77*A490+'Giả định'!$B$15*('Chi phí'!$F$77+'Chi phí'!$G$77*B490+'Chi phí'!$H$77*A490))*(1+'Giả định'!$B$16)</f>
        <v>678808900</v>
      </c>
      <c r="E490" s="25" t="n">
        <f aca="false">A490/'Giả định'!$B$19*'Giả định'!$B$20+A490*'Giả định'!$B$23+'Giả định'!$B$24</f>
        <v>180550420.168067</v>
      </c>
      <c r="F490" s="25" t="n">
        <f aca="false">E490-D490</f>
        <v>-498258479.831933</v>
      </c>
      <c r="G490" s="25" t="n">
        <f aca="false">E490-C490</f>
        <v>-354653479.831933</v>
      </c>
      <c r="H490" s="7" t="str">
        <f aca="false">IF(F490&gt;=0,A490,"")</f>
        <v/>
      </c>
      <c r="I490" s="7" t="n">
        <f aca="false">IF(F490&lt;0,A490,0)</f>
        <v>485</v>
      </c>
      <c r="J490" s="7" t="str">
        <f aca="false">IF(G490&gt;=0,A490,"")</f>
        <v/>
      </c>
      <c r="K490" s="7" t="n">
        <f aca="false">IF(G490&lt;0,A490,0)</f>
        <v>485</v>
      </c>
    </row>
    <row r="491" customFormat="false" ht="15" hidden="false" customHeight="false" outlineLevel="0" collapsed="false">
      <c r="A491" s="7" t="n">
        <f aca="false">A490+1</f>
        <v>486</v>
      </c>
      <c r="B491" s="7" t="n">
        <f aca="false">MAX('Giả định'!$B$9,ROUNDUP(A491/'Giả định'!$B$7,0)+'Giả định'!$B$8)</f>
        <v>50</v>
      </c>
      <c r="C491" s="25" t="n">
        <f aca="false">('Chi phí'!$C$76+'Chi phí'!$D$76*B491+'Chi phí'!$E$76*A491+'Giả định'!$B$15*('Chi phí'!$F$76+'Chi phí'!$G$76*B491+'Chi phí'!$H$76*A491))*(1+'Giả định'!$B$16)</f>
        <v>535240640</v>
      </c>
      <c r="D491" s="25" t="n">
        <f aca="false">('Chi phí'!$C$77+'Chi phí'!$D$77*B491+'Chi phí'!$E$77*A491+'Giả định'!$B$15*('Chi phí'!$F$77+'Chi phí'!$G$77*B491+'Chi phí'!$H$77*A491))*(1+'Giả định'!$B$16)</f>
        <v>678845640</v>
      </c>
      <c r="E491" s="25" t="n">
        <f aca="false">A491/'Giả định'!$B$19*'Giả định'!$B$20+A491*'Giả định'!$B$23+'Giả định'!$B$24</f>
        <v>180922689.07563</v>
      </c>
      <c r="F491" s="25" t="n">
        <f aca="false">E491-D491</f>
        <v>-497922950.92437</v>
      </c>
      <c r="G491" s="25" t="n">
        <f aca="false">E491-C491</f>
        <v>-354317950.92437</v>
      </c>
      <c r="H491" s="7" t="str">
        <f aca="false">IF(F491&gt;=0,A491,"")</f>
        <v/>
      </c>
      <c r="I491" s="7" t="n">
        <f aca="false">IF(F491&lt;0,A491,0)</f>
        <v>486</v>
      </c>
      <c r="J491" s="7" t="str">
        <f aca="false">IF(G491&gt;=0,A491,"")</f>
        <v/>
      </c>
      <c r="K491" s="7" t="n">
        <f aca="false">IF(G491&lt;0,A491,0)</f>
        <v>486</v>
      </c>
    </row>
    <row r="492" customFormat="false" ht="15" hidden="false" customHeight="false" outlineLevel="0" collapsed="false">
      <c r="A492" s="7" t="n">
        <f aca="false">A491+1</f>
        <v>487</v>
      </c>
      <c r="B492" s="7" t="n">
        <f aca="false">MAX('Giả định'!$B$9,ROUNDUP(A492/'Giả định'!$B$7,0)+'Giả định'!$B$8)</f>
        <v>50</v>
      </c>
      <c r="C492" s="25" t="n">
        <f aca="false">('Chi phí'!$C$76+'Chi phí'!$D$76*B492+'Chi phí'!$E$76*A492+'Giả định'!$B$15*('Chi phí'!$F$76+'Chi phí'!$G$76*B492+'Chi phí'!$H$76*A492))*(1+'Giả định'!$B$16)</f>
        <v>535277380</v>
      </c>
      <c r="D492" s="25" t="n">
        <f aca="false">('Chi phí'!$C$77+'Chi phí'!$D$77*B492+'Chi phí'!$E$77*A492+'Giả định'!$B$15*('Chi phí'!$F$77+'Chi phí'!$G$77*B492+'Chi phí'!$H$77*A492))*(1+'Giả định'!$B$16)</f>
        <v>678882380</v>
      </c>
      <c r="E492" s="25" t="n">
        <f aca="false">A492/'Giả định'!$B$19*'Giả định'!$B$20+A492*'Giả định'!$B$23+'Giả định'!$B$24</f>
        <v>181294957.983193</v>
      </c>
      <c r="F492" s="25" t="n">
        <f aca="false">E492-D492</f>
        <v>-497587422.016807</v>
      </c>
      <c r="G492" s="25" t="n">
        <f aca="false">E492-C492</f>
        <v>-353982422.016807</v>
      </c>
      <c r="H492" s="7" t="str">
        <f aca="false">IF(F492&gt;=0,A492,"")</f>
        <v/>
      </c>
      <c r="I492" s="7" t="n">
        <f aca="false">IF(F492&lt;0,A492,0)</f>
        <v>487</v>
      </c>
      <c r="J492" s="7" t="str">
        <f aca="false">IF(G492&gt;=0,A492,"")</f>
        <v/>
      </c>
      <c r="K492" s="7" t="n">
        <f aca="false">IF(G492&lt;0,A492,0)</f>
        <v>487</v>
      </c>
    </row>
    <row r="493" customFormat="false" ht="15" hidden="false" customHeight="false" outlineLevel="0" collapsed="false">
      <c r="A493" s="7" t="n">
        <f aca="false">A492+1</f>
        <v>488</v>
      </c>
      <c r="B493" s="7" t="n">
        <f aca="false">MAX('Giả định'!$B$9,ROUNDUP(A493/'Giả định'!$B$7,0)+'Giả định'!$B$8)</f>
        <v>50</v>
      </c>
      <c r="C493" s="25" t="n">
        <f aca="false">('Chi phí'!$C$76+'Chi phí'!$D$76*B493+'Chi phí'!$E$76*A493+'Giả định'!$B$15*('Chi phí'!$F$76+'Chi phí'!$G$76*B493+'Chi phí'!$H$76*A493))*(1+'Giả định'!$B$16)</f>
        <v>535314120</v>
      </c>
      <c r="D493" s="25" t="n">
        <f aca="false">('Chi phí'!$C$77+'Chi phí'!$D$77*B493+'Chi phí'!$E$77*A493+'Giả định'!$B$15*('Chi phí'!$F$77+'Chi phí'!$G$77*B493+'Chi phí'!$H$77*A493))*(1+'Giả định'!$B$16)</f>
        <v>678919120</v>
      </c>
      <c r="E493" s="25" t="n">
        <f aca="false">A493/'Giả định'!$B$19*'Giả định'!$B$20+A493*'Giả định'!$B$23+'Giả định'!$B$24</f>
        <v>181667226.890756</v>
      </c>
      <c r="F493" s="25" t="n">
        <f aca="false">E493-D493</f>
        <v>-497251893.109244</v>
      </c>
      <c r="G493" s="25" t="n">
        <f aca="false">E493-C493</f>
        <v>-353646893.109244</v>
      </c>
      <c r="H493" s="7" t="str">
        <f aca="false">IF(F493&gt;=0,A493,"")</f>
        <v/>
      </c>
      <c r="I493" s="7" t="n">
        <f aca="false">IF(F493&lt;0,A493,0)</f>
        <v>488</v>
      </c>
      <c r="J493" s="7" t="str">
        <f aca="false">IF(G493&gt;=0,A493,"")</f>
        <v/>
      </c>
      <c r="K493" s="7" t="n">
        <f aca="false">IF(G493&lt;0,A493,0)</f>
        <v>488</v>
      </c>
    </row>
    <row r="494" customFormat="false" ht="15" hidden="false" customHeight="false" outlineLevel="0" collapsed="false">
      <c r="A494" s="7" t="n">
        <f aca="false">A493+1</f>
        <v>489</v>
      </c>
      <c r="B494" s="7" t="n">
        <f aca="false">MAX('Giả định'!$B$9,ROUNDUP(A494/'Giả định'!$B$7,0)+'Giả định'!$B$8)</f>
        <v>50</v>
      </c>
      <c r="C494" s="25" t="n">
        <f aca="false">('Chi phí'!$C$76+'Chi phí'!$D$76*B494+'Chi phí'!$E$76*A494+'Giả định'!$B$15*('Chi phí'!$F$76+'Chi phí'!$G$76*B494+'Chi phí'!$H$76*A494))*(1+'Giả định'!$B$16)</f>
        <v>535350860</v>
      </c>
      <c r="D494" s="25" t="n">
        <f aca="false">('Chi phí'!$C$77+'Chi phí'!$D$77*B494+'Chi phí'!$E$77*A494+'Giả định'!$B$15*('Chi phí'!$F$77+'Chi phí'!$G$77*B494+'Chi phí'!$H$77*A494))*(1+'Giả định'!$B$16)</f>
        <v>678955860</v>
      </c>
      <c r="E494" s="25" t="n">
        <f aca="false">A494/'Giả định'!$B$19*'Giả định'!$B$20+A494*'Giả định'!$B$23+'Giả định'!$B$24</f>
        <v>182039495.798319</v>
      </c>
      <c r="F494" s="25" t="n">
        <f aca="false">E494-D494</f>
        <v>-496916364.201681</v>
      </c>
      <c r="G494" s="25" t="n">
        <f aca="false">E494-C494</f>
        <v>-353311364.201681</v>
      </c>
      <c r="H494" s="7" t="str">
        <f aca="false">IF(F494&gt;=0,A494,"")</f>
        <v/>
      </c>
      <c r="I494" s="7" t="n">
        <f aca="false">IF(F494&lt;0,A494,0)</f>
        <v>489</v>
      </c>
      <c r="J494" s="7" t="str">
        <f aca="false">IF(G494&gt;=0,A494,"")</f>
        <v/>
      </c>
      <c r="K494" s="7" t="n">
        <f aca="false">IF(G494&lt;0,A494,0)</f>
        <v>489</v>
      </c>
    </row>
    <row r="495" customFormat="false" ht="15" hidden="false" customHeight="false" outlineLevel="0" collapsed="false">
      <c r="A495" s="7" t="n">
        <f aca="false">A494+1</f>
        <v>490</v>
      </c>
      <c r="B495" s="7" t="n">
        <f aca="false">MAX('Giả định'!$B$9,ROUNDUP(A495/'Giả định'!$B$7,0)+'Giả định'!$B$8)</f>
        <v>50</v>
      </c>
      <c r="C495" s="25" t="n">
        <f aca="false">('Chi phí'!$C$76+'Chi phí'!$D$76*B495+'Chi phí'!$E$76*A495+'Giả định'!$B$15*('Chi phí'!$F$76+'Chi phí'!$G$76*B495+'Chi phí'!$H$76*A495))*(1+'Giả định'!$B$16)</f>
        <v>535387600</v>
      </c>
      <c r="D495" s="25" t="n">
        <f aca="false">('Chi phí'!$C$77+'Chi phí'!$D$77*B495+'Chi phí'!$E$77*A495+'Giả định'!$B$15*('Chi phí'!$F$77+'Chi phí'!$G$77*B495+'Chi phí'!$H$77*A495))*(1+'Giả định'!$B$16)</f>
        <v>678992600</v>
      </c>
      <c r="E495" s="25" t="n">
        <f aca="false">A495/'Giả định'!$B$19*'Giả định'!$B$20+A495*'Giả định'!$B$23+'Giả định'!$B$24</f>
        <v>182411764.705882</v>
      </c>
      <c r="F495" s="25" t="n">
        <f aca="false">E495-D495</f>
        <v>-496580835.294118</v>
      </c>
      <c r="G495" s="25" t="n">
        <f aca="false">E495-C495</f>
        <v>-352975835.294118</v>
      </c>
      <c r="H495" s="7" t="str">
        <f aca="false">IF(F495&gt;=0,A495,"")</f>
        <v/>
      </c>
      <c r="I495" s="7" t="n">
        <f aca="false">IF(F495&lt;0,A495,0)</f>
        <v>490</v>
      </c>
      <c r="J495" s="7" t="str">
        <f aca="false">IF(G495&gt;=0,A495,"")</f>
        <v/>
      </c>
      <c r="K495" s="7" t="n">
        <f aca="false">IF(G495&lt;0,A495,0)</f>
        <v>490</v>
      </c>
    </row>
    <row r="496" customFormat="false" ht="15" hidden="false" customHeight="false" outlineLevel="0" collapsed="false">
      <c r="A496" s="7" t="n">
        <f aca="false">A495+1</f>
        <v>491</v>
      </c>
      <c r="B496" s="7" t="n">
        <f aca="false">MAX('Giả định'!$B$9,ROUNDUP(A496/'Giả định'!$B$7,0)+'Giả định'!$B$8)</f>
        <v>51</v>
      </c>
      <c r="C496" s="25" t="n">
        <f aca="false">('Chi phí'!$C$76+'Chi phí'!$D$76*B496+'Chi phí'!$E$76*A496+'Giả định'!$B$15*('Chi phí'!$F$76+'Chi phí'!$G$76*B496+'Chi phí'!$H$76*A496))*(1+'Giả định'!$B$16)</f>
        <v>544598340</v>
      </c>
      <c r="D496" s="25" t="n">
        <f aca="false">('Chi phí'!$C$77+'Chi phí'!$D$77*B496+'Chi phí'!$E$77*A496+'Giả định'!$B$15*('Chi phí'!$F$77+'Chi phí'!$G$77*B496+'Chi phí'!$H$77*A496))*(1+'Giả định'!$B$16)</f>
        <v>688203340</v>
      </c>
      <c r="E496" s="25" t="n">
        <f aca="false">A496/'Giả định'!$B$19*'Giả định'!$B$20+A496*'Giả định'!$B$23+'Giả định'!$B$24</f>
        <v>182784033.613445</v>
      </c>
      <c r="F496" s="25" t="n">
        <f aca="false">E496-D496</f>
        <v>-505419306.386555</v>
      </c>
      <c r="G496" s="25" t="n">
        <f aca="false">E496-C496</f>
        <v>-361814306.386555</v>
      </c>
      <c r="H496" s="7" t="str">
        <f aca="false">IF(F496&gt;=0,A496,"")</f>
        <v/>
      </c>
      <c r="I496" s="7" t="n">
        <f aca="false">IF(F496&lt;0,A496,0)</f>
        <v>491</v>
      </c>
      <c r="J496" s="7" t="str">
        <f aca="false">IF(G496&gt;=0,A496,"")</f>
        <v/>
      </c>
      <c r="K496" s="7" t="n">
        <f aca="false">IF(G496&lt;0,A496,0)</f>
        <v>491</v>
      </c>
    </row>
    <row r="497" customFormat="false" ht="15" hidden="false" customHeight="false" outlineLevel="0" collapsed="false">
      <c r="A497" s="7" t="n">
        <f aca="false">A496+1</f>
        <v>492</v>
      </c>
      <c r="B497" s="7" t="n">
        <f aca="false">MAX('Giả định'!$B$9,ROUNDUP(A497/'Giả định'!$B$7,0)+'Giả định'!$B$8)</f>
        <v>51</v>
      </c>
      <c r="C497" s="25" t="n">
        <f aca="false">('Chi phí'!$C$76+'Chi phí'!$D$76*B497+'Chi phí'!$E$76*A497+'Giả định'!$B$15*('Chi phí'!$F$76+'Chi phí'!$G$76*B497+'Chi phí'!$H$76*A497))*(1+'Giả định'!$B$16)</f>
        <v>544635080</v>
      </c>
      <c r="D497" s="25" t="n">
        <f aca="false">('Chi phí'!$C$77+'Chi phí'!$D$77*B497+'Chi phí'!$E$77*A497+'Giả định'!$B$15*('Chi phí'!$F$77+'Chi phí'!$G$77*B497+'Chi phí'!$H$77*A497))*(1+'Giả định'!$B$16)</f>
        <v>688240080</v>
      </c>
      <c r="E497" s="25" t="n">
        <f aca="false">A497/'Giả định'!$B$19*'Giả định'!$B$20+A497*'Giả định'!$B$23+'Giả định'!$B$24</f>
        <v>183156302.521008</v>
      </c>
      <c r="F497" s="25" t="n">
        <f aca="false">E497-D497</f>
        <v>-505083777.478992</v>
      </c>
      <c r="G497" s="25" t="n">
        <f aca="false">E497-C497</f>
        <v>-361478777.478992</v>
      </c>
      <c r="H497" s="7" t="str">
        <f aca="false">IF(F497&gt;=0,A497,"")</f>
        <v/>
      </c>
      <c r="I497" s="7" t="n">
        <f aca="false">IF(F497&lt;0,A497,0)</f>
        <v>492</v>
      </c>
      <c r="J497" s="7" t="str">
        <f aca="false">IF(G497&gt;=0,A497,"")</f>
        <v/>
      </c>
      <c r="K497" s="7" t="n">
        <f aca="false">IF(G497&lt;0,A497,0)</f>
        <v>492</v>
      </c>
    </row>
    <row r="498" customFormat="false" ht="15" hidden="false" customHeight="false" outlineLevel="0" collapsed="false">
      <c r="A498" s="7" t="n">
        <f aca="false">A497+1</f>
        <v>493</v>
      </c>
      <c r="B498" s="7" t="n">
        <f aca="false">MAX('Giả định'!$B$9,ROUNDUP(A498/'Giả định'!$B$7,0)+'Giả định'!$B$8)</f>
        <v>51</v>
      </c>
      <c r="C498" s="25" t="n">
        <f aca="false">('Chi phí'!$C$76+'Chi phí'!$D$76*B498+'Chi phí'!$E$76*A498+'Giả định'!$B$15*('Chi phí'!$F$76+'Chi phí'!$G$76*B498+'Chi phí'!$H$76*A498))*(1+'Giả định'!$B$16)</f>
        <v>544671820</v>
      </c>
      <c r="D498" s="25" t="n">
        <f aca="false">('Chi phí'!$C$77+'Chi phí'!$D$77*B498+'Chi phí'!$E$77*A498+'Giả định'!$B$15*('Chi phí'!$F$77+'Chi phí'!$G$77*B498+'Chi phí'!$H$77*A498))*(1+'Giả định'!$B$16)</f>
        <v>688276820</v>
      </c>
      <c r="E498" s="25" t="n">
        <f aca="false">A498/'Giả định'!$B$19*'Giả định'!$B$20+A498*'Giả định'!$B$23+'Giả định'!$B$24</f>
        <v>183528571.428571</v>
      </c>
      <c r="F498" s="25" t="n">
        <f aca="false">E498-D498</f>
        <v>-504748248.571429</v>
      </c>
      <c r="G498" s="25" t="n">
        <f aca="false">E498-C498</f>
        <v>-361143248.571429</v>
      </c>
      <c r="H498" s="7" t="str">
        <f aca="false">IF(F498&gt;=0,A498,"")</f>
        <v/>
      </c>
      <c r="I498" s="7" t="n">
        <f aca="false">IF(F498&lt;0,A498,0)</f>
        <v>493</v>
      </c>
      <c r="J498" s="7" t="str">
        <f aca="false">IF(G498&gt;=0,A498,"")</f>
        <v/>
      </c>
      <c r="K498" s="7" t="n">
        <f aca="false">IF(G498&lt;0,A498,0)</f>
        <v>493</v>
      </c>
    </row>
    <row r="499" customFormat="false" ht="15" hidden="false" customHeight="false" outlineLevel="0" collapsed="false">
      <c r="A499" s="7" t="n">
        <f aca="false">A498+1</f>
        <v>494</v>
      </c>
      <c r="B499" s="7" t="n">
        <f aca="false">MAX('Giả định'!$B$9,ROUNDUP(A499/'Giả định'!$B$7,0)+'Giả định'!$B$8)</f>
        <v>51</v>
      </c>
      <c r="C499" s="25" t="n">
        <f aca="false">('Chi phí'!$C$76+'Chi phí'!$D$76*B499+'Chi phí'!$E$76*A499+'Giả định'!$B$15*('Chi phí'!$F$76+'Chi phí'!$G$76*B499+'Chi phí'!$H$76*A499))*(1+'Giả định'!$B$16)</f>
        <v>544708560</v>
      </c>
      <c r="D499" s="25" t="n">
        <f aca="false">('Chi phí'!$C$77+'Chi phí'!$D$77*B499+'Chi phí'!$E$77*A499+'Giả định'!$B$15*('Chi phí'!$F$77+'Chi phí'!$G$77*B499+'Chi phí'!$H$77*A499))*(1+'Giả định'!$B$16)</f>
        <v>688313560</v>
      </c>
      <c r="E499" s="25" t="n">
        <f aca="false">A499/'Giả định'!$B$19*'Giả định'!$B$20+A499*'Giả định'!$B$23+'Giả định'!$B$24</f>
        <v>183900840.336134</v>
      </c>
      <c r="F499" s="25" t="n">
        <f aca="false">E499-D499</f>
        <v>-504412719.663866</v>
      </c>
      <c r="G499" s="25" t="n">
        <f aca="false">E499-C499</f>
        <v>-360807719.663866</v>
      </c>
      <c r="H499" s="7" t="str">
        <f aca="false">IF(F499&gt;=0,A499,"")</f>
        <v/>
      </c>
      <c r="I499" s="7" t="n">
        <f aca="false">IF(F499&lt;0,A499,0)</f>
        <v>494</v>
      </c>
      <c r="J499" s="7" t="str">
        <f aca="false">IF(G499&gt;=0,A499,"")</f>
        <v/>
      </c>
      <c r="K499" s="7" t="n">
        <f aca="false">IF(G499&lt;0,A499,0)</f>
        <v>494</v>
      </c>
    </row>
    <row r="500" customFormat="false" ht="15" hidden="false" customHeight="false" outlineLevel="0" collapsed="false">
      <c r="A500" s="7" t="n">
        <f aca="false">A499+1</f>
        <v>495</v>
      </c>
      <c r="B500" s="7" t="n">
        <f aca="false">MAX('Giả định'!$B$9,ROUNDUP(A500/'Giả định'!$B$7,0)+'Giả định'!$B$8)</f>
        <v>51</v>
      </c>
      <c r="C500" s="25" t="n">
        <f aca="false">('Chi phí'!$C$76+'Chi phí'!$D$76*B500+'Chi phí'!$E$76*A500+'Giả định'!$B$15*('Chi phí'!$F$76+'Chi phí'!$G$76*B500+'Chi phí'!$H$76*A500))*(1+'Giả định'!$B$16)</f>
        <v>544745300</v>
      </c>
      <c r="D500" s="25" t="n">
        <f aca="false">('Chi phí'!$C$77+'Chi phí'!$D$77*B500+'Chi phí'!$E$77*A500+'Giả định'!$B$15*('Chi phí'!$F$77+'Chi phí'!$G$77*B500+'Chi phí'!$H$77*A500))*(1+'Giả định'!$B$16)</f>
        <v>688350300</v>
      </c>
      <c r="E500" s="25" t="n">
        <f aca="false">A500/'Giả định'!$B$19*'Giả định'!$B$20+A500*'Giả định'!$B$23+'Giả định'!$B$24</f>
        <v>184273109.243698</v>
      </c>
      <c r="F500" s="25" t="n">
        <f aca="false">E500-D500</f>
        <v>-504077190.756303</v>
      </c>
      <c r="G500" s="25" t="n">
        <f aca="false">E500-C500</f>
        <v>-360472190.756303</v>
      </c>
      <c r="H500" s="7" t="str">
        <f aca="false">IF(F500&gt;=0,A500,"")</f>
        <v/>
      </c>
      <c r="I500" s="7" t="n">
        <f aca="false">IF(F500&lt;0,A500,0)</f>
        <v>495</v>
      </c>
      <c r="J500" s="7" t="str">
        <f aca="false">IF(G500&gt;=0,A500,"")</f>
        <v/>
      </c>
      <c r="K500" s="7" t="n">
        <f aca="false">IF(G500&lt;0,A500,0)</f>
        <v>495</v>
      </c>
    </row>
    <row r="501" customFormat="false" ht="15" hidden="false" customHeight="false" outlineLevel="0" collapsed="false">
      <c r="A501" s="7" t="n">
        <f aca="false">A500+1</f>
        <v>496</v>
      </c>
      <c r="B501" s="7" t="n">
        <f aca="false">MAX('Giả định'!$B$9,ROUNDUP(A501/'Giả định'!$B$7,0)+'Giả định'!$B$8)</f>
        <v>51</v>
      </c>
      <c r="C501" s="25" t="n">
        <f aca="false">('Chi phí'!$C$76+'Chi phí'!$D$76*B501+'Chi phí'!$E$76*A501+'Giả định'!$B$15*('Chi phí'!$F$76+'Chi phí'!$G$76*B501+'Chi phí'!$H$76*A501))*(1+'Giả định'!$B$16)</f>
        <v>544782040</v>
      </c>
      <c r="D501" s="25" t="n">
        <f aca="false">('Chi phí'!$C$77+'Chi phí'!$D$77*B501+'Chi phí'!$E$77*A501+'Giả định'!$B$15*('Chi phí'!$F$77+'Chi phí'!$G$77*B501+'Chi phí'!$H$77*A501))*(1+'Giả định'!$B$16)</f>
        <v>688387040</v>
      </c>
      <c r="E501" s="25" t="n">
        <f aca="false">A501/'Giả định'!$B$19*'Giả định'!$B$20+A501*'Giả định'!$B$23+'Giả định'!$B$24</f>
        <v>184645378.151261</v>
      </c>
      <c r="F501" s="25" t="n">
        <f aca="false">E501-D501</f>
        <v>-503741661.84874</v>
      </c>
      <c r="G501" s="25" t="n">
        <f aca="false">E501-C501</f>
        <v>-360136661.84874</v>
      </c>
      <c r="H501" s="7" t="str">
        <f aca="false">IF(F501&gt;=0,A501,"")</f>
        <v/>
      </c>
      <c r="I501" s="7" t="n">
        <f aca="false">IF(F501&lt;0,A501,0)</f>
        <v>496</v>
      </c>
      <c r="J501" s="7" t="str">
        <f aca="false">IF(G501&gt;=0,A501,"")</f>
        <v/>
      </c>
      <c r="K501" s="7" t="n">
        <f aca="false">IF(G501&lt;0,A501,0)</f>
        <v>496</v>
      </c>
    </row>
    <row r="502" customFormat="false" ht="15" hidden="false" customHeight="false" outlineLevel="0" collapsed="false">
      <c r="A502" s="7" t="n">
        <f aca="false">A501+1</f>
        <v>497</v>
      </c>
      <c r="B502" s="7" t="n">
        <f aca="false">MAX('Giả định'!$B$9,ROUNDUP(A502/'Giả định'!$B$7,0)+'Giả định'!$B$8)</f>
        <v>51</v>
      </c>
      <c r="C502" s="25" t="n">
        <f aca="false">('Chi phí'!$C$76+'Chi phí'!$D$76*B502+'Chi phí'!$E$76*A502+'Giả định'!$B$15*('Chi phí'!$F$76+'Chi phí'!$G$76*B502+'Chi phí'!$H$76*A502))*(1+'Giả định'!$B$16)</f>
        <v>544818780</v>
      </c>
      <c r="D502" s="25" t="n">
        <f aca="false">('Chi phí'!$C$77+'Chi phí'!$D$77*B502+'Chi phí'!$E$77*A502+'Giả định'!$B$15*('Chi phí'!$F$77+'Chi phí'!$G$77*B502+'Chi phí'!$H$77*A502))*(1+'Giả định'!$B$16)</f>
        <v>688423780</v>
      </c>
      <c r="E502" s="25" t="n">
        <f aca="false">A502/'Giả định'!$B$19*'Giả định'!$B$20+A502*'Giả định'!$B$23+'Giả định'!$B$24</f>
        <v>185017647.058824</v>
      </c>
      <c r="F502" s="25" t="n">
        <f aca="false">E502-D502</f>
        <v>-503406132.941177</v>
      </c>
      <c r="G502" s="25" t="n">
        <f aca="false">E502-C502</f>
        <v>-359801132.941177</v>
      </c>
      <c r="H502" s="7" t="str">
        <f aca="false">IF(F502&gt;=0,A502,"")</f>
        <v/>
      </c>
      <c r="I502" s="7" t="n">
        <f aca="false">IF(F502&lt;0,A502,0)</f>
        <v>497</v>
      </c>
      <c r="J502" s="7" t="str">
        <f aca="false">IF(G502&gt;=0,A502,"")</f>
        <v/>
      </c>
      <c r="K502" s="7" t="n">
        <f aca="false">IF(G502&lt;0,A502,0)</f>
        <v>497</v>
      </c>
    </row>
    <row r="503" customFormat="false" ht="15" hidden="false" customHeight="false" outlineLevel="0" collapsed="false">
      <c r="A503" s="7" t="n">
        <f aca="false">A502+1</f>
        <v>498</v>
      </c>
      <c r="B503" s="7" t="n">
        <f aca="false">MAX('Giả định'!$B$9,ROUNDUP(A503/'Giả định'!$B$7,0)+'Giả định'!$B$8)</f>
        <v>51</v>
      </c>
      <c r="C503" s="25" t="n">
        <f aca="false">('Chi phí'!$C$76+'Chi phí'!$D$76*B503+'Chi phí'!$E$76*A503+'Giả định'!$B$15*('Chi phí'!$F$76+'Chi phí'!$G$76*B503+'Chi phí'!$H$76*A503))*(1+'Giả định'!$B$16)</f>
        <v>544855520</v>
      </c>
      <c r="D503" s="25" t="n">
        <f aca="false">('Chi phí'!$C$77+'Chi phí'!$D$77*B503+'Chi phí'!$E$77*A503+'Giả định'!$B$15*('Chi phí'!$F$77+'Chi phí'!$G$77*B503+'Chi phí'!$H$77*A503))*(1+'Giả định'!$B$16)</f>
        <v>688460520</v>
      </c>
      <c r="E503" s="25" t="n">
        <f aca="false">A503/'Giả định'!$B$19*'Giả định'!$B$20+A503*'Giả định'!$B$23+'Giả định'!$B$24</f>
        <v>185389915.966387</v>
      </c>
      <c r="F503" s="25" t="n">
        <f aca="false">E503-D503</f>
        <v>-503070604.033613</v>
      </c>
      <c r="G503" s="25" t="n">
        <f aca="false">E503-C503</f>
        <v>-359465604.033613</v>
      </c>
      <c r="H503" s="7" t="str">
        <f aca="false">IF(F503&gt;=0,A503,"")</f>
        <v/>
      </c>
      <c r="I503" s="7" t="n">
        <f aca="false">IF(F503&lt;0,A503,0)</f>
        <v>498</v>
      </c>
      <c r="J503" s="7" t="str">
        <f aca="false">IF(G503&gt;=0,A503,"")</f>
        <v/>
      </c>
      <c r="K503" s="7" t="n">
        <f aca="false">IF(G503&lt;0,A503,0)</f>
        <v>498</v>
      </c>
    </row>
    <row r="504" customFormat="false" ht="15" hidden="false" customHeight="false" outlineLevel="0" collapsed="false">
      <c r="A504" s="7" t="n">
        <f aca="false">A503+1</f>
        <v>499</v>
      </c>
      <c r="B504" s="7" t="n">
        <f aca="false">MAX('Giả định'!$B$9,ROUNDUP(A504/'Giả định'!$B$7,0)+'Giả định'!$B$8)</f>
        <v>51</v>
      </c>
      <c r="C504" s="25" t="n">
        <f aca="false">('Chi phí'!$C$76+'Chi phí'!$D$76*B504+'Chi phí'!$E$76*A504+'Giả định'!$B$15*('Chi phí'!$F$76+'Chi phí'!$G$76*B504+'Chi phí'!$H$76*A504))*(1+'Giả định'!$B$16)</f>
        <v>544892260</v>
      </c>
      <c r="D504" s="25" t="n">
        <f aca="false">('Chi phí'!$C$77+'Chi phí'!$D$77*B504+'Chi phí'!$E$77*A504+'Giả định'!$B$15*('Chi phí'!$F$77+'Chi phí'!$G$77*B504+'Chi phí'!$H$77*A504))*(1+'Giả định'!$B$16)</f>
        <v>688497260</v>
      </c>
      <c r="E504" s="25" t="n">
        <f aca="false">A504/'Giả định'!$B$19*'Giả định'!$B$20+A504*'Giả định'!$B$23+'Giả định'!$B$24</f>
        <v>185762184.87395</v>
      </c>
      <c r="F504" s="25" t="n">
        <f aca="false">E504-D504</f>
        <v>-502735075.12605</v>
      </c>
      <c r="G504" s="25" t="n">
        <f aca="false">E504-C504</f>
        <v>-359130075.12605</v>
      </c>
      <c r="H504" s="7" t="str">
        <f aca="false">IF(F504&gt;=0,A504,"")</f>
        <v/>
      </c>
      <c r="I504" s="7" t="n">
        <f aca="false">IF(F504&lt;0,A504,0)</f>
        <v>499</v>
      </c>
      <c r="J504" s="7" t="str">
        <f aca="false">IF(G504&gt;=0,A504,"")</f>
        <v/>
      </c>
      <c r="K504" s="7" t="n">
        <f aca="false">IF(G504&lt;0,A504,0)</f>
        <v>499</v>
      </c>
    </row>
    <row r="505" customFormat="false" ht="15" hidden="false" customHeight="false" outlineLevel="0" collapsed="false">
      <c r="A505" s="7" t="n">
        <f aca="false">A504+1</f>
        <v>500</v>
      </c>
      <c r="B505" s="7" t="n">
        <f aca="false">MAX('Giả định'!$B$9,ROUNDUP(A505/'Giả định'!$B$7,0)+'Giả định'!$B$8)</f>
        <v>51</v>
      </c>
      <c r="C505" s="25" t="n">
        <f aca="false">('Chi phí'!$C$76+'Chi phí'!$D$76*B505+'Chi phí'!$E$76*A505+'Giả định'!$B$15*('Chi phí'!$F$76+'Chi phí'!$G$76*B505+'Chi phí'!$H$76*A505))*(1+'Giả định'!$B$16)</f>
        <v>544929000</v>
      </c>
      <c r="D505" s="25" t="n">
        <f aca="false">('Chi phí'!$C$77+'Chi phí'!$D$77*B505+'Chi phí'!$E$77*A505+'Giả định'!$B$15*('Chi phí'!$F$77+'Chi phí'!$G$77*B505+'Chi phí'!$H$77*A505))*(1+'Giả định'!$B$16)</f>
        <v>688534000</v>
      </c>
      <c r="E505" s="25" t="n">
        <f aca="false">A505/'Giả định'!$B$19*'Giả định'!$B$20+A505*'Giả định'!$B$23+'Giả định'!$B$24</f>
        <v>186134453.781513</v>
      </c>
      <c r="F505" s="25" t="n">
        <f aca="false">E505-D505</f>
        <v>-502399546.218487</v>
      </c>
      <c r="G505" s="25" t="n">
        <f aca="false">E505-C505</f>
        <v>-358794546.218487</v>
      </c>
      <c r="H505" s="7" t="str">
        <f aca="false">IF(F505&gt;=0,A505,"")</f>
        <v/>
      </c>
      <c r="I505" s="7" t="n">
        <f aca="false">IF(F505&lt;0,A505,0)</f>
        <v>500</v>
      </c>
      <c r="J505" s="7" t="str">
        <f aca="false">IF(G505&gt;=0,A505,"")</f>
        <v/>
      </c>
      <c r="K505" s="7" t="n">
        <f aca="false">IF(G505&lt;0,A505,0)</f>
        <v>500</v>
      </c>
    </row>
    <row r="506" customFormat="false" ht="15" hidden="false" customHeight="false" outlineLevel="0" collapsed="false">
      <c r="A506" s="7" t="n">
        <f aca="false">A505+1</f>
        <v>501</v>
      </c>
      <c r="B506" s="7" t="n">
        <f aca="false">MAX('Giả định'!$B$9,ROUNDUP(A506/'Giả định'!$B$7,0)+'Giả định'!$B$8)</f>
        <v>52</v>
      </c>
      <c r="C506" s="25" t="n">
        <f aca="false">('Chi phí'!$C$76+'Chi phí'!$D$76*B506+'Chi phí'!$E$76*A506+'Giả định'!$B$15*('Chi phí'!$F$76+'Chi phí'!$G$76*B506+'Chi phí'!$H$76*A506))*(1+'Giả định'!$B$16)</f>
        <v>554139740</v>
      </c>
      <c r="D506" s="25" t="n">
        <f aca="false">('Chi phí'!$C$77+'Chi phí'!$D$77*B506+'Chi phí'!$E$77*A506+'Giả định'!$B$15*('Chi phí'!$F$77+'Chi phí'!$G$77*B506+'Chi phí'!$H$77*A506))*(1+'Giả định'!$B$16)</f>
        <v>697744740</v>
      </c>
      <c r="E506" s="25" t="n">
        <f aca="false">A506/'Giả định'!$B$19*'Giả định'!$B$20+A506*'Giả định'!$B$23+'Giả định'!$B$24</f>
        <v>186506722.689076</v>
      </c>
      <c r="F506" s="25" t="n">
        <f aca="false">E506-D506</f>
        <v>-511238017.310924</v>
      </c>
      <c r="G506" s="25" t="n">
        <f aca="false">E506-C506</f>
        <v>-367633017.310924</v>
      </c>
      <c r="H506" s="7" t="str">
        <f aca="false">IF(F506&gt;=0,A506,"")</f>
        <v/>
      </c>
      <c r="I506" s="7" t="n">
        <f aca="false">IF(F506&lt;0,A506,0)</f>
        <v>501</v>
      </c>
      <c r="J506" s="7" t="str">
        <f aca="false">IF(G506&gt;=0,A506,"")</f>
        <v/>
      </c>
      <c r="K506" s="7" t="n">
        <f aca="false">IF(G506&lt;0,A506,0)</f>
        <v>501</v>
      </c>
    </row>
    <row r="507" customFormat="false" ht="15" hidden="false" customHeight="false" outlineLevel="0" collapsed="false">
      <c r="A507" s="7" t="n">
        <f aca="false">A506+1</f>
        <v>502</v>
      </c>
      <c r="B507" s="7" t="n">
        <f aca="false">MAX('Giả định'!$B$9,ROUNDUP(A507/'Giả định'!$B$7,0)+'Giả định'!$B$8)</f>
        <v>52</v>
      </c>
      <c r="C507" s="25" t="n">
        <f aca="false">('Chi phí'!$C$76+'Chi phí'!$D$76*B507+'Chi phí'!$E$76*A507+'Giả định'!$B$15*('Chi phí'!$F$76+'Chi phí'!$G$76*B507+'Chi phí'!$H$76*A507))*(1+'Giả định'!$B$16)</f>
        <v>554176480</v>
      </c>
      <c r="D507" s="25" t="n">
        <f aca="false">('Chi phí'!$C$77+'Chi phí'!$D$77*B507+'Chi phí'!$E$77*A507+'Giả định'!$B$15*('Chi phí'!$F$77+'Chi phí'!$G$77*B507+'Chi phí'!$H$77*A507))*(1+'Giả định'!$B$16)</f>
        <v>697781480</v>
      </c>
      <c r="E507" s="25" t="n">
        <f aca="false">A507/'Giả định'!$B$19*'Giả định'!$B$20+A507*'Giả định'!$B$23+'Giả định'!$B$24</f>
        <v>186878991.596639</v>
      </c>
      <c r="F507" s="25" t="n">
        <f aca="false">E507-D507</f>
        <v>-510902488.403361</v>
      </c>
      <c r="G507" s="25" t="n">
        <f aca="false">E507-C507</f>
        <v>-367297488.403361</v>
      </c>
      <c r="H507" s="7" t="str">
        <f aca="false">IF(F507&gt;=0,A507,"")</f>
        <v/>
      </c>
      <c r="I507" s="7" t="n">
        <f aca="false">IF(F507&lt;0,A507,0)</f>
        <v>502</v>
      </c>
      <c r="J507" s="7" t="str">
        <f aca="false">IF(G507&gt;=0,A507,"")</f>
        <v/>
      </c>
      <c r="K507" s="7" t="n">
        <f aca="false">IF(G507&lt;0,A507,0)</f>
        <v>502</v>
      </c>
    </row>
    <row r="508" customFormat="false" ht="15" hidden="false" customHeight="false" outlineLevel="0" collapsed="false">
      <c r="A508" s="7" t="n">
        <f aca="false">A507+1</f>
        <v>503</v>
      </c>
      <c r="B508" s="7" t="n">
        <f aca="false">MAX('Giả định'!$B$9,ROUNDUP(A508/'Giả định'!$B$7,0)+'Giả định'!$B$8)</f>
        <v>52</v>
      </c>
      <c r="C508" s="25" t="n">
        <f aca="false">('Chi phí'!$C$76+'Chi phí'!$D$76*B508+'Chi phí'!$E$76*A508+'Giả định'!$B$15*('Chi phí'!$F$76+'Chi phí'!$G$76*B508+'Chi phí'!$H$76*A508))*(1+'Giả định'!$B$16)</f>
        <v>554213220</v>
      </c>
      <c r="D508" s="25" t="n">
        <f aca="false">('Chi phí'!$C$77+'Chi phí'!$D$77*B508+'Chi phí'!$E$77*A508+'Giả định'!$B$15*('Chi phí'!$F$77+'Chi phí'!$G$77*B508+'Chi phí'!$H$77*A508))*(1+'Giả định'!$B$16)</f>
        <v>697818220</v>
      </c>
      <c r="E508" s="25" t="n">
        <f aca="false">A508/'Giả định'!$B$19*'Giả định'!$B$20+A508*'Giả định'!$B$23+'Giả định'!$B$24</f>
        <v>187251260.504202</v>
      </c>
      <c r="F508" s="25" t="n">
        <f aca="false">E508-D508</f>
        <v>-510566959.495798</v>
      </c>
      <c r="G508" s="25" t="n">
        <f aca="false">E508-C508</f>
        <v>-366961959.495798</v>
      </c>
      <c r="H508" s="7" t="str">
        <f aca="false">IF(F508&gt;=0,A508,"")</f>
        <v/>
      </c>
      <c r="I508" s="7" t="n">
        <f aca="false">IF(F508&lt;0,A508,0)</f>
        <v>503</v>
      </c>
      <c r="J508" s="7" t="str">
        <f aca="false">IF(G508&gt;=0,A508,"")</f>
        <v/>
      </c>
      <c r="K508" s="7" t="n">
        <f aca="false">IF(G508&lt;0,A508,0)</f>
        <v>503</v>
      </c>
    </row>
    <row r="509" customFormat="false" ht="15" hidden="false" customHeight="false" outlineLevel="0" collapsed="false">
      <c r="A509" s="7" t="n">
        <f aca="false">A508+1</f>
        <v>504</v>
      </c>
      <c r="B509" s="7" t="n">
        <f aca="false">MAX('Giả định'!$B$9,ROUNDUP(A509/'Giả định'!$B$7,0)+'Giả định'!$B$8)</f>
        <v>52</v>
      </c>
      <c r="C509" s="25" t="n">
        <f aca="false">('Chi phí'!$C$76+'Chi phí'!$D$76*B509+'Chi phí'!$E$76*A509+'Giả định'!$B$15*('Chi phí'!$F$76+'Chi phí'!$G$76*B509+'Chi phí'!$H$76*A509))*(1+'Giả định'!$B$16)</f>
        <v>554249960</v>
      </c>
      <c r="D509" s="25" t="n">
        <f aca="false">('Chi phí'!$C$77+'Chi phí'!$D$77*B509+'Chi phí'!$E$77*A509+'Giả định'!$B$15*('Chi phí'!$F$77+'Chi phí'!$G$77*B509+'Chi phí'!$H$77*A509))*(1+'Giả định'!$B$16)</f>
        <v>697854960</v>
      </c>
      <c r="E509" s="25" t="n">
        <f aca="false">A509/'Giả định'!$B$19*'Giả định'!$B$20+A509*'Giả định'!$B$23+'Giả định'!$B$24</f>
        <v>187623529.411765</v>
      </c>
      <c r="F509" s="25" t="n">
        <f aca="false">E509-D509</f>
        <v>-510231430.588235</v>
      </c>
      <c r="G509" s="25" t="n">
        <f aca="false">E509-C509</f>
        <v>-366626430.588235</v>
      </c>
      <c r="H509" s="7" t="str">
        <f aca="false">IF(F509&gt;=0,A509,"")</f>
        <v/>
      </c>
      <c r="I509" s="7" t="n">
        <f aca="false">IF(F509&lt;0,A509,0)</f>
        <v>504</v>
      </c>
      <c r="J509" s="7" t="str">
        <f aca="false">IF(G509&gt;=0,A509,"")</f>
        <v/>
      </c>
      <c r="K509" s="7" t="n">
        <f aca="false">IF(G509&lt;0,A509,0)</f>
        <v>504</v>
      </c>
    </row>
    <row r="510" customFormat="false" ht="15" hidden="false" customHeight="false" outlineLevel="0" collapsed="false">
      <c r="A510" s="7" t="n">
        <f aca="false">A509+1</f>
        <v>505</v>
      </c>
      <c r="B510" s="7" t="n">
        <f aca="false">MAX('Giả định'!$B$9,ROUNDUP(A510/'Giả định'!$B$7,0)+'Giả định'!$B$8)</f>
        <v>52</v>
      </c>
      <c r="C510" s="25" t="n">
        <f aca="false">('Chi phí'!$C$76+'Chi phí'!$D$76*B510+'Chi phí'!$E$76*A510+'Giả định'!$B$15*('Chi phí'!$F$76+'Chi phí'!$G$76*B510+'Chi phí'!$H$76*A510))*(1+'Giả định'!$B$16)</f>
        <v>554286700</v>
      </c>
      <c r="D510" s="25" t="n">
        <f aca="false">('Chi phí'!$C$77+'Chi phí'!$D$77*B510+'Chi phí'!$E$77*A510+'Giả định'!$B$15*('Chi phí'!$F$77+'Chi phí'!$G$77*B510+'Chi phí'!$H$77*A510))*(1+'Giả định'!$B$16)</f>
        <v>697891700</v>
      </c>
      <c r="E510" s="25" t="n">
        <f aca="false">A510/'Giả định'!$B$19*'Giả định'!$B$20+A510*'Giả định'!$B$23+'Giả định'!$B$24</f>
        <v>187995798.319328</v>
      </c>
      <c r="F510" s="25" t="n">
        <f aca="false">E510-D510</f>
        <v>-509895901.680672</v>
      </c>
      <c r="G510" s="25" t="n">
        <f aca="false">E510-C510</f>
        <v>-366290901.680672</v>
      </c>
      <c r="H510" s="7" t="str">
        <f aca="false">IF(F510&gt;=0,A510,"")</f>
        <v/>
      </c>
      <c r="I510" s="7" t="n">
        <f aca="false">IF(F510&lt;0,A510,0)</f>
        <v>505</v>
      </c>
      <c r="J510" s="7" t="str">
        <f aca="false">IF(G510&gt;=0,A510,"")</f>
        <v/>
      </c>
      <c r="K510" s="7" t="n">
        <f aca="false">IF(G510&lt;0,A510,0)</f>
        <v>505</v>
      </c>
    </row>
    <row r="511" customFormat="false" ht="15" hidden="false" customHeight="false" outlineLevel="0" collapsed="false">
      <c r="A511" s="7" t="n">
        <f aca="false">A510+1</f>
        <v>506</v>
      </c>
      <c r="B511" s="7" t="n">
        <f aca="false">MAX('Giả định'!$B$9,ROUNDUP(A511/'Giả định'!$B$7,0)+'Giả định'!$B$8)</f>
        <v>52</v>
      </c>
      <c r="C511" s="25" t="n">
        <f aca="false">('Chi phí'!$C$76+'Chi phí'!$D$76*B511+'Chi phí'!$E$76*A511+'Giả định'!$B$15*('Chi phí'!$F$76+'Chi phí'!$G$76*B511+'Chi phí'!$H$76*A511))*(1+'Giả định'!$B$16)</f>
        <v>554323440</v>
      </c>
      <c r="D511" s="25" t="n">
        <f aca="false">('Chi phí'!$C$77+'Chi phí'!$D$77*B511+'Chi phí'!$E$77*A511+'Giả định'!$B$15*('Chi phí'!$F$77+'Chi phí'!$G$77*B511+'Chi phí'!$H$77*A511))*(1+'Giả định'!$B$16)</f>
        <v>697928440</v>
      </c>
      <c r="E511" s="25" t="n">
        <f aca="false">A511/'Giả định'!$B$19*'Giả định'!$B$20+A511*'Giả định'!$B$23+'Giả định'!$B$24</f>
        <v>188368067.226891</v>
      </c>
      <c r="F511" s="25" t="n">
        <f aca="false">E511-D511</f>
        <v>-509560372.773109</v>
      </c>
      <c r="G511" s="25" t="n">
        <f aca="false">E511-C511</f>
        <v>-365955372.773109</v>
      </c>
      <c r="H511" s="7" t="str">
        <f aca="false">IF(F511&gt;=0,A511,"")</f>
        <v/>
      </c>
      <c r="I511" s="7" t="n">
        <f aca="false">IF(F511&lt;0,A511,0)</f>
        <v>506</v>
      </c>
      <c r="J511" s="7" t="str">
        <f aca="false">IF(G511&gt;=0,A511,"")</f>
        <v/>
      </c>
      <c r="K511" s="7" t="n">
        <f aca="false">IF(G511&lt;0,A511,0)</f>
        <v>506</v>
      </c>
    </row>
    <row r="512" customFormat="false" ht="15" hidden="false" customHeight="false" outlineLevel="0" collapsed="false">
      <c r="A512" s="7" t="n">
        <f aca="false">A511+1</f>
        <v>507</v>
      </c>
      <c r="B512" s="7" t="n">
        <f aca="false">MAX('Giả định'!$B$9,ROUNDUP(A512/'Giả định'!$B$7,0)+'Giả định'!$B$8)</f>
        <v>52</v>
      </c>
      <c r="C512" s="25" t="n">
        <f aca="false">('Chi phí'!$C$76+'Chi phí'!$D$76*B512+'Chi phí'!$E$76*A512+'Giả định'!$B$15*('Chi phí'!$F$76+'Chi phí'!$G$76*B512+'Chi phí'!$H$76*A512))*(1+'Giả định'!$B$16)</f>
        <v>554360180</v>
      </c>
      <c r="D512" s="25" t="n">
        <f aca="false">('Chi phí'!$C$77+'Chi phí'!$D$77*B512+'Chi phí'!$E$77*A512+'Giả định'!$B$15*('Chi phí'!$F$77+'Chi phí'!$G$77*B512+'Chi phí'!$H$77*A512))*(1+'Giả định'!$B$16)</f>
        <v>697965180</v>
      </c>
      <c r="E512" s="25" t="n">
        <f aca="false">A512/'Giả định'!$B$19*'Giả định'!$B$20+A512*'Giả định'!$B$23+'Giả định'!$B$24</f>
        <v>188740336.134454</v>
      </c>
      <c r="F512" s="25" t="n">
        <f aca="false">E512-D512</f>
        <v>-509224843.865546</v>
      </c>
      <c r="G512" s="25" t="n">
        <f aca="false">E512-C512</f>
        <v>-365619843.865546</v>
      </c>
      <c r="H512" s="7" t="str">
        <f aca="false">IF(F512&gt;=0,A512,"")</f>
        <v/>
      </c>
      <c r="I512" s="7" t="n">
        <f aca="false">IF(F512&lt;0,A512,0)</f>
        <v>507</v>
      </c>
      <c r="J512" s="7" t="str">
        <f aca="false">IF(G512&gt;=0,A512,"")</f>
        <v/>
      </c>
      <c r="K512" s="7" t="n">
        <f aca="false">IF(G512&lt;0,A512,0)</f>
        <v>507</v>
      </c>
    </row>
    <row r="513" customFormat="false" ht="15" hidden="false" customHeight="false" outlineLevel="0" collapsed="false">
      <c r="A513" s="7" t="n">
        <f aca="false">A512+1</f>
        <v>508</v>
      </c>
      <c r="B513" s="7" t="n">
        <f aca="false">MAX('Giả định'!$B$9,ROUNDUP(A513/'Giả định'!$B$7,0)+'Giả định'!$B$8)</f>
        <v>52</v>
      </c>
      <c r="C513" s="25" t="n">
        <f aca="false">('Chi phí'!$C$76+'Chi phí'!$D$76*B513+'Chi phí'!$E$76*A513+'Giả định'!$B$15*('Chi phí'!$F$76+'Chi phí'!$G$76*B513+'Chi phí'!$H$76*A513))*(1+'Giả định'!$B$16)</f>
        <v>554396920</v>
      </c>
      <c r="D513" s="25" t="n">
        <f aca="false">('Chi phí'!$C$77+'Chi phí'!$D$77*B513+'Chi phí'!$E$77*A513+'Giả định'!$B$15*('Chi phí'!$F$77+'Chi phí'!$G$77*B513+'Chi phí'!$H$77*A513))*(1+'Giả định'!$B$16)</f>
        <v>698001920</v>
      </c>
      <c r="E513" s="25" t="n">
        <f aca="false">A513/'Giả định'!$B$19*'Giả định'!$B$20+A513*'Giả định'!$B$23+'Giả định'!$B$24</f>
        <v>189112605.042017</v>
      </c>
      <c r="F513" s="25" t="n">
        <f aca="false">E513-D513</f>
        <v>-508889314.957983</v>
      </c>
      <c r="G513" s="25" t="n">
        <f aca="false">E513-C513</f>
        <v>-365284314.957983</v>
      </c>
      <c r="H513" s="7" t="str">
        <f aca="false">IF(F513&gt;=0,A513,"")</f>
        <v/>
      </c>
      <c r="I513" s="7" t="n">
        <f aca="false">IF(F513&lt;0,A513,0)</f>
        <v>508</v>
      </c>
      <c r="J513" s="7" t="str">
        <f aca="false">IF(G513&gt;=0,A513,"")</f>
        <v/>
      </c>
      <c r="K513" s="7" t="n">
        <f aca="false">IF(G513&lt;0,A513,0)</f>
        <v>508</v>
      </c>
    </row>
    <row r="514" customFormat="false" ht="15" hidden="false" customHeight="false" outlineLevel="0" collapsed="false">
      <c r="A514" s="7" t="n">
        <f aca="false">A513+1</f>
        <v>509</v>
      </c>
      <c r="B514" s="7" t="n">
        <f aca="false">MAX('Giả định'!$B$9,ROUNDUP(A514/'Giả định'!$B$7,0)+'Giả định'!$B$8)</f>
        <v>52</v>
      </c>
      <c r="C514" s="25" t="n">
        <f aca="false">('Chi phí'!$C$76+'Chi phí'!$D$76*B514+'Chi phí'!$E$76*A514+'Giả định'!$B$15*('Chi phí'!$F$76+'Chi phí'!$G$76*B514+'Chi phí'!$H$76*A514))*(1+'Giả định'!$B$16)</f>
        <v>554433660</v>
      </c>
      <c r="D514" s="25" t="n">
        <f aca="false">('Chi phí'!$C$77+'Chi phí'!$D$77*B514+'Chi phí'!$E$77*A514+'Giả định'!$B$15*('Chi phí'!$F$77+'Chi phí'!$G$77*B514+'Chi phí'!$H$77*A514))*(1+'Giả định'!$B$16)</f>
        <v>698038660</v>
      </c>
      <c r="E514" s="25" t="n">
        <f aca="false">A514/'Giả định'!$B$19*'Giả định'!$B$20+A514*'Giả định'!$B$23+'Giả định'!$B$24</f>
        <v>189484873.94958</v>
      </c>
      <c r="F514" s="25" t="n">
        <f aca="false">E514-D514</f>
        <v>-508553786.05042</v>
      </c>
      <c r="G514" s="25" t="n">
        <f aca="false">E514-C514</f>
        <v>-364948786.05042</v>
      </c>
      <c r="H514" s="7" t="str">
        <f aca="false">IF(F514&gt;=0,A514,"")</f>
        <v/>
      </c>
      <c r="I514" s="7" t="n">
        <f aca="false">IF(F514&lt;0,A514,0)</f>
        <v>509</v>
      </c>
      <c r="J514" s="7" t="str">
        <f aca="false">IF(G514&gt;=0,A514,"")</f>
        <v/>
      </c>
      <c r="K514" s="7" t="n">
        <f aca="false">IF(G514&lt;0,A514,0)</f>
        <v>509</v>
      </c>
    </row>
    <row r="515" customFormat="false" ht="15" hidden="false" customHeight="false" outlineLevel="0" collapsed="false">
      <c r="A515" s="7" t="n">
        <f aca="false">A514+1</f>
        <v>510</v>
      </c>
      <c r="B515" s="7" t="n">
        <f aca="false">MAX('Giả định'!$B$9,ROUNDUP(A515/'Giả định'!$B$7,0)+'Giả định'!$B$8)</f>
        <v>52</v>
      </c>
      <c r="C515" s="25" t="n">
        <f aca="false">('Chi phí'!$C$76+'Chi phí'!$D$76*B515+'Chi phí'!$E$76*A515+'Giả định'!$B$15*('Chi phí'!$F$76+'Chi phí'!$G$76*B515+'Chi phí'!$H$76*A515))*(1+'Giả định'!$B$16)</f>
        <v>554470400</v>
      </c>
      <c r="D515" s="25" t="n">
        <f aca="false">('Chi phí'!$C$77+'Chi phí'!$D$77*B515+'Chi phí'!$E$77*A515+'Giả định'!$B$15*('Chi phí'!$F$77+'Chi phí'!$G$77*B515+'Chi phí'!$H$77*A515))*(1+'Giả định'!$B$16)</f>
        <v>698075400</v>
      </c>
      <c r="E515" s="25" t="n">
        <f aca="false">A515/'Giả định'!$B$19*'Giả định'!$B$20+A515*'Giả định'!$B$23+'Giả định'!$B$24</f>
        <v>189857142.857143</v>
      </c>
      <c r="F515" s="25" t="n">
        <f aca="false">E515-D515</f>
        <v>-508218257.142857</v>
      </c>
      <c r="G515" s="25" t="n">
        <f aca="false">E515-C515</f>
        <v>-364613257.142857</v>
      </c>
      <c r="H515" s="7" t="str">
        <f aca="false">IF(F515&gt;=0,A515,"")</f>
        <v/>
      </c>
      <c r="I515" s="7" t="n">
        <f aca="false">IF(F515&lt;0,A515,0)</f>
        <v>510</v>
      </c>
      <c r="J515" s="7" t="str">
        <f aca="false">IF(G515&gt;=0,A515,"")</f>
        <v/>
      </c>
      <c r="K515" s="7" t="n">
        <f aca="false">IF(G515&lt;0,A515,0)</f>
        <v>510</v>
      </c>
    </row>
    <row r="516" customFormat="false" ht="15" hidden="false" customHeight="false" outlineLevel="0" collapsed="false">
      <c r="A516" s="7" t="n">
        <f aca="false">A515+1</f>
        <v>511</v>
      </c>
      <c r="B516" s="7" t="n">
        <f aca="false">MAX('Giả định'!$B$9,ROUNDUP(A516/'Giả định'!$B$7,0)+'Giả định'!$B$8)</f>
        <v>53</v>
      </c>
      <c r="C516" s="25" t="n">
        <f aca="false">('Chi phí'!$C$76+'Chi phí'!$D$76*B516+'Chi phí'!$E$76*A516+'Giả định'!$B$15*('Chi phí'!$F$76+'Chi phí'!$G$76*B516+'Chi phí'!$H$76*A516))*(1+'Giả định'!$B$16)</f>
        <v>563681140</v>
      </c>
      <c r="D516" s="25" t="n">
        <f aca="false">('Chi phí'!$C$77+'Chi phí'!$D$77*B516+'Chi phí'!$E$77*A516+'Giả định'!$B$15*('Chi phí'!$F$77+'Chi phí'!$G$77*B516+'Chi phí'!$H$77*A516))*(1+'Giả định'!$B$16)</f>
        <v>707286140</v>
      </c>
      <c r="E516" s="25" t="n">
        <f aca="false">A516/'Giả định'!$B$19*'Giả định'!$B$20+A516*'Giả định'!$B$23+'Giả định'!$B$24</f>
        <v>190229411.764706</v>
      </c>
      <c r="F516" s="25" t="n">
        <f aca="false">E516-D516</f>
        <v>-517056728.235294</v>
      </c>
      <c r="G516" s="25" t="n">
        <f aca="false">E516-C516</f>
        <v>-373451728.235294</v>
      </c>
      <c r="H516" s="7" t="str">
        <f aca="false">IF(F516&gt;=0,A516,"")</f>
        <v/>
      </c>
      <c r="I516" s="7" t="n">
        <f aca="false">IF(F516&lt;0,A516,0)</f>
        <v>511</v>
      </c>
      <c r="J516" s="7" t="str">
        <f aca="false">IF(G516&gt;=0,A516,"")</f>
        <v/>
      </c>
      <c r="K516" s="7" t="n">
        <f aca="false">IF(G516&lt;0,A516,0)</f>
        <v>511</v>
      </c>
    </row>
    <row r="517" customFormat="false" ht="15" hidden="false" customHeight="false" outlineLevel="0" collapsed="false">
      <c r="A517" s="7" t="n">
        <f aca="false">A516+1</f>
        <v>512</v>
      </c>
      <c r="B517" s="7" t="n">
        <f aca="false">MAX('Giả định'!$B$9,ROUNDUP(A517/'Giả định'!$B$7,0)+'Giả định'!$B$8)</f>
        <v>53</v>
      </c>
      <c r="C517" s="25" t="n">
        <f aca="false">('Chi phí'!$C$76+'Chi phí'!$D$76*B517+'Chi phí'!$E$76*A517+'Giả định'!$B$15*('Chi phí'!$F$76+'Chi phí'!$G$76*B517+'Chi phí'!$H$76*A517))*(1+'Giả định'!$B$16)</f>
        <v>563717880</v>
      </c>
      <c r="D517" s="25" t="n">
        <f aca="false">('Chi phí'!$C$77+'Chi phí'!$D$77*B517+'Chi phí'!$E$77*A517+'Giả định'!$B$15*('Chi phí'!$F$77+'Chi phí'!$G$77*B517+'Chi phí'!$H$77*A517))*(1+'Giả định'!$B$16)</f>
        <v>707322880</v>
      </c>
      <c r="E517" s="25" t="n">
        <f aca="false">A517/'Giả định'!$B$19*'Giả định'!$B$20+A517*'Giả định'!$B$23+'Giả định'!$B$24</f>
        <v>190601680.672269</v>
      </c>
      <c r="F517" s="25" t="n">
        <f aca="false">E517-D517</f>
        <v>-516721199.327731</v>
      </c>
      <c r="G517" s="25" t="n">
        <f aca="false">E517-C517</f>
        <v>-373116199.327731</v>
      </c>
      <c r="H517" s="7" t="str">
        <f aca="false">IF(F517&gt;=0,A517,"")</f>
        <v/>
      </c>
      <c r="I517" s="7" t="n">
        <f aca="false">IF(F517&lt;0,A517,0)</f>
        <v>512</v>
      </c>
      <c r="J517" s="7" t="str">
        <f aca="false">IF(G517&gt;=0,A517,"")</f>
        <v/>
      </c>
      <c r="K517" s="7" t="n">
        <f aca="false">IF(G517&lt;0,A517,0)</f>
        <v>512</v>
      </c>
    </row>
    <row r="518" customFormat="false" ht="15" hidden="false" customHeight="false" outlineLevel="0" collapsed="false">
      <c r="A518" s="7" t="n">
        <f aca="false">A517+1</f>
        <v>513</v>
      </c>
      <c r="B518" s="7" t="n">
        <f aca="false">MAX('Giả định'!$B$9,ROUNDUP(A518/'Giả định'!$B$7,0)+'Giả định'!$B$8)</f>
        <v>53</v>
      </c>
      <c r="C518" s="25" t="n">
        <f aca="false">('Chi phí'!$C$76+'Chi phí'!$D$76*B518+'Chi phí'!$E$76*A518+'Giả định'!$B$15*('Chi phí'!$F$76+'Chi phí'!$G$76*B518+'Chi phí'!$H$76*A518))*(1+'Giả định'!$B$16)</f>
        <v>563754620</v>
      </c>
      <c r="D518" s="25" t="n">
        <f aca="false">('Chi phí'!$C$77+'Chi phí'!$D$77*B518+'Chi phí'!$E$77*A518+'Giả định'!$B$15*('Chi phí'!$F$77+'Chi phí'!$G$77*B518+'Chi phí'!$H$77*A518))*(1+'Giả định'!$B$16)</f>
        <v>707359620</v>
      </c>
      <c r="E518" s="25" t="n">
        <f aca="false">A518/'Giả định'!$B$19*'Giả định'!$B$20+A518*'Giả định'!$B$23+'Giả định'!$B$24</f>
        <v>190973949.579832</v>
      </c>
      <c r="F518" s="25" t="n">
        <f aca="false">E518-D518</f>
        <v>-516385670.420168</v>
      </c>
      <c r="G518" s="25" t="n">
        <f aca="false">E518-C518</f>
        <v>-372780670.420168</v>
      </c>
      <c r="H518" s="7" t="str">
        <f aca="false">IF(F518&gt;=0,A518,"")</f>
        <v/>
      </c>
      <c r="I518" s="7" t="n">
        <f aca="false">IF(F518&lt;0,A518,0)</f>
        <v>513</v>
      </c>
      <c r="J518" s="7" t="str">
        <f aca="false">IF(G518&gt;=0,A518,"")</f>
        <v/>
      </c>
      <c r="K518" s="7" t="n">
        <f aca="false">IF(G518&lt;0,A518,0)</f>
        <v>513</v>
      </c>
    </row>
    <row r="519" customFormat="false" ht="15" hidden="false" customHeight="false" outlineLevel="0" collapsed="false">
      <c r="A519" s="7" t="n">
        <f aca="false">A518+1</f>
        <v>514</v>
      </c>
      <c r="B519" s="7" t="n">
        <f aca="false">MAX('Giả định'!$B$9,ROUNDUP(A519/'Giả định'!$B$7,0)+'Giả định'!$B$8)</f>
        <v>53</v>
      </c>
      <c r="C519" s="25" t="n">
        <f aca="false">('Chi phí'!$C$76+'Chi phí'!$D$76*B519+'Chi phí'!$E$76*A519+'Giả định'!$B$15*('Chi phí'!$F$76+'Chi phí'!$G$76*B519+'Chi phí'!$H$76*A519))*(1+'Giả định'!$B$16)</f>
        <v>563791360</v>
      </c>
      <c r="D519" s="25" t="n">
        <f aca="false">('Chi phí'!$C$77+'Chi phí'!$D$77*B519+'Chi phí'!$E$77*A519+'Giả định'!$B$15*('Chi phí'!$F$77+'Chi phí'!$G$77*B519+'Chi phí'!$H$77*A519))*(1+'Giả định'!$B$16)</f>
        <v>707396360</v>
      </c>
      <c r="E519" s="25" t="n">
        <f aca="false">A519/'Giả định'!$B$19*'Giả định'!$B$20+A519*'Giả định'!$B$23+'Giả định'!$B$24</f>
        <v>191346218.487395</v>
      </c>
      <c r="F519" s="25" t="n">
        <f aca="false">E519-D519</f>
        <v>-516050141.512605</v>
      </c>
      <c r="G519" s="25" t="n">
        <f aca="false">E519-C519</f>
        <v>-372445141.512605</v>
      </c>
      <c r="H519" s="7" t="str">
        <f aca="false">IF(F519&gt;=0,A519,"")</f>
        <v/>
      </c>
      <c r="I519" s="7" t="n">
        <f aca="false">IF(F519&lt;0,A519,0)</f>
        <v>514</v>
      </c>
      <c r="J519" s="7" t="str">
        <f aca="false">IF(G519&gt;=0,A519,"")</f>
        <v/>
      </c>
      <c r="K519" s="7" t="n">
        <f aca="false">IF(G519&lt;0,A519,0)</f>
        <v>514</v>
      </c>
    </row>
    <row r="520" customFormat="false" ht="15" hidden="false" customHeight="false" outlineLevel="0" collapsed="false">
      <c r="A520" s="7" t="n">
        <f aca="false">A519+1</f>
        <v>515</v>
      </c>
      <c r="B520" s="7" t="n">
        <f aca="false">MAX('Giả định'!$B$9,ROUNDUP(A520/'Giả định'!$B$7,0)+'Giả định'!$B$8)</f>
        <v>53</v>
      </c>
      <c r="C520" s="25" t="n">
        <f aca="false">('Chi phí'!$C$76+'Chi phí'!$D$76*B520+'Chi phí'!$E$76*A520+'Giả định'!$B$15*('Chi phí'!$F$76+'Chi phí'!$G$76*B520+'Chi phí'!$H$76*A520))*(1+'Giả định'!$B$16)</f>
        <v>563828100</v>
      </c>
      <c r="D520" s="25" t="n">
        <f aca="false">('Chi phí'!$C$77+'Chi phí'!$D$77*B520+'Chi phí'!$E$77*A520+'Giả định'!$B$15*('Chi phí'!$F$77+'Chi phí'!$G$77*B520+'Chi phí'!$H$77*A520))*(1+'Giả định'!$B$16)</f>
        <v>707433100</v>
      </c>
      <c r="E520" s="25" t="n">
        <f aca="false">A520/'Giả định'!$B$19*'Giả định'!$B$20+A520*'Giả định'!$B$23+'Giả định'!$B$24</f>
        <v>191718487.394958</v>
      </c>
      <c r="F520" s="25" t="n">
        <f aca="false">E520-D520</f>
        <v>-515714612.605042</v>
      </c>
      <c r="G520" s="25" t="n">
        <f aca="false">E520-C520</f>
        <v>-372109612.605042</v>
      </c>
      <c r="H520" s="7" t="str">
        <f aca="false">IF(F520&gt;=0,A520,"")</f>
        <v/>
      </c>
      <c r="I520" s="7" t="n">
        <f aca="false">IF(F520&lt;0,A520,0)</f>
        <v>515</v>
      </c>
      <c r="J520" s="7" t="str">
        <f aca="false">IF(G520&gt;=0,A520,"")</f>
        <v/>
      </c>
      <c r="K520" s="7" t="n">
        <f aca="false">IF(G520&lt;0,A520,0)</f>
        <v>515</v>
      </c>
    </row>
    <row r="521" customFormat="false" ht="15" hidden="false" customHeight="false" outlineLevel="0" collapsed="false">
      <c r="A521" s="7" t="n">
        <f aca="false">A520+1</f>
        <v>516</v>
      </c>
      <c r="B521" s="7" t="n">
        <f aca="false">MAX('Giả định'!$B$9,ROUNDUP(A521/'Giả định'!$B$7,0)+'Giả định'!$B$8)</f>
        <v>53</v>
      </c>
      <c r="C521" s="25" t="n">
        <f aca="false">('Chi phí'!$C$76+'Chi phí'!$D$76*B521+'Chi phí'!$E$76*A521+'Giả định'!$B$15*('Chi phí'!$F$76+'Chi phí'!$G$76*B521+'Chi phí'!$H$76*A521))*(1+'Giả định'!$B$16)</f>
        <v>563864840</v>
      </c>
      <c r="D521" s="25" t="n">
        <f aca="false">('Chi phí'!$C$77+'Chi phí'!$D$77*B521+'Chi phí'!$E$77*A521+'Giả định'!$B$15*('Chi phí'!$F$77+'Chi phí'!$G$77*B521+'Chi phí'!$H$77*A521))*(1+'Giả định'!$B$16)</f>
        <v>707469840</v>
      </c>
      <c r="E521" s="25" t="n">
        <f aca="false">A521/'Giả định'!$B$19*'Giả định'!$B$20+A521*'Giả định'!$B$23+'Giả định'!$B$24</f>
        <v>192090756.302521</v>
      </c>
      <c r="F521" s="25" t="n">
        <f aca="false">E521-D521</f>
        <v>-515379083.697479</v>
      </c>
      <c r="G521" s="25" t="n">
        <f aca="false">E521-C521</f>
        <v>-371774083.697479</v>
      </c>
      <c r="H521" s="7" t="str">
        <f aca="false">IF(F521&gt;=0,A521,"")</f>
        <v/>
      </c>
      <c r="I521" s="7" t="n">
        <f aca="false">IF(F521&lt;0,A521,0)</f>
        <v>516</v>
      </c>
      <c r="J521" s="7" t="str">
        <f aca="false">IF(G521&gt;=0,A521,"")</f>
        <v/>
      </c>
      <c r="K521" s="7" t="n">
        <f aca="false">IF(G521&lt;0,A521,0)</f>
        <v>516</v>
      </c>
    </row>
    <row r="522" customFormat="false" ht="15" hidden="false" customHeight="false" outlineLevel="0" collapsed="false">
      <c r="A522" s="7" t="n">
        <f aca="false">A521+1</f>
        <v>517</v>
      </c>
      <c r="B522" s="7" t="n">
        <f aca="false">MAX('Giả định'!$B$9,ROUNDUP(A522/'Giả định'!$B$7,0)+'Giả định'!$B$8)</f>
        <v>53</v>
      </c>
      <c r="C522" s="25" t="n">
        <f aca="false">('Chi phí'!$C$76+'Chi phí'!$D$76*B522+'Chi phí'!$E$76*A522+'Giả định'!$B$15*('Chi phí'!$F$76+'Chi phí'!$G$76*B522+'Chi phí'!$H$76*A522))*(1+'Giả định'!$B$16)</f>
        <v>563901580</v>
      </c>
      <c r="D522" s="25" t="n">
        <f aca="false">('Chi phí'!$C$77+'Chi phí'!$D$77*B522+'Chi phí'!$E$77*A522+'Giả định'!$B$15*('Chi phí'!$F$77+'Chi phí'!$G$77*B522+'Chi phí'!$H$77*A522))*(1+'Giả định'!$B$16)</f>
        <v>707506580</v>
      </c>
      <c r="E522" s="25" t="n">
        <f aca="false">A522/'Giả định'!$B$19*'Giả định'!$B$20+A522*'Giả định'!$B$23+'Giả định'!$B$24</f>
        <v>192463025.210084</v>
      </c>
      <c r="F522" s="25" t="n">
        <f aca="false">E522-D522</f>
        <v>-515043554.789916</v>
      </c>
      <c r="G522" s="25" t="n">
        <f aca="false">E522-C522</f>
        <v>-371438554.789916</v>
      </c>
      <c r="H522" s="7" t="str">
        <f aca="false">IF(F522&gt;=0,A522,"")</f>
        <v/>
      </c>
      <c r="I522" s="7" t="n">
        <f aca="false">IF(F522&lt;0,A522,0)</f>
        <v>517</v>
      </c>
      <c r="J522" s="7" t="str">
        <f aca="false">IF(G522&gt;=0,A522,"")</f>
        <v/>
      </c>
      <c r="K522" s="7" t="n">
        <f aca="false">IF(G522&lt;0,A522,0)</f>
        <v>517</v>
      </c>
    </row>
    <row r="523" customFormat="false" ht="15" hidden="false" customHeight="false" outlineLevel="0" collapsed="false">
      <c r="A523" s="7" t="n">
        <f aca="false">A522+1</f>
        <v>518</v>
      </c>
      <c r="B523" s="7" t="n">
        <f aca="false">MAX('Giả định'!$B$9,ROUNDUP(A523/'Giả định'!$B$7,0)+'Giả định'!$B$8)</f>
        <v>53</v>
      </c>
      <c r="C523" s="25" t="n">
        <f aca="false">('Chi phí'!$C$76+'Chi phí'!$D$76*B523+'Chi phí'!$E$76*A523+'Giả định'!$B$15*('Chi phí'!$F$76+'Chi phí'!$G$76*B523+'Chi phí'!$H$76*A523))*(1+'Giả định'!$B$16)</f>
        <v>563938320</v>
      </c>
      <c r="D523" s="25" t="n">
        <f aca="false">('Chi phí'!$C$77+'Chi phí'!$D$77*B523+'Chi phí'!$E$77*A523+'Giả định'!$B$15*('Chi phí'!$F$77+'Chi phí'!$G$77*B523+'Chi phí'!$H$77*A523))*(1+'Giả định'!$B$16)</f>
        <v>707543320</v>
      </c>
      <c r="E523" s="25" t="n">
        <f aca="false">A523/'Giả định'!$B$19*'Giả định'!$B$20+A523*'Giả định'!$B$23+'Giả định'!$B$24</f>
        <v>192835294.117647</v>
      </c>
      <c r="F523" s="25" t="n">
        <f aca="false">E523-D523</f>
        <v>-514708025.882353</v>
      </c>
      <c r="G523" s="25" t="n">
        <f aca="false">E523-C523</f>
        <v>-371103025.882353</v>
      </c>
      <c r="H523" s="7" t="str">
        <f aca="false">IF(F523&gt;=0,A523,"")</f>
        <v/>
      </c>
      <c r="I523" s="7" t="n">
        <f aca="false">IF(F523&lt;0,A523,0)</f>
        <v>518</v>
      </c>
      <c r="J523" s="7" t="str">
        <f aca="false">IF(G523&gt;=0,A523,"")</f>
        <v/>
      </c>
      <c r="K523" s="7" t="n">
        <f aca="false">IF(G523&lt;0,A523,0)</f>
        <v>518</v>
      </c>
    </row>
    <row r="524" customFormat="false" ht="15" hidden="false" customHeight="false" outlineLevel="0" collapsed="false">
      <c r="A524" s="7" t="n">
        <f aca="false">A523+1</f>
        <v>519</v>
      </c>
      <c r="B524" s="7" t="n">
        <f aca="false">MAX('Giả định'!$B$9,ROUNDUP(A524/'Giả định'!$B$7,0)+'Giả định'!$B$8)</f>
        <v>53</v>
      </c>
      <c r="C524" s="25" t="n">
        <f aca="false">('Chi phí'!$C$76+'Chi phí'!$D$76*B524+'Chi phí'!$E$76*A524+'Giả định'!$B$15*('Chi phí'!$F$76+'Chi phí'!$G$76*B524+'Chi phí'!$H$76*A524))*(1+'Giả định'!$B$16)</f>
        <v>563975060</v>
      </c>
      <c r="D524" s="25" t="n">
        <f aca="false">('Chi phí'!$C$77+'Chi phí'!$D$77*B524+'Chi phí'!$E$77*A524+'Giả định'!$B$15*('Chi phí'!$F$77+'Chi phí'!$G$77*B524+'Chi phí'!$H$77*A524))*(1+'Giả định'!$B$16)</f>
        <v>707580060</v>
      </c>
      <c r="E524" s="25" t="n">
        <f aca="false">A524/'Giả định'!$B$19*'Giả định'!$B$20+A524*'Giả định'!$B$23+'Giả định'!$B$24</f>
        <v>193207563.02521</v>
      </c>
      <c r="F524" s="25" t="n">
        <f aca="false">E524-D524</f>
        <v>-514372496.97479</v>
      </c>
      <c r="G524" s="25" t="n">
        <f aca="false">E524-C524</f>
        <v>-370767496.97479</v>
      </c>
      <c r="H524" s="7" t="str">
        <f aca="false">IF(F524&gt;=0,A524,"")</f>
        <v/>
      </c>
      <c r="I524" s="7" t="n">
        <f aca="false">IF(F524&lt;0,A524,0)</f>
        <v>519</v>
      </c>
      <c r="J524" s="7" t="str">
        <f aca="false">IF(G524&gt;=0,A524,"")</f>
        <v/>
      </c>
      <c r="K524" s="7" t="n">
        <f aca="false">IF(G524&lt;0,A524,0)</f>
        <v>519</v>
      </c>
    </row>
    <row r="525" customFormat="false" ht="15" hidden="false" customHeight="false" outlineLevel="0" collapsed="false">
      <c r="A525" s="7" t="n">
        <f aca="false">A524+1</f>
        <v>520</v>
      </c>
      <c r="B525" s="7" t="n">
        <f aca="false">MAX('Giả định'!$B$9,ROUNDUP(A525/'Giả định'!$B$7,0)+'Giả định'!$B$8)</f>
        <v>53</v>
      </c>
      <c r="C525" s="25" t="n">
        <f aca="false">('Chi phí'!$C$76+'Chi phí'!$D$76*B525+'Chi phí'!$E$76*A525+'Giả định'!$B$15*('Chi phí'!$F$76+'Chi phí'!$G$76*B525+'Chi phí'!$H$76*A525))*(1+'Giả định'!$B$16)</f>
        <v>564011800</v>
      </c>
      <c r="D525" s="25" t="n">
        <f aca="false">('Chi phí'!$C$77+'Chi phí'!$D$77*B525+'Chi phí'!$E$77*A525+'Giả định'!$B$15*('Chi phí'!$F$77+'Chi phí'!$G$77*B525+'Chi phí'!$H$77*A525))*(1+'Giả định'!$B$16)</f>
        <v>707616800</v>
      </c>
      <c r="E525" s="25" t="n">
        <f aca="false">A525/'Giả định'!$B$19*'Giả định'!$B$20+A525*'Giả định'!$B$23+'Giả định'!$B$24</f>
        <v>193579831.932773</v>
      </c>
      <c r="F525" s="25" t="n">
        <f aca="false">E525-D525</f>
        <v>-514036968.067227</v>
      </c>
      <c r="G525" s="25" t="n">
        <f aca="false">E525-C525</f>
        <v>-370431968.067227</v>
      </c>
      <c r="H525" s="7" t="str">
        <f aca="false">IF(F525&gt;=0,A525,"")</f>
        <v/>
      </c>
      <c r="I525" s="7" t="n">
        <f aca="false">IF(F525&lt;0,A525,0)</f>
        <v>520</v>
      </c>
      <c r="J525" s="7" t="str">
        <f aca="false">IF(G525&gt;=0,A525,"")</f>
        <v/>
      </c>
      <c r="K525" s="7" t="n">
        <f aca="false">IF(G525&lt;0,A525,0)</f>
        <v>520</v>
      </c>
    </row>
    <row r="526" customFormat="false" ht="15" hidden="false" customHeight="false" outlineLevel="0" collapsed="false">
      <c r="A526" s="7" t="n">
        <f aca="false">A525+1</f>
        <v>521</v>
      </c>
      <c r="B526" s="7" t="n">
        <f aca="false">MAX('Giả định'!$B$9,ROUNDUP(A526/'Giả định'!$B$7,0)+'Giả định'!$B$8)</f>
        <v>54</v>
      </c>
      <c r="C526" s="25" t="n">
        <f aca="false">('Chi phí'!$C$76+'Chi phí'!$D$76*B526+'Chi phí'!$E$76*A526+'Giả định'!$B$15*('Chi phí'!$F$76+'Chi phí'!$G$76*B526+'Chi phí'!$H$76*A526))*(1+'Giả định'!$B$16)</f>
        <v>573222540</v>
      </c>
      <c r="D526" s="25" t="n">
        <f aca="false">('Chi phí'!$C$77+'Chi phí'!$D$77*B526+'Chi phí'!$E$77*A526+'Giả định'!$B$15*('Chi phí'!$F$77+'Chi phí'!$G$77*B526+'Chi phí'!$H$77*A526))*(1+'Giả định'!$B$16)</f>
        <v>716827540</v>
      </c>
      <c r="E526" s="25" t="n">
        <f aca="false">A526/'Giả định'!$B$19*'Giả định'!$B$20+A526*'Giả định'!$B$23+'Giả định'!$B$24</f>
        <v>193952100.840336</v>
      </c>
      <c r="F526" s="25" t="n">
        <f aca="false">E526-D526</f>
        <v>-522875439.159664</v>
      </c>
      <c r="G526" s="25" t="n">
        <f aca="false">E526-C526</f>
        <v>-379270439.159664</v>
      </c>
      <c r="H526" s="7" t="str">
        <f aca="false">IF(F526&gt;=0,A526,"")</f>
        <v/>
      </c>
      <c r="I526" s="7" t="n">
        <f aca="false">IF(F526&lt;0,A526,0)</f>
        <v>521</v>
      </c>
      <c r="J526" s="7" t="str">
        <f aca="false">IF(G526&gt;=0,A526,"")</f>
        <v/>
      </c>
      <c r="K526" s="7" t="n">
        <f aca="false">IF(G526&lt;0,A526,0)</f>
        <v>521</v>
      </c>
    </row>
    <row r="527" customFormat="false" ht="15" hidden="false" customHeight="false" outlineLevel="0" collapsed="false">
      <c r="A527" s="7" t="n">
        <f aca="false">A526+1</f>
        <v>522</v>
      </c>
      <c r="B527" s="7" t="n">
        <f aca="false">MAX('Giả định'!$B$9,ROUNDUP(A527/'Giả định'!$B$7,0)+'Giả định'!$B$8)</f>
        <v>54</v>
      </c>
      <c r="C527" s="25" t="n">
        <f aca="false">('Chi phí'!$C$76+'Chi phí'!$D$76*B527+'Chi phí'!$E$76*A527+'Giả định'!$B$15*('Chi phí'!$F$76+'Chi phí'!$G$76*B527+'Chi phí'!$H$76*A527))*(1+'Giả định'!$B$16)</f>
        <v>573259280</v>
      </c>
      <c r="D527" s="25" t="n">
        <f aca="false">('Chi phí'!$C$77+'Chi phí'!$D$77*B527+'Chi phí'!$E$77*A527+'Giả định'!$B$15*('Chi phí'!$F$77+'Chi phí'!$G$77*B527+'Chi phí'!$H$77*A527))*(1+'Giả định'!$B$16)</f>
        <v>716864280</v>
      </c>
      <c r="E527" s="25" t="n">
        <f aca="false">A527/'Giả định'!$B$19*'Giả định'!$B$20+A527*'Giả định'!$B$23+'Giả định'!$B$24</f>
        <v>194324369.747899</v>
      </c>
      <c r="F527" s="25" t="n">
        <f aca="false">E527-D527</f>
        <v>-522539910.252101</v>
      </c>
      <c r="G527" s="25" t="n">
        <f aca="false">E527-C527</f>
        <v>-378934910.252101</v>
      </c>
      <c r="H527" s="7" t="str">
        <f aca="false">IF(F527&gt;=0,A527,"")</f>
        <v/>
      </c>
      <c r="I527" s="7" t="n">
        <f aca="false">IF(F527&lt;0,A527,0)</f>
        <v>522</v>
      </c>
      <c r="J527" s="7" t="str">
        <f aca="false">IF(G527&gt;=0,A527,"")</f>
        <v/>
      </c>
      <c r="K527" s="7" t="n">
        <f aca="false">IF(G527&lt;0,A527,0)</f>
        <v>522</v>
      </c>
    </row>
    <row r="528" customFormat="false" ht="15" hidden="false" customHeight="false" outlineLevel="0" collapsed="false">
      <c r="A528" s="7" t="n">
        <f aca="false">A527+1</f>
        <v>523</v>
      </c>
      <c r="B528" s="7" t="n">
        <f aca="false">MAX('Giả định'!$B$9,ROUNDUP(A528/'Giả định'!$B$7,0)+'Giả định'!$B$8)</f>
        <v>54</v>
      </c>
      <c r="C528" s="25" t="n">
        <f aca="false">('Chi phí'!$C$76+'Chi phí'!$D$76*B528+'Chi phí'!$E$76*A528+'Giả định'!$B$15*('Chi phí'!$F$76+'Chi phí'!$G$76*B528+'Chi phí'!$H$76*A528))*(1+'Giả định'!$B$16)</f>
        <v>573296020</v>
      </c>
      <c r="D528" s="25" t="n">
        <f aca="false">('Chi phí'!$C$77+'Chi phí'!$D$77*B528+'Chi phí'!$E$77*A528+'Giả định'!$B$15*('Chi phí'!$F$77+'Chi phí'!$G$77*B528+'Chi phí'!$H$77*A528))*(1+'Giả định'!$B$16)</f>
        <v>716901020</v>
      </c>
      <c r="E528" s="25" t="n">
        <f aca="false">A528/'Giả định'!$B$19*'Giả định'!$B$20+A528*'Giả định'!$B$23+'Giả định'!$B$24</f>
        <v>194696638.655462</v>
      </c>
      <c r="F528" s="25" t="n">
        <f aca="false">E528-D528</f>
        <v>-522204381.344538</v>
      </c>
      <c r="G528" s="25" t="n">
        <f aca="false">E528-C528</f>
        <v>-378599381.344538</v>
      </c>
      <c r="H528" s="7" t="str">
        <f aca="false">IF(F528&gt;=0,A528,"")</f>
        <v/>
      </c>
      <c r="I528" s="7" t="n">
        <f aca="false">IF(F528&lt;0,A528,0)</f>
        <v>523</v>
      </c>
      <c r="J528" s="7" t="str">
        <f aca="false">IF(G528&gt;=0,A528,"")</f>
        <v/>
      </c>
      <c r="K528" s="7" t="n">
        <f aca="false">IF(G528&lt;0,A528,0)</f>
        <v>523</v>
      </c>
    </row>
    <row r="529" customFormat="false" ht="15" hidden="false" customHeight="false" outlineLevel="0" collapsed="false">
      <c r="A529" s="7" t="n">
        <f aca="false">A528+1</f>
        <v>524</v>
      </c>
      <c r="B529" s="7" t="n">
        <f aca="false">MAX('Giả định'!$B$9,ROUNDUP(A529/'Giả định'!$B$7,0)+'Giả định'!$B$8)</f>
        <v>54</v>
      </c>
      <c r="C529" s="25" t="n">
        <f aca="false">('Chi phí'!$C$76+'Chi phí'!$D$76*B529+'Chi phí'!$E$76*A529+'Giả định'!$B$15*('Chi phí'!$F$76+'Chi phí'!$G$76*B529+'Chi phí'!$H$76*A529))*(1+'Giả định'!$B$16)</f>
        <v>573332760</v>
      </c>
      <c r="D529" s="25" t="n">
        <f aca="false">('Chi phí'!$C$77+'Chi phí'!$D$77*B529+'Chi phí'!$E$77*A529+'Giả định'!$B$15*('Chi phí'!$F$77+'Chi phí'!$G$77*B529+'Chi phí'!$H$77*A529))*(1+'Giả định'!$B$16)</f>
        <v>716937760</v>
      </c>
      <c r="E529" s="25" t="n">
        <f aca="false">A529/'Giả định'!$B$19*'Giả định'!$B$20+A529*'Giả định'!$B$23+'Giả định'!$B$24</f>
        <v>195068907.563025</v>
      </c>
      <c r="F529" s="25" t="n">
        <f aca="false">E529-D529</f>
        <v>-521868852.436975</v>
      </c>
      <c r="G529" s="25" t="n">
        <f aca="false">E529-C529</f>
        <v>-378263852.436975</v>
      </c>
      <c r="H529" s="7" t="str">
        <f aca="false">IF(F529&gt;=0,A529,"")</f>
        <v/>
      </c>
      <c r="I529" s="7" t="n">
        <f aca="false">IF(F529&lt;0,A529,0)</f>
        <v>524</v>
      </c>
      <c r="J529" s="7" t="str">
        <f aca="false">IF(G529&gt;=0,A529,"")</f>
        <v/>
      </c>
      <c r="K529" s="7" t="n">
        <f aca="false">IF(G529&lt;0,A529,0)</f>
        <v>524</v>
      </c>
    </row>
    <row r="530" customFormat="false" ht="15" hidden="false" customHeight="false" outlineLevel="0" collapsed="false">
      <c r="A530" s="7" t="n">
        <f aca="false">A529+1</f>
        <v>525</v>
      </c>
      <c r="B530" s="7" t="n">
        <f aca="false">MAX('Giả định'!$B$9,ROUNDUP(A530/'Giả định'!$B$7,0)+'Giả định'!$B$8)</f>
        <v>54</v>
      </c>
      <c r="C530" s="25" t="n">
        <f aca="false">('Chi phí'!$C$76+'Chi phí'!$D$76*B530+'Chi phí'!$E$76*A530+'Giả định'!$B$15*('Chi phí'!$F$76+'Chi phí'!$G$76*B530+'Chi phí'!$H$76*A530))*(1+'Giả định'!$B$16)</f>
        <v>573369500</v>
      </c>
      <c r="D530" s="25" t="n">
        <f aca="false">('Chi phí'!$C$77+'Chi phí'!$D$77*B530+'Chi phí'!$E$77*A530+'Giả định'!$B$15*('Chi phí'!$F$77+'Chi phí'!$G$77*B530+'Chi phí'!$H$77*A530))*(1+'Giả định'!$B$16)</f>
        <v>716974500</v>
      </c>
      <c r="E530" s="25" t="n">
        <f aca="false">A530/'Giả định'!$B$19*'Giả định'!$B$20+A530*'Giả định'!$B$23+'Giả định'!$B$24</f>
        <v>195441176.470588</v>
      </c>
      <c r="F530" s="25" t="n">
        <f aca="false">E530-D530</f>
        <v>-521533323.529412</v>
      </c>
      <c r="G530" s="25" t="n">
        <f aca="false">E530-C530</f>
        <v>-377928323.529412</v>
      </c>
      <c r="H530" s="7" t="str">
        <f aca="false">IF(F530&gt;=0,A530,"")</f>
        <v/>
      </c>
      <c r="I530" s="7" t="n">
        <f aca="false">IF(F530&lt;0,A530,0)</f>
        <v>525</v>
      </c>
      <c r="J530" s="7" t="str">
        <f aca="false">IF(G530&gt;=0,A530,"")</f>
        <v/>
      </c>
      <c r="K530" s="7" t="n">
        <f aca="false">IF(G530&lt;0,A530,0)</f>
        <v>525</v>
      </c>
    </row>
    <row r="531" customFormat="false" ht="15" hidden="false" customHeight="false" outlineLevel="0" collapsed="false">
      <c r="A531" s="7" t="n">
        <f aca="false">A530+1</f>
        <v>526</v>
      </c>
      <c r="B531" s="7" t="n">
        <f aca="false">MAX('Giả định'!$B$9,ROUNDUP(A531/'Giả định'!$B$7,0)+'Giả định'!$B$8)</f>
        <v>54</v>
      </c>
      <c r="C531" s="25" t="n">
        <f aca="false">('Chi phí'!$C$76+'Chi phí'!$D$76*B531+'Chi phí'!$E$76*A531+'Giả định'!$B$15*('Chi phí'!$F$76+'Chi phí'!$G$76*B531+'Chi phí'!$H$76*A531))*(1+'Giả định'!$B$16)</f>
        <v>573406240</v>
      </c>
      <c r="D531" s="25" t="n">
        <f aca="false">('Chi phí'!$C$77+'Chi phí'!$D$77*B531+'Chi phí'!$E$77*A531+'Giả định'!$B$15*('Chi phí'!$F$77+'Chi phí'!$G$77*B531+'Chi phí'!$H$77*A531))*(1+'Giả định'!$B$16)</f>
        <v>717011240</v>
      </c>
      <c r="E531" s="25" t="n">
        <f aca="false">A531/'Giả định'!$B$19*'Giả định'!$B$20+A531*'Giả định'!$B$23+'Giả định'!$B$24</f>
        <v>195813445.378151</v>
      </c>
      <c r="F531" s="25" t="n">
        <f aca="false">E531-D531</f>
        <v>-521197794.621849</v>
      </c>
      <c r="G531" s="25" t="n">
        <f aca="false">E531-C531</f>
        <v>-377592794.621849</v>
      </c>
      <c r="H531" s="7" t="str">
        <f aca="false">IF(F531&gt;=0,A531,"")</f>
        <v/>
      </c>
      <c r="I531" s="7" t="n">
        <f aca="false">IF(F531&lt;0,A531,0)</f>
        <v>526</v>
      </c>
      <c r="J531" s="7" t="str">
        <f aca="false">IF(G531&gt;=0,A531,"")</f>
        <v/>
      </c>
      <c r="K531" s="7" t="n">
        <f aca="false">IF(G531&lt;0,A531,0)</f>
        <v>526</v>
      </c>
    </row>
    <row r="532" customFormat="false" ht="15" hidden="false" customHeight="false" outlineLevel="0" collapsed="false">
      <c r="A532" s="7" t="n">
        <f aca="false">A531+1</f>
        <v>527</v>
      </c>
      <c r="B532" s="7" t="n">
        <f aca="false">MAX('Giả định'!$B$9,ROUNDUP(A532/'Giả định'!$B$7,0)+'Giả định'!$B$8)</f>
        <v>54</v>
      </c>
      <c r="C532" s="25" t="n">
        <f aca="false">('Chi phí'!$C$76+'Chi phí'!$D$76*B532+'Chi phí'!$E$76*A532+'Giả định'!$B$15*('Chi phí'!$F$76+'Chi phí'!$G$76*B532+'Chi phí'!$H$76*A532))*(1+'Giả định'!$B$16)</f>
        <v>573442980</v>
      </c>
      <c r="D532" s="25" t="n">
        <f aca="false">('Chi phí'!$C$77+'Chi phí'!$D$77*B532+'Chi phí'!$E$77*A532+'Giả định'!$B$15*('Chi phí'!$F$77+'Chi phí'!$G$77*B532+'Chi phí'!$H$77*A532))*(1+'Giả định'!$B$16)</f>
        <v>717047980</v>
      </c>
      <c r="E532" s="25" t="n">
        <f aca="false">A532/'Giả định'!$B$19*'Giả định'!$B$20+A532*'Giả định'!$B$23+'Giả định'!$B$24</f>
        <v>196185714.285714</v>
      </c>
      <c r="F532" s="25" t="n">
        <f aca="false">E532-D532</f>
        <v>-520862265.714286</v>
      </c>
      <c r="G532" s="25" t="n">
        <f aca="false">E532-C532</f>
        <v>-377257265.714286</v>
      </c>
      <c r="H532" s="7" t="str">
        <f aca="false">IF(F532&gt;=0,A532,"")</f>
        <v/>
      </c>
      <c r="I532" s="7" t="n">
        <f aca="false">IF(F532&lt;0,A532,0)</f>
        <v>527</v>
      </c>
      <c r="J532" s="7" t="str">
        <f aca="false">IF(G532&gt;=0,A532,"")</f>
        <v/>
      </c>
      <c r="K532" s="7" t="n">
        <f aca="false">IF(G532&lt;0,A532,0)</f>
        <v>527</v>
      </c>
    </row>
    <row r="533" customFormat="false" ht="15" hidden="false" customHeight="false" outlineLevel="0" collapsed="false">
      <c r="A533" s="7" t="n">
        <f aca="false">A532+1</f>
        <v>528</v>
      </c>
      <c r="B533" s="7" t="n">
        <f aca="false">MAX('Giả định'!$B$9,ROUNDUP(A533/'Giả định'!$B$7,0)+'Giả định'!$B$8)</f>
        <v>54</v>
      </c>
      <c r="C533" s="25" t="n">
        <f aca="false">('Chi phí'!$C$76+'Chi phí'!$D$76*B533+'Chi phí'!$E$76*A533+'Giả định'!$B$15*('Chi phí'!$F$76+'Chi phí'!$G$76*B533+'Chi phí'!$H$76*A533))*(1+'Giả định'!$B$16)</f>
        <v>573479720</v>
      </c>
      <c r="D533" s="25" t="n">
        <f aca="false">('Chi phí'!$C$77+'Chi phí'!$D$77*B533+'Chi phí'!$E$77*A533+'Giả định'!$B$15*('Chi phí'!$F$77+'Chi phí'!$G$77*B533+'Chi phí'!$H$77*A533))*(1+'Giả định'!$B$16)</f>
        <v>717084720</v>
      </c>
      <c r="E533" s="25" t="n">
        <f aca="false">A533/'Giả định'!$B$19*'Giả định'!$B$20+A533*'Giả định'!$B$23+'Giả định'!$B$24</f>
        <v>196557983.193277</v>
      </c>
      <c r="F533" s="25" t="n">
        <f aca="false">E533-D533</f>
        <v>-520526736.806723</v>
      </c>
      <c r="G533" s="25" t="n">
        <f aca="false">E533-C533</f>
        <v>-376921736.806723</v>
      </c>
      <c r="H533" s="7" t="str">
        <f aca="false">IF(F533&gt;=0,A533,"")</f>
        <v/>
      </c>
      <c r="I533" s="7" t="n">
        <f aca="false">IF(F533&lt;0,A533,0)</f>
        <v>528</v>
      </c>
      <c r="J533" s="7" t="str">
        <f aca="false">IF(G533&gt;=0,A533,"")</f>
        <v/>
      </c>
      <c r="K533" s="7" t="n">
        <f aca="false">IF(G533&lt;0,A533,0)</f>
        <v>528</v>
      </c>
    </row>
    <row r="534" customFormat="false" ht="15" hidden="false" customHeight="false" outlineLevel="0" collapsed="false">
      <c r="A534" s="7" t="n">
        <f aca="false">A533+1</f>
        <v>529</v>
      </c>
      <c r="B534" s="7" t="n">
        <f aca="false">MAX('Giả định'!$B$9,ROUNDUP(A534/'Giả định'!$B$7,0)+'Giả định'!$B$8)</f>
        <v>54</v>
      </c>
      <c r="C534" s="25" t="n">
        <f aca="false">('Chi phí'!$C$76+'Chi phí'!$D$76*B534+'Chi phí'!$E$76*A534+'Giả định'!$B$15*('Chi phí'!$F$76+'Chi phí'!$G$76*B534+'Chi phí'!$H$76*A534))*(1+'Giả định'!$B$16)</f>
        <v>573516460</v>
      </c>
      <c r="D534" s="25" t="n">
        <f aca="false">('Chi phí'!$C$77+'Chi phí'!$D$77*B534+'Chi phí'!$E$77*A534+'Giả định'!$B$15*('Chi phí'!$F$77+'Chi phí'!$G$77*B534+'Chi phí'!$H$77*A534))*(1+'Giả định'!$B$16)</f>
        <v>717121460</v>
      </c>
      <c r="E534" s="25" t="n">
        <f aca="false">A534/'Giả định'!$B$19*'Giả định'!$B$20+A534*'Giả định'!$B$23+'Giả định'!$B$24</f>
        <v>196930252.10084</v>
      </c>
      <c r="F534" s="25" t="n">
        <f aca="false">E534-D534</f>
        <v>-520191207.89916</v>
      </c>
      <c r="G534" s="25" t="n">
        <f aca="false">E534-C534</f>
        <v>-376586207.89916</v>
      </c>
      <c r="H534" s="7" t="str">
        <f aca="false">IF(F534&gt;=0,A534,"")</f>
        <v/>
      </c>
      <c r="I534" s="7" t="n">
        <f aca="false">IF(F534&lt;0,A534,0)</f>
        <v>529</v>
      </c>
      <c r="J534" s="7" t="str">
        <f aca="false">IF(G534&gt;=0,A534,"")</f>
        <v/>
      </c>
      <c r="K534" s="7" t="n">
        <f aca="false">IF(G534&lt;0,A534,0)</f>
        <v>529</v>
      </c>
    </row>
    <row r="535" customFormat="false" ht="15" hidden="false" customHeight="false" outlineLevel="0" collapsed="false">
      <c r="A535" s="7" t="n">
        <f aca="false">A534+1</f>
        <v>530</v>
      </c>
      <c r="B535" s="7" t="n">
        <f aca="false">MAX('Giả định'!$B$9,ROUNDUP(A535/'Giả định'!$B$7,0)+'Giả định'!$B$8)</f>
        <v>54</v>
      </c>
      <c r="C535" s="25" t="n">
        <f aca="false">('Chi phí'!$C$76+'Chi phí'!$D$76*B535+'Chi phí'!$E$76*A535+'Giả định'!$B$15*('Chi phí'!$F$76+'Chi phí'!$G$76*B535+'Chi phí'!$H$76*A535))*(1+'Giả định'!$B$16)</f>
        <v>573553200</v>
      </c>
      <c r="D535" s="25" t="n">
        <f aca="false">('Chi phí'!$C$77+'Chi phí'!$D$77*B535+'Chi phí'!$E$77*A535+'Giả định'!$B$15*('Chi phí'!$F$77+'Chi phí'!$G$77*B535+'Chi phí'!$H$77*A535))*(1+'Giả định'!$B$16)</f>
        <v>717158200</v>
      </c>
      <c r="E535" s="25" t="n">
        <f aca="false">A535/'Giả định'!$B$19*'Giả định'!$B$20+A535*'Giả định'!$B$23+'Giả định'!$B$24</f>
        <v>197302521.008403</v>
      </c>
      <c r="F535" s="25" t="n">
        <f aca="false">E535-D535</f>
        <v>-519855678.991597</v>
      </c>
      <c r="G535" s="25" t="n">
        <f aca="false">E535-C535</f>
        <v>-376250678.991597</v>
      </c>
      <c r="H535" s="7" t="str">
        <f aca="false">IF(F535&gt;=0,A535,"")</f>
        <v/>
      </c>
      <c r="I535" s="7" t="n">
        <f aca="false">IF(F535&lt;0,A535,0)</f>
        <v>530</v>
      </c>
      <c r="J535" s="7" t="str">
        <f aca="false">IF(G535&gt;=0,A535,"")</f>
        <v/>
      </c>
      <c r="K535" s="7" t="n">
        <f aca="false">IF(G535&lt;0,A535,0)</f>
        <v>530</v>
      </c>
    </row>
    <row r="536" customFormat="false" ht="15" hidden="false" customHeight="false" outlineLevel="0" collapsed="false">
      <c r="A536" s="7" t="n">
        <f aca="false">A535+1</f>
        <v>531</v>
      </c>
      <c r="B536" s="7" t="n">
        <f aca="false">MAX('Giả định'!$B$9,ROUNDUP(A536/'Giả định'!$B$7,0)+'Giả định'!$B$8)</f>
        <v>55</v>
      </c>
      <c r="C536" s="25" t="n">
        <f aca="false">('Chi phí'!$C$76+'Chi phí'!$D$76*B536+'Chi phí'!$E$76*A536+'Giả định'!$B$15*('Chi phí'!$F$76+'Chi phí'!$G$76*B536+'Chi phí'!$H$76*A536))*(1+'Giả định'!$B$16)</f>
        <v>582763940</v>
      </c>
      <c r="D536" s="25" t="n">
        <f aca="false">('Chi phí'!$C$77+'Chi phí'!$D$77*B536+'Chi phí'!$E$77*A536+'Giả định'!$B$15*('Chi phí'!$F$77+'Chi phí'!$G$77*B536+'Chi phí'!$H$77*A536))*(1+'Giả định'!$B$16)</f>
        <v>726368940</v>
      </c>
      <c r="E536" s="25" t="n">
        <f aca="false">A536/'Giả định'!$B$19*'Giả định'!$B$20+A536*'Giả định'!$B$23+'Giả định'!$B$24</f>
        <v>197674789.915966</v>
      </c>
      <c r="F536" s="25" t="n">
        <f aca="false">E536-D536</f>
        <v>-528694150.084034</v>
      </c>
      <c r="G536" s="25" t="n">
        <f aca="false">E536-C536</f>
        <v>-385089150.084034</v>
      </c>
      <c r="H536" s="7" t="str">
        <f aca="false">IF(F536&gt;=0,A536,"")</f>
        <v/>
      </c>
      <c r="I536" s="7" t="n">
        <f aca="false">IF(F536&lt;0,A536,0)</f>
        <v>531</v>
      </c>
      <c r="J536" s="7" t="str">
        <f aca="false">IF(G536&gt;=0,A536,"")</f>
        <v/>
      </c>
      <c r="K536" s="7" t="n">
        <f aca="false">IF(G536&lt;0,A536,0)</f>
        <v>531</v>
      </c>
    </row>
    <row r="537" customFormat="false" ht="15" hidden="false" customHeight="false" outlineLevel="0" collapsed="false">
      <c r="A537" s="7" t="n">
        <f aca="false">A536+1</f>
        <v>532</v>
      </c>
      <c r="B537" s="7" t="n">
        <f aca="false">MAX('Giả định'!$B$9,ROUNDUP(A537/'Giả định'!$B$7,0)+'Giả định'!$B$8)</f>
        <v>55</v>
      </c>
      <c r="C537" s="25" t="n">
        <f aca="false">('Chi phí'!$C$76+'Chi phí'!$D$76*B537+'Chi phí'!$E$76*A537+'Giả định'!$B$15*('Chi phí'!$F$76+'Chi phí'!$G$76*B537+'Chi phí'!$H$76*A537))*(1+'Giả định'!$B$16)</f>
        <v>582800680</v>
      </c>
      <c r="D537" s="25" t="n">
        <f aca="false">('Chi phí'!$C$77+'Chi phí'!$D$77*B537+'Chi phí'!$E$77*A537+'Giả định'!$B$15*('Chi phí'!$F$77+'Chi phí'!$G$77*B537+'Chi phí'!$H$77*A537))*(1+'Giả định'!$B$16)</f>
        <v>726405680</v>
      </c>
      <c r="E537" s="25" t="n">
        <f aca="false">A537/'Giả định'!$B$19*'Giả định'!$B$20+A537*'Giả định'!$B$23+'Giả định'!$B$24</f>
        <v>198047058.823529</v>
      </c>
      <c r="F537" s="25" t="n">
        <f aca="false">E537-D537</f>
        <v>-528358621.176471</v>
      </c>
      <c r="G537" s="25" t="n">
        <f aca="false">E537-C537</f>
        <v>-384753621.176471</v>
      </c>
      <c r="H537" s="7" t="str">
        <f aca="false">IF(F537&gt;=0,A537,"")</f>
        <v/>
      </c>
      <c r="I537" s="7" t="n">
        <f aca="false">IF(F537&lt;0,A537,0)</f>
        <v>532</v>
      </c>
      <c r="J537" s="7" t="str">
        <f aca="false">IF(G537&gt;=0,A537,"")</f>
        <v/>
      </c>
      <c r="K537" s="7" t="n">
        <f aca="false">IF(G537&lt;0,A537,0)</f>
        <v>532</v>
      </c>
    </row>
    <row r="538" customFormat="false" ht="15" hidden="false" customHeight="false" outlineLevel="0" collapsed="false">
      <c r="A538" s="7" t="n">
        <f aca="false">A537+1</f>
        <v>533</v>
      </c>
      <c r="B538" s="7" t="n">
        <f aca="false">MAX('Giả định'!$B$9,ROUNDUP(A538/'Giả định'!$B$7,0)+'Giả định'!$B$8)</f>
        <v>55</v>
      </c>
      <c r="C538" s="25" t="n">
        <f aca="false">('Chi phí'!$C$76+'Chi phí'!$D$76*B538+'Chi phí'!$E$76*A538+'Giả định'!$B$15*('Chi phí'!$F$76+'Chi phí'!$G$76*B538+'Chi phí'!$H$76*A538))*(1+'Giả định'!$B$16)</f>
        <v>582837420</v>
      </c>
      <c r="D538" s="25" t="n">
        <f aca="false">('Chi phí'!$C$77+'Chi phí'!$D$77*B538+'Chi phí'!$E$77*A538+'Giả định'!$B$15*('Chi phí'!$F$77+'Chi phí'!$G$77*B538+'Chi phí'!$H$77*A538))*(1+'Giả định'!$B$16)</f>
        <v>726442420</v>
      </c>
      <c r="E538" s="25" t="n">
        <f aca="false">A538/'Giả định'!$B$19*'Giả định'!$B$20+A538*'Giả định'!$B$23+'Giả định'!$B$24</f>
        <v>198419327.731092</v>
      </c>
      <c r="F538" s="25" t="n">
        <f aca="false">E538-D538</f>
        <v>-528023092.268908</v>
      </c>
      <c r="G538" s="25" t="n">
        <f aca="false">E538-C538</f>
        <v>-384418092.268908</v>
      </c>
      <c r="H538" s="7" t="str">
        <f aca="false">IF(F538&gt;=0,A538,"")</f>
        <v/>
      </c>
      <c r="I538" s="7" t="n">
        <f aca="false">IF(F538&lt;0,A538,0)</f>
        <v>533</v>
      </c>
      <c r="J538" s="7" t="str">
        <f aca="false">IF(G538&gt;=0,A538,"")</f>
        <v/>
      </c>
      <c r="K538" s="7" t="n">
        <f aca="false">IF(G538&lt;0,A538,0)</f>
        <v>533</v>
      </c>
    </row>
    <row r="539" customFormat="false" ht="15" hidden="false" customHeight="false" outlineLevel="0" collapsed="false">
      <c r="A539" s="7" t="n">
        <f aca="false">A538+1</f>
        <v>534</v>
      </c>
      <c r="B539" s="7" t="n">
        <f aca="false">MAX('Giả định'!$B$9,ROUNDUP(A539/'Giả định'!$B$7,0)+'Giả định'!$B$8)</f>
        <v>55</v>
      </c>
      <c r="C539" s="25" t="n">
        <f aca="false">('Chi phí'!$C$76+'Chi phí'!$D$76*B539+'Chi phí'!$E$76*A539+'Giả định'!$B$15*('Chi phí'!$F$76+'Chi phí'!$G$76*B539+'Chi phí'!$H$76*A539))*(1+'Giả định'!$B$16)</f>
        <v>582874160</v>
      </c>
      <c r="D539" s="25" t="n">
        <f aca="false">('Chi phí'!$C$77+'Chi phí'!$D$77*B539+'Chi phí'!$E$77*A539+'Giả định'!$B$15*('Chi phí'!$F$77+'Chi phí'!$G$77*B539+'Chi phí'!$H$77*A539))*(1+'Giả định'!$B$16)</f>
        <v>726479160</v>
      </c>
      <c r="E539" s="25" t="n">
        <f aca="false">A539/'Giả định'!$B$19*'Giả định'!$B$20+A539*'Giả định'!$B$23+'Giả định'!$B$24</f>
        <v>198791596.638655</v>
      </c>
      <c r="F539" s="25" t="n">
        <f aca="false">E539-D539</f>
        <v>-527687563.361345</v>
      </c>
      <c r="G539" s="25" t="n">
        <f aca="false">E539-C539</f>
        <v>-384082563.361345</v>
      </c>
      <c r="H539" s="7" t="str">
        <f aca="false">IF(F539&gt;=0,A539,"")</f>
        <v/>
      </c>
      <c r="I539" s="7" t="n">
        <f aca="false">IF(F539&lt;0,A539,0)</f>
        <v>534</v>
      </c>
      <c r="J539" s="7" t="str">
        <f aca="false">IF(G539&gt;=0,A539,"")</f>
        <v/>
      </c>
      <c r="K539" s="7" t="n">
        <f aca="false">IF(G539&lt;0,A539,0)</f>
        <v>534</v>
      </c>
    </row>
    <row r="540" customFormat="false" ht="15" hidden="false" customHeight="false" outlineLevel="0" collapsed="false">
      <c r="A540" s="7" t="n">
        <f aca="false">A539+1</f>
        <v>535</v>
      </c>
      <c r="B540" s="7" t="n">
        <f aca="false">MAX('Giả định'!$B$9,ROUNDUP(A540/'Giả định'!$B$7,0)+'Giả định'!$B$8)</f>
        <v>55</v>
      </c>
      <c r="C540" s="25" t="n">
        <f aca="false">('Chi phí'!$C$76+'Chi phí'!$D$76*B540+'Chi phí'!$E$76*A540+'Giả định'!$B$15*('Chi phí'!$F$76+'Chi phí'!$G$76*B540+'Chi phí'!$H$76*A540))*(1+'Giả định'!$B$16)</f>
        <v>582910900</v>
      </c>
      <c r="D540" s="25" t="n">
        <f aca="false">('Chi phí'!$C$77+'Chi phí'!$D$77*B540+'Chi phí'!$E$77*A540+'Giả định'!$B$15*('Chi phí'!$F$77+'Chi phí'!$G$77*B540+'Chi phí'!$H$77*A540))*(1+'Giả định'!$B$16)</f>
        <v>726515900</v>
      </c>
      <c r="E540" s="25" t="n">
        <f aca="false">A540/'Giả định'!$B$19*'Giả định'!$B$20+A540*'Giả định'!$B$23+'Giả định'!$B$24</f>
        <v>199163865.546219</v>
      </c>
      <c r="F540" s="25" t="n">
        <f aca="false">E540-D540</f>
        <v>-527352034.453782</v>
      </c>
      <c r="G540" s="25" t="n">
        <f aca="false">E540-C540</f>
        <v>-383747034.453782</v>
      </c>
      <c r="H540" s="7" t="str">
        <f aca="false">IF(F540&gt;=0,A540,"")</f>
        <v/>
      </c>
      <c r="I540" s="7" t="n">
        <f aca="false">IF(F540&lt;0,A540,0)</f>
        <v>535</v>
      </c>
      <c r="J540" s="7" t="str">
        <f aca="false">IF(G540&gt;=0,A540,"")</f>
        <v/>
      </c>
      <c r="K540" s="7" t="n">
        <f aca="false">IF(G540&lt;0,A540,0)</f>
        <v>535</v>
      </c>
    </row>
    <row r="541" customFormat="false" ht="15" hidden="false" customHeight="false" outlineLevel="0" collapsed="false">
      <c r="A541" s="7" t="n">
        <f aca="false">A540+1</f>
        <v>536</v>
      </c>
      <c r="B541" s="7" t="n">
        <f aca="false">MAX('Giả định'!$B$9,ROUNDUP(A541/'Giả định'!$B$7,0)+'Giả định'!$B$8)</f>
        <v>55</v>
      </c>
      <c r="C541" s="25" t="n">
        <f aca="false">('Chi phí'!$C$76+'Chi phí'!$D$76*B541+'Chi phí'!$E$76*A541+'Giả định'!$B$15*('Chi phí'!$F$76+'Chi phí'!$G$76*B541+'Chi phí'!$H$76*A541))*(1+'Giả định'!$B$16)</f>
        <v>582947640</v>
      </c>
      <c r="D541" s="25" t="n">
        <f aca="false">('Chi phí'!$C$77+'Chi phí'!$D$77*B541+'Chi phí'!$E$77*A541+'Giả định'!$B$15*('Chi phí'!$F$77+'Chi phí'!$G$77*B541+'Chi phí'!$H$77*A541))*(1+'Giả định'!$B$16)</f>
        <v>726552640</v>
      </c>
      <c r="E541" s="25" t="n">
        <f aca="false">A541/'Giả định'!$B$19*'Giả định'!$B$20+A541*'Giả định'!$B$23+'Giả định'!$B$24</f>
        <v>199536134.453782</v>
      </c>
      <c r="F541" s="25" t="n">
        <f aca="false">E541-D541</f>
        <v>-527016505.546219</v>
      </c>
      <c r="G541" s="25" t="n">
        <f aca="false">E541-C541</f>
        <v>-383411505.546219</v>
      </c>
      <c r="H541" s="7" t="str">
        <f aca="false">IF(F541&gt;=0,A541,"")</f>
        <v/>
      </c>
      <c r="I541" s="7" t="n">
        <f aca="false">IF(F541&lt;0,A541,0)</f>
        <v>536</v>
      </c>
      <c r="J541" s="7" t="str">
        <f aca="false">IF(G541&gt;=0,A541,"")</f>
        <v/>
      </c>
      <c r="K541" s="7" t="n">
        <f aca="false">IF(G541&lt;0,A541,0)</f>
        <v>536</v>
      </c>
    </row>
    <row r="542" customFormat="false" ht="15" hidden="false" customHeight="false" outlineLevel="0" collapsed="false">
      <c r="A542" s="7" t="n">
        <f aca="false">A541+1</f>
        <v>537</v>
      </c>
      <c r="B542" s="7" t="n">
        <f aca="false">MAX('Giả định'!$B$9,ROUNDUP(A542/'Giả định'!$B$7,0)+'Giả định'!$B$8)</f>
        <v>55</v>
      </c>
      <c r="C542" s="25" t="n">
        <f aca="false">('Chi phí'!$C$76+'Chi phí'!$D$76*B542+'Chi phí'!$E$76*A542+'Giả định'!$B$15*('Chi phí'!$F$76+'Chi phí'!$G$76*B542+'Chi phí'!$H$76*A542))*(1+'Giả định'!$B$16)</f>
        <v>582984380</v>
      </c>
      <c r="D542" s="25" t="n">
        <f aca="false">('Chi phí'!$C$77+'Chi phí'!$D$77*B542+'Chi phí'!$E$77*A542+'Giả định'!$B$15*('Chi phí'!$F$77+'Chi phí'!$G$77*B542+'Chi phí'!$H$77*A542))*(1+'Giả định'!$B$16)</f>
        <v>726589380</v>
      </c>
      <c r="E542" s="25" t="n">
        <f aca="false">A542/'Giả định'!$B$19*'Giả định'!$B$20+A542*'Giả định'!$B$23+'Giả định'!$B$24</f>
        <v>199908403.361345</v>
      </c>
      <c r="F542" s="25" t="n">
        <f aca="false">E542-D542</f>
        <v>-526680976.638655</v>
      </c>
      <c r="G542" s="25" t="n">
        <f aca="false">E542-C542</f>
        <v>-383075976.638655</v>
      </c>
      <c r="H542" s="7" t="str">
        <f aca="false">IF(F542&gt;=0,A542,"")</f>
        <v/>
      </c>
      <c r="I542" s="7" t="n">
        <f aca="false">IF(F542&lt;0,A542,0)</f>
        <v>537</v>
      </c>
      <c r="J542" s="7" t="str">
        <f aca="false">IF(G542&gt;=0,A542,"")</f>
        <v/>
      </c>
      <c r="K542" s="7" t="n">
        <f aca="false">IF(G542&lt;0,A542,0)</f>
        <v>537</v>
      </c>
    </row>
    <row r="543" customFormat="false" ht="15" hidden="false" customHeight="false" outlineLevel="0" collapsed="false">
      <c r="A543" s="7" t="n">
        <f aca="false">A542+1</f>
        <v>538</v>
      </c>
      <c r="B543" s="7" t="n">
        <f aca="false">MAX('Giả định'!$B$9,ROUNDUP(A543/'Giả định'!$B$7,0)+'Giả định'!$B$8)</f>
        <v>55</v>
      </c>
      <c r="C543" s="25" t="n">
        <f aca="false">('Chi phí'!$C$76+'Chi phí'!$D$76*B543+'Chi phí'!$E$76*A543+'Giả định'!$B$15*('Chi phí'!$F$76+'Chi phí'!$G$76*B543+'Chi phí'!$H$76*A543))*(1+'Giả định'!$B$16)</f>
        <v>583021120</v>
      </c>
      <c r="D543" s="25" t="n">
        <f aca="false">('Chi phí'!$C$77+'Chi phí'!$D$77*B543+'Chi phí'!$E$77*A543+'Giả định'!$B$15*('Chi phí'!$F$77+'Chi phí'!$G$77*B543+'Chi phí'!$H$77*A543))*(1+'Giả định'!$B$16)</f>
        <v>726626120</v>
      </c>
      <c r="E543" s="25" t="n">
        <f aca="false">A543/'Giả định'!$B$19*'Giả định'!$B$20+A543*'Giả định'!$B$23+'Giả định'!$B$24</f>
        <v>200280672.268908</v>
      </c>
      <c r="F543" s="25" t="n">
        <f aca="false">E543-D543</f>
        <v>-526345447.731092</v>
      </c>
      <c r="G543" s="25" t="n">
        <f aca="false">E543-C543</f>
        <v>-382740447.731092</v>
      </c>
      <c r="H543" s="7" t="str">
        <f aca="false">IF(F543&gt;=0,A543,"")</f>
        <v/>
      </c>
      <c r="I543" s="7" t="n">
        <f aca="false">IF(F543&lt;0,A543,0)</f>
        <v>538</v>
      </c>
      <c r="J543" s="7" t="str">
        <f aca="false">IF(G543&gt;=0,A543,"")</f>
        <v/>
      </c>
      <c r="K543" s="7" t="n">
        <f aca="false">IF(G543&lt;0,A543,0)</f>
        <v>538</v>
      </c>
    </row>
    <row r="544" customFormat="false" ht="15" hidden="false" customHeight="false" outlineLevel="0" collapsed="false">
      <c r="A544" s="7" t="n">
        <f aca="false">A543+1</f>
        <v>539</v>
      </c>
      <c r="B544" s="7" t="n">
        <f aca="false">MAX('Giả định'!$B$9,ROUNDUP(A544/'Giả định'!$B$7,0)+'Giả định'!$B$8)</f>
        <v>55</v>
      </c>
      <c r="C544" s="25" t="n">
        <f aca="false">('Chi phí'!$C$76+'Chi phí'!$D$76*B544+'Chi phí'!$E$76*A544+'Giả định'!$B$15*('Chi phí'!$F$76+'Chi phí'!$G$76*B544+'Chi phí'!$H$76*A544))*(1+'Giả định'!$B$16)</f>
        <v>583057860</v>
      </c>
      <c r="D544" s="25" t="n">
        <f aca="false">('Chi phí'!$C$77+'Chi phí'!$D$77*B544+'Chi phí'!$E$77*A544+'Giả định'!$B$15*('Chi phí'!$F$77+'Chi phí'!$G$77*B544+'Chi phí'!$H$77*A544))*(1+'Giả định'!$B$16)</f>
        <v>726662860</v>
      </c>
      <c r="E544" s="25" t="n">
        <f aca="false">A544/'Giả định'!$B$19*'Giả định'!$B$20+A544*'Giả định'!$B$23+'Giả định'!$B$24</f>
        <v>200652941.176471</v>
      </c>
      <c r="F544" s="25" t="n">
        <f aca="false">E544-D544</f>
        <v>-526009918.823529</v>
      </c>
      <c r="G544" s="25" t="n">
        <f aca="false">E544-C544</f>
        <v>-382404918.823529</v>
      </c>
      <c r="H544" s="7" t="str">
        <f aca="false">IF(F544&gt;=0,A544,"")</f>
        <v/>
      </c>
      <c r="I544" s="7" t="n">
        <f aca="false">IF(F544&lt;0,A544,0)</f>
        <v>539</v>
      </c>
      <c r="J544" s="7" t="str">
        <f aca="false">IF(G544&gt;=0,A544,"")</f>
        <v/>
      </c>
      <c r="K544" s="7" t="n">
        <f aca="false">IF(G544&lt;0,A544,0)</f>
        <v>539</v>
      </c>
    </row>
    <row r="545" customFormat="false" ht="15" hidden="false" customHeight="false" outlineLevel="0" collapsed="false">
      <c r="A545" s="7" t="n">
        <f aca="false">A544+1</f>
        <v>540</v>
      </c>
      <c r="B545" s="7" t="n">
        <f aca="false">MAX('Giả định'!$B$9,ROUNDUP(A545/'Giả định'!$B$7,0)+'Giả định'!$B$8)</f>
        <v>55</v>
      </c>
      <c r="C545" s="25" t="n">
        <f aca="false">('Chi phí'!$C$76+'Chi phí'!$D$76*B545+'Chi phí'!$E$76*A545+'Giả định'!$B$15*('Chi phí'!$F$76+'Chi phí'!$G$76*B545+'Chi phí'!$H$76*A545))*(1+'Giả định'!$B$16)</f>
        <v>583094600</v>
      </c>
      <c r="D545" s="25" t="n">
        <f aca="false">('Chi phí'!$C$77+'Chi phí'!$D$77*B545+'Chi phí'!$E$77*A545+'Giả định'!$B$15*('Chi phí'!$F$77+'Chi phí'!$G$77*B545+'Chi phí'!$H$77*A545))*(1+'Giả định'!$B$16)</f>
        <v>726699600</v>
      </c>
      <c r="E545" s="25" t="n">
        <f aca="false">A545/'Giả định'!$B$19*'Giả định'!$B$20+A545*'Giả định'!$B$23+'Giả định'!$B$24</f>
        <v>201025210.084034</v>
      </c>
      <c r="F545" s="25" t="n">
        <f aca="false">E545-D545</f>
        <v>-525674389.915966</v>
      </c>
      <c r="G545" s="25" t="n">
        <f aca="false">E545-C545</f>
        <v>-382069389.915966</v>
      </c>
      <c r="H545" s="7" t="str">
        <f aca="false">IF(F545&gt;=0,A545,"")</f>
        <v/>
      </c>
      <c r="I545" s="7" t="n">
        <f aca="false">IF(F545&lt;0,A545,0)</f>
        <v>540</v>
      </c>
      <c r="J545" s="7" t="str">
        <f aca="false">IF(G545&gt;=0,A545,"")</f>
        <v/>
      </c>
      <c r="K545" s="7" t="n">
        <f aca="false">IF(G545&lt;0,A545,0)</f>
        <v>540</v>
      </c>
    </row>
    <row r="546" customFormat="false" ht="15" hidden="false" customHeight="false" outlineLevel="0" collapsed="false">
      <c r="A546" s="7" t="n">
        <f aca="false">A545+1</f>
        <v>541</v>
      </c>
      <c r="B546" s="7" t="n">
        <f aca="false">MAX('Giả định'!$B$9,ROUNDUP(A546/'Giả định'!$B$7,0)+'Giả định'!$B$8)</f>
        <v>56</v>
      </c>
      <c r="C546" s="25" t="n">
        <f aca="false">('Chi phí'!$C$76+'Chi phí'!$D$76*B546+'Chi phí'!$E$76*A546+'Giả định'!$B$15*('Chi phí'!$F$76+'Chi phí'!$G$76*B546+'Chi phí'!$H$76*A546))*(1+'Giả định'!$B$16)</f>
        <v>592305340</v>
      </c>
      <c r="D546" s="25" t="n">
        <f aca="false">('Chi phí'!$C$77+'Chi phí'!$D$77*B546+'Chi phí'!$E$77*A546+'Giả định'!$B$15*('Chi phí'!$F$77+'Chi phí'!$G$77*B546+'Chi phí'!$H$77*A546))*(1+'Giả định'!$B$16)</f>
        <v>735910340</v>
      </c>
      <c r="E546" s="25" t="n">
        <f aca="false">A546/'Giả định'!$B$19*'Giả định'!$B$20+A546*'Giả định'!$B$23+'Giả định'!$B$24</f>
        <v>201397478.991597</v>
      </c>
      <c r="F546" s="25" t="n">
        <f aca="false">E546-D546</f>
        <v>-534512861.008403</v>
      </c>
      <c r="G546" s="25" t="n">
        <f aca="false">E546-C546</f>
        <v>-390907861.008403</v>
      </c>
      <c r="H546" s="7" t="str">
        <f aca="false">IF(F546&gt;=0,A546,"")</f>
        <v/>
      </c>
      <c r="I546" s="7" t="n">
        <f aca="false">IF(F546&lt;0,A546,0)</f>
        <v>541</v>
      </c>
      <c r="J546" s="7" t="str">
        <f aca="false">IF(G546&gt;=0,A546,"")</f>
        <v/>
      </c>
      <c r="K546" s="7" t="n">
        <f aca="false">IF(G546&lt;0,A546,0)</f>
        <v>541</v>
      </c>
    </row>
    <row r="547" customFormat="false" ht="15" hidden="false" customHeight="false" outlineLevel="0" collapsed="false">
      <c r="A547" s="7" t="n">
        <f aca="false">A546+1</f>
        <v>542</v>
      </c>
      <c r="B547" s="7" t="n">
        <f aca="false">MAX('Giả định'!$B$9,ROUNDUP(A547/'Giả định'!$B$7,0)+'Giả định'!$B$8)</f>
        <v>56</v>
      </c>
      <c r="C547" s="25" t="n">
        <f aca="false">('Chi phí'!$C$76+'Chi phí'!$D$76*B547+'Chi phí'!$E$76*A547+'Giả định'!$B$15*('Chi phí'!$F$76+'Chi phí'!$G$76*B547+'Chi phí'!$H$76*A547))*(1+'Giả định'!$B$16)</f>
        <v>592342080</v>
      </c>
      <c r="D547" s="25" t="n">
        <f aca="false">('Chi phí'!$C$77+'Chi phí'!$D$77*B547+'Chi phí'!$E$77*A547+'Giả định'!$B$15*('Chi phí'!$F$77+'Chi phí'!$G$77*B547+'Chi phí'!$H$77*A547))*(1+'Giả định'!$B$16)</f>
        <v>735947080</v>
      </c>
      <c r="E547" s="25" t="n">
        <f aca="false">A547/'Giả định'!$B$19*'Giả định'!$B$20+A547*'Giả định'!$B$23+'Giả định'!$B$24</f>
        <v>201769747.89916</v>
      </c>
      <c r="F547" s="25" t="n">
        <f aca="false">E547-D547</f>
        <v>-534177332.10084</v>
      </c>
      <c r="G547" s="25" t="n">
        <f aca="false">E547-C547</f>
        <v>-390572332.10084</v>
      </c>
      <c r="H547" s="7" t="str">
        <f aca="false">IF(F547&gt;=0,A547,"")</f>
        <v/>
      </c>
      <c r="I547" s="7" t="n">
        <f aca="false">IF(F547&lt;0,A547,0)</f>
        <v>542</v>
      </c>
      <c r="J547" s="7" t="str">
        <f aca="false">IF(G547&gt;=0,A547,"")</f>
        <v/>
      </c>
      <c r="K547" s="7" t="n">
        <f aca="false">IF(G547&lt;0,A547,0)</f>
        <v>542</v>
      </c>
    </row>
    <row r="548" customFormat="false" ht="15" hidden="false" customHeight="false" outlineLevel="0" collapsed="false">
      <c r="A548" s="7" t="n">
        <f aca="false">A547+1</f>
        <v>543</v>
      </c>
      <c r="B548" s="7" t="n">
        <f aca="false">MAX('Giả định'!$B$9,ROUNDUP(A548/'Giả định'!$B$7,0)+'Giả định'!$B$8)</f>
        <v>56</v>
      </c>
      <c r="C548" s="25" t="n">
        <f aca="false">('Chi phí'!$C$76+'Chi phí'!$D$76*B548+'Chi phí'!$E$76*A548+'Giả định'!$B$15*('Chi phí'!$F$76+'Chi phí'!$G$76*B548+'Chi phí'!$H$76*A548))*(1+'Giả định'!$B$16)</f>
        <v>592378820</v>
      </c>
      <c r="D548" s="25" t="n">
        <f aca="false">('Chi phí'!$C$77+'Chi phí'!$D$77*B548+'Chi phí'!$E$77*A548+'Giả định'!$B$15*('Chi phí'!$F$77+'Chi phí'!$G$77*B548+'Chi phí'!$H$77*A548))*(1+'Giả định'!$B$16)</f>
        <v>735983820</v>
      </c>
      <c r="E548" s="25" t="n">
        <f aca="false">A548/'Giả định'!$B$19*'Giả định'!$B$20+A548*'Giả định'!$B$23+'Giả định'!$B$24</f>
        <v>202142016.806723</v>
      </c>
      <c r="F548" s="25" t="n">
        <f aca="false">E548-D548</f>
        <v>-533841803.193277</v>
      </c>
      <c r="G548" s="25" t="n">
        <f aca="false">E548-C548</f>
        <v>-390236803.193277</v>
      </c>
      <c r="H548" s="7" t="str">
        <f aca="false">IF(F548&gt;=0,A548,"")</f>
        <v/>
      </c>
      <c r="I548" s="7" t="n">
        <f aca="false">IF(F548&lt;0,A548,0)</f>
        <v>543</v>
      </c>
      <c r="J548" s="7" t="str">
        <f aca="false">IF(G548&gt;=0,A548,"")</f>
        <v/>
      </c>
      <c r="K548" s="7" t="n">
        <f aca="false">IF(G548&lt;0,A548,0)</f>
        <v>543</v>
      </c>
    </row>
    <row r="549" customFormat="false" ht="15" hidden="false" customHeight="false" outlineLevel="0" collapsed="false">
      <c r="A549" s="7" t="n">
        <f aca="false">A548+1</f>
        <v>544</v>
      </c>
      <c r="B549" s="7" t="n">
        <f aca="false">MAX('Giả định'!$B$9,ROUNDUP(A549/'Giả định'!$B$7,0)+'Giả định'!$B$8)</f>
        <v>56</v>
      </c>
      <c r="C549" s="25" t="n">
        <f aca="false">('Chi phí'!$C$76+'Chi phí'!$D$76*B549+'Chi phí'!$E$76*A549+'Giả định'!$B$15*('Chi phí'!$F$76+'Chi phí'!$G$76*B549+'Chi phí'!$H$76*A549))*(1+'Giả định'!$B$16)</f>
        <v>592415560</v>
      </c>
      <c r="D549" s="25" t="n">
        <f aca="false">('Chi phí'!$C$77+'Chi phí'!$D$77*B549+'Chi phí'!$E$77*A549+'Giả định'!$B$15*('Chi phí'!$F$77+'Chi phí'!$G$77*B549+'Chi phí'!$H$77*A549))*(1+'Giả định'!$B$16)</f>
        <v>736020560</v>
      </c>
      <c r="E549" s="25" t="n">
        <f aca="false">A549/'Giả định'!$B$19*'Giả định'!$B$20+A549*'Giả định'!$B$23+'Giả định'!$B$24</f>
        <v>202514285.714286</v>
      </c>
      <c r="F549" s="25" t="n">
        <f aca="false">E549-D549</f>
        <v>-533506274.285714</v>
      </c>
      <c r="G549" s="25" t="n">
        <f aca="false">E549-C549</f>
        <v>-389901274.285714</v>
      </c>
      <c r="H549" s="7" t="str">
        <f aca="false">IF(F549&gt;=0,A549,"")</f>
        <v/>
      </c>
      <c r="I549" s="7" t="n">
        <f aca="false">IF(F549&lt;0,A549,0)</f>
        <v>544</v>
      </c>
      <c r="J549" s="7" t="str">
        <f aca="false">IF(G549&gt;=0,A549,"")</f>
        <v/>
      </c>
      <c r="K549" s="7" t="n">
        <f aca="false">IF(G549&lt;0,A549,0)</f>
        <v>544</v>
      </c>
    </row>
    <row r="550" customFormat="false" ht="15" hidden="false" customHeight="false" outlineLevel="0" collapsed="false">
      <c r="A550" s="7" t="n">
        <f aca="false">A549+1</f>
        <v>545</v>
      </c>
      <c r="B550" s="7" t="n">
        <f aca="false">MAX('Giả định'!$B$9,ROUNDUP(A550/'Giả định'!$B$7,0)+'Giả định'!$B$8)</f>
        <v>56</v>
      </c>
      <c r="C550" s="25" t="n">
        <f aca="false">('Chi phí'!$C$76+'Chi phí'!$D$76*B550+'Chi phí'!$E$76*A550+'Giả định'!$B$15*('Chi phí'!$F$76+'Chi phí'!$G$76*B550+'Chi phí'!$H$76*A550))*(1+'Giả định'!$B$16)</f>
        <v>592452300</v>
      </c>
      <c r="D550" s="25" t="n">
        <f aca="false">('Chi phí'!$C$77+'Chi phí'!$D$77*B550+'Chi phí'!$E$77*A550+'Giả định'!$B$15*('Chi phí'!$F$77+'Chi phí'!$G$77*B550+'Chi phí'!$H$77*A550))*(1+'Giả định'!$B$16)</f>
        <v>736057300</v>
      </c>
      <c r="E550" s="25" t="n">
        <f aca="false">A550/'Giả định'!$B$19*'Giả định'!$B$20+A550*'Giả định'!$B$23+'Giả định'!$B$24</f>
        <v>202886554.621849</v>
      </c>
      <c r="F550" s="25" t="n">
        <f aca="false">E550-D550</f>
        <v>-533170745.378151</v>
      </c>
      <c r="G550" s="25" t="n">
        <f aca="false">E550-C550</f>
        <v>-389565745.378151</v>
      </c>
      <c r="H550" s="7" t="str">
        <f aca="false">IF(F550&gt;=0,A550,"")</f>
        <v/>
      </c>
      <c r="I550" s="7" t="n">
        <f aca="false">IF(F550&lt;0,A550,0)</f>
        <v>545</v>
      </c>
      <c r="J550" s="7" t="str">
        <f aca="false">IF(G550&gt;=0,A550,"")</f>
        <v/>
      </c>
      <c r="K550" s="7" t="n">
        <f aca="false">IF(G550&lt;0,A550,0)</f>
        <v>545</v>
      </c>
    </row>
    <row r="551" customFormat="false" ht="15" hidden="false" customHeight="false" outlineLevel="0" collapsed="false">
      <c r="A551" s="7" t="n">
        <f aca="false">A550+1</f>
        <v>546</v>
      </c>
      <c r="B551" s="7" t="n">
        <f aca="false">MAX('Giả định'!$B$9,ROUNDUP(A551/'Giả định'!$B$7,0)+'Giả định'!$B$8)</f>
        <v>56</v>
      </c>
      <c r="C551" s="25" t="n">
        <f aca="false">('Chi phí'!$C$76+'Chi phí'!$D$76*B551+'Chi phí'!$E$76*A551+'Giả định'!$B$15*('Chi phí'!$F$76+'Chi phí'!$G$76*B551+'Chi phí'!$H$76*A551))*(1+'Giả định'!$B$16)</f>
        <v>592489040</v>
      </c>
      <c r="D551" s="25" t="n">
        <f aca="false">('Chi phí'!$C$77+'Chi phí'!$D$77*B551+'Chi phí'!$E$77*A551+'Giả định'!$B$15*('Chi phí'!$F$77+'Chi phí'!$G$77*B551+'Chi phí'!$H$77*A551))*(1+'Giả định'!$B$16)</f>
        <v>736094040</v>
      </c>
      <c r="E551" s="25" t="n">
        <f aca="false">A551/'Giả định'!$B$19*'Giả định'!$B$20+A551*'Giả định'!$B$23+'Giả định'!$B$24</f>
        <v>203258823.529412</v>
      </c>
      <c r="F551" s="25" t="n">
        <f aca="false">E551-D551</f>
        <v>-532835216.470588</v>
      </c>
      <c r="G551" s="25" t="n">
        <f aca="false">E551-C551</f>
        <v>-389230216.470588</v>
      </c>
      <c r="H551" s="7" t="str">
        <f aca="false">IF(F551&gt;=0,A551,"")</f>
        <v/>
      </c>
      <c r="I551" s="7" t="n">
        <f aca="false">IF(F551&lt;0,A551,0)</f>
        <v>546</v>
      </c>
      <c r="J551" s="7" t="str">
        <f aca="false">IF(G551&gt;=0,A551,"")</f>
        <v/>
      </c>
      <c r="K551" s="7" t="n">
        <f aca="false">IF(G551&lt;0,A551,0)</f>
        <v>546</v>
      </c>
    </row>
    <row r="552" customFormat="false" ht="15" hidden="false" customHeight="false" outlineLevel="0" collapsed="false">
      <c r="A552" s="7" t="n">
        <f aca="false">A551+1</f>
        <v>547</v>
      </c>
      <c r="B552" s="7" t="n">
        <f aca="false">MAX('Giả định'!$B$9,ROUNDUP(A552/'Giả định'!$B$7,0)+'Giả định'!$B$8)</f>
        <v>56</v>
      </c>
      <c r="C552" s="25" t="n">
        <f aca="false">('Chi phí'!$C$76+'Chi phí'!$D$76*B552+'Chi phí'!$E$76*A552+'Giả định'!$B$15*('Chi phí'!$F$76+'Chi phí'!$G$76*B552+'Chi phí'!$H$76*A552))*(1+'Giả định'!$B$16)</f>
        <v>592525780</v>
      </c>
      <c r="D552" s="25" t="n">
        <f aca="false">('Chi phí'!$C$77+'Chi phí'!$D$77*B552+'Chi phí'!$E$77*A552+'Giả định'!$B$15*('Chi phí'!$F$77+'Chi phí'!$G$77*B552+'Chi phí'!$H$77*A552))*(1+'Giả định'!$B$16)</f>
        <v>736130780</v>
      </c>
      <c r="E552" s="25" t="n">
        <f aca="false">A552/'Giả định'!$B$19*'Giả định'!$B$20+A552*'Giả định'!$B$23+'Giả định'!$B$24</f>
        <v>203631092.436975</v>
      </c>
      <c r="F552" s="25" t="n">
        <f aca="false">E552-D552</f>
        <v>-532499687.563025</v>
      </c>
      <c r="G552" s="25" t="n">
        <f aca="false">E552-C552</f>
        <v>-388894687.563025</v>
      </c>
      <c r="H552" s="7" t="str">
        <f aca="false">IF(F552&gt;=0,A552,"")</f>
        <v/>
      </c>
      <c r="I552" s="7" t="n">
        <f aca="false">IF(F552&lt;0,A552,0)</f>
        <v>547</v>
      </c>
      <c r="J552" s="7" t="str">
        <f aca="false">IF(G552&gt;=0,A552,"")</f>
        <v/>
      </c>
      <c r="K552" s="7" t="n">
        <f aca="false">IF(G552&lt;0,A552,0)</f>
        <v>547</v>
      </c>
    </row>
    <row r="553" customFormat="false" ht="15" hidden="false" customHeight="false" outlineLevel="0" collapsed="false">
      <c r="A553" s="7" t="n">
        <f aca="false">A552+1</f>
        <v>548</v>
      </c>
      <c r="B553" s="7" t="n">
        <f aca="false">MAX('Giả định'!$B$9,ROUNDUP(A553/'Giả định'!$B$7,0)+'Giả định'!$B$8)</f>
        <v>56</v>
      </c>
      <c r="C553" s="25" t="n">
        <f aca="false">('Chi phí'!$C$76+'Chi phí'!$D$76*B553+'Chi phí'!$E$76*A553+'Giả định'!$B$15*('Chi phí'!$F$76+'Chi phí'!$G$76*B553+'Chi phí'!$H$76*A553))*(1+'Giả định'!$B$16)</f>
        <v>592562520</v>
      </c>
      <c r="D553" s="25" t="n">
        <f aca="false">('Chi phí'!$C$77+'Chi phí'!$D$77*B553+'Chi phí'!$E$77*A553+'Giả định'!$B$15*('Chi phí'!$F$77+'Chi phí'!$G$77*B553+'Chi phí'!$H$77*A553))*(1+'Giả định'!$B$16)</f>
        <v>736167520</v>
      </c>
      <c r="E553" s="25" t="n">
        <f aca="false">A553/'Giả định'!$B$19*'Giả định'!$B$20+A553*'Giả định'!$B$23+'Giả định'!$B$24</f>
        <v>204003361.344538</v>
      </c>
      <c r="F553" s="25" t="n">
        <f aca="false">E553-D553</f>
        <v>-532164158.655462</v>
      </c>
      <c r="G553" s="25" t="n">
        <f aca="false">E553-C553</f>
        <v>-388559158.655462</v>
      </c>
      <c r="H553" s="7" t="str">
        <f aca="false">IF(F553&gt;=0,A553,"")</f>
        <v/>
      </c>
      <c r="I553" s="7" t="n">
        <f aca="false">IF(F553&lt;0,A553,0)</f>
        <v>548</v>
      </c>
      <c r="J553" s="7" t="str">
        <f aca="false">IF(G553&gt;=0,A553,"")</f>
        <v/>
      </c>
      <c r="K553" s="7" t="n">
        <f aca="false">IF(G553&lt;0,A553,0)</f>
        <v>548</v>
      </c>
    </row>
    <row r="554" customFormat="false" ht="15" hidden="false" customHeight="false" outlineLevel="0" collapsed="false">
      <c r="A554" s="7" t="n">
        <f aca="false">A553+1</f>
        <v>549</v>
      </c>
      <c r="B554" s="7" t="n">
        <f aca="false">MAX('Giả định'!$B$9,ROUNDUP(A554/'Giả định'!$B$7,0)+'Giả định'!$B$8)</f>
        <v>56</v>
      </c>
      <c r="C554" s="25" t="n">
        <f aca="false">('Chi phí'!$C$76+'Chi phí'!$D$76*B554+'Chi phí'!$E$76*A554+'Giả định'!$B$15*('Chi phí'!$F$76+'Chi phí'!$G$76*B554+'Chi phí'!$H$76*A554))*(1+'Giả định'!$B$16)</f>
        <v>592599260</v>
      </c>
      <c r="D554" s="25" t="n">
        <f aca="false">('Chi phí'!$C$77+'Chi phí'!$D$77*B554+'Chi phí'!$E$77*A554+'Giả định'!$B$15*('Chi phí'!$F$77+'Chi phí'!$G$77*B554+'Chi phí'!$H$77*A554))*(1+'Giả định'!$B$16)</f>
        <v>736204260</v>
      </c>
      <c r="E554" s="25" t="n">
        <f aca="false">A554/'Giả định'!$B$19*'Giả định'!$B$20+A554*'Giả định'!$B$23+'Giả định'!$B$24</f>
        <v>204375630.252101</v>
      </c>
      <c r="F554" s="25" t="n">
        <f aca="false">E554-D554</f>
        <v>-531828629.747899</v>
      </c>
      <c r="G554" s="25" t="n">
        <f aca="false">E554-C554</f>
        <v>-388223629.747899</v>
      </c>
      <c r="H554" s="7" t="str">
        <f aca="false">IF(F554&gt;=0,A554,"")</f>
        <v/>
      </c>
      <c r="I554" s="7" t="n">
        <f aca="false">IF(F554&lt;0,A554,0)</f>
        <v>549</v>
      </c>
      <c r="J554" s="7" t="str">
        <f aca="false">IF(G554&gt;=0,A554,"")</f>
        <v/>
      </c>
      <c r="K554" s="7" t="n">
        <f aca="false">IF(G554&lt;0,A554,0)</f>
        <v>549</v>
      </c>
    </row>
    <row r="555" customFormat="false" ht="15" hidden="false" customHeight="false" outlineLevel="0" collapsed="false">
      <c r="A555" s="7" t="n">
        <f aca="false">A554+1</f>
        <v>550</v>
      </c>
      <c r="B555" s="7" t="n">
        <f aca="false">MAX('Giả định'!$B$9,ROUNDUP(A555/'Giả định'!$B$7,0)+'Giả định'!$B$8)</f>
        <v>56</v>
      </c>
      <c r="C555" s="25" t="n">
        <f aca="false">('Chi phí'!$C$76+'Chi phí'!$D$76*B555+'Chi phí'!$E$76*A555+'Giả định'!$B$15*('Chi phí'!$F$76+'Chi phí'!$G$76*B555+'Chi phí'!$H$76*A555))*(1+'Giả định'!$B$16)</f>
        <v>592636000</v>
      </c>
      <c r="D555" s="25" t="n">
        <f aca="false">('Chi phí'!$C$77+'Chi phí'!$D$77*B555+'Chi phí'!$E$77*A555+'Giả định'!$B$15*('Chi phí'!$F$77+'Chi phí'!$G$77*B555+'Chi phí'!$H$77*A555))*(1+'Giả định'!$B$16)</f>
        <v>736241000</v>
      </c>
      <c r="E555" s="25" t="n">
        <f aca="false">A555/'Giả định'!$B$19*'Giả định'!$B$20+A555*'Giả định'!$B$23+'Giả định'!$B$24</f>
        <v>204747899.159664</v>
      </c>
      <c r="F555" s="25" t="n">
        <f aca="false">E555-D555</f>
        <v>-531493100.840336</v>
      </c>
      <c r="G555" s="25" t="n">
        <f aca="false">E555-C555</f>
        <v>-387888100.840336</v>
      </c>
      <c r="H555" s="7" t="str">
        <f aca="false">IF(F555&gt;=0,A555,"")</f>
        <v/>
      </c>
      <c r="I555" s="7" t="n">
        <f aca="false">IF(F555&lt;0,A555,0)</f>
        <v>550</v>
      </c>
      <c r="J555" s="7" t="str">
        <f aca="false">IF(G555&gt;=0,A555,"")</f>
        <v/>
      </c>
      <c r="K555" s="7" t="n">
        <f aca="false">IF(G555&lt;0,A555,0)</f>
        <v>550</v>
      </c>
    </row>
    <row r="556" customFormat="false" ht="15" hidden="false" customHeight="false" outlineLevel="0" collapsed="false">
      <c r="A556" s="7" t="n">
        <f aca="false">A555+1</f>
        <v>551</v>
      </c>
      <c r="B556" s="7" t="n">
        <f aca="false">MAX('Giả định'!$B$9,ROUNDUP(A556/'Giả định'!$B$7,0)+'Giả định'!$B$8)</f>
        <v>57</v>
      </c>
      <c r="C556" s="25" t="n">
        <f aca="false">('Chi phí'!$C$76+'Chi phí'!$D$76*B556+'Chi phí'!$E$76*A556+'Giả định'!$B$15*('Chi phí'!$F$76+'Chi phí'!$G$76*B556+'Chi phí'!$H$76*A556))*(1+'Giả định'!$B$16)</f>
        <v>601846740</v>
      </c>
      <c r="D556" s="25" t="n">
        <f aca="false">('Chi phí'!$C$77+'Chi phí'!$D$77*B556+'Chi phí'!$E$77*A556+'Giả định'!$B$15*('Chi phí'!$F$77+'Chi phí'!$G$77*B556+'Chi phí'!$H$77*A556))*(1+'Giả định'!$B$16)</f>
        <v>745451740</v>
      </c>
      <c r="E556" s="25" t="n">
        <f aca="false">A556/'Giả định'!$B$19*'Giả định'!$B$20+A556*'Giả định'!$B$23+'Giả định'!$B$24</f>
        <v>205120168.067227</v>
      </c>
      <c r="F556" s="25" t="n">
        <f aca="false">E556-D556</f>
        <v>-540331571.932773</v>
      </c>
      <c r="G556" s="25" t="n">
        <f aca="false">E556-C556</f>
        <v>-396726571.932773</v>
      </c>
      <c r="H556" s="7" t="str">
        <f aca="false">IF(F556&gt;=0,A556,"")</f>
        <v/>
      </c>
      <c r="I556" s="7" t="n">
        <f aca="false">IF(F556&lt;0,A556,0)</f>
        <v>551</v>
      </c>
      <c r="J556" s="7" t="str">
        <f aca="false">IF(G556&gt;=0,A556,"")</f>
        <v/>
      </c>
      <c r="K556" s="7" t="n">
        <f aca="false">IF(G556&lt;0,A556,0)</f>
        <v>551</v>
      </c>
    </row>
    <row r="557" customFormat="false" ht="15" hidden="false" customHeight="false" outlineLevel="0" collapsed="false">
      <c r="A557" s="7" t="n">
        <f aca="false">A556+1</f>
        <v>552</v>
      </c>
      <c r="B557" s="7" t="n">
        <f aca="false">MAX('Giả định'!$B$9,ROUNDUP(A557/'Giả định'!$B$7,0)+'Giả định'!$B$8)</f>
        <v>57</v>
      </c>
      <c r="C557" s="25" t="n">
        <f aca="false">('Chi phí'!$C$76+'Chi phí'!$D$76*B557+'Chi phí'!$E$76*A557+'Giả định'!$B$15*('Chi phí'!$F$76+'Chi phí'!$G$76*B557+'Chi phí'!$H$76*A557))*(1+'Giả định'!$B$16)</f>
        <v>601883480</v>
      </c>
      <c r="D557" s="25" t="n">
        <f aca="false">('Chi phí'!$C$77+'Chi phí'!$D$77*B557+'Chi phí'!$E$77*A557+'Giả định'!$B$15*('Chi phí'!$F$77+'Chi phí'!$G$77*B557+'Chi phí'!$H$77*A557))*(1+'Giả định'!$B$16)</f>
        <v>745488480</v>
      </c>
      <c r="E557" s="25" t="n">
        <f aca="false">A557/'Giả định'!$B$19*'Giả định'!$B$20+A557*'Giả định'!$B$23+'Giả định'!$B$24</f>
        <v>205492436.97479</v>
      </c>
      <c r="F557" s="25" t="n">
        <f aca="false">E557-D557</f>
        <v>-539996043.02521</v>
      </c>
      <c r="G557" s="25" t="n">
        <f aca="false">E557-C557</f>
        <v>-396391043.02521</v>
      </c>
      <c r="H557" s="7" t="str">
        <f aca="false">IF(F557&gt;=0,A557,"")</f>
        <v/>
      </c>
      <c r="I557" s="7" t="n">
        <f aca="false">IF(F557&lt;0,A557,0)</f>
        <v>552</v>
      </c>
      <c r="J557" s="7" t="str">
        <f aca="false">IF(G557&gt;=0,A557,"")</f>
        <v/>
      </c>
      <c r="K557" s="7" t="n">
        <f aca="false">IF(G557&lt;0,A557,0)</f>
        <v>552</v>
      </c>
    </row>
    <row r="558" customFormat="false" ht="15" hidden="false" customHeight="false" outlineLevel="0" collapsed="false">
      <c r="A558" s="7" t="n">
        <f aca="false">A557+1</f>
        <v>553</v>
      </c>
      <c r="B558" s="7" t="n">
        <f aca="false">MAX('Giả định'!$B$9,ROUNDUP(A558/'Giả định'!$B$7,0)+'Giả định'!$B$8)</f>
        <v>57</v>
      </c>
      <c r="C558" s="25" t="n">
        <f aca="false">('Chi phí'!$C$76+'Chi phí'!$D$76*B558+'Chi phí'!$E$76*A558+'Giả định'!$B$15*('Chi phí'!$F$76+'Chi phí'!$G$76*B558+'Chi phí'!$H$76*A558))*(1+'Giả định'!$B$16)</f>
        <v>601920220</v>
      </c>
      <c r="D558" s="25" t="n">
        <f aca="false">('Chi phí'!$C$77+'Chi phí'!$D$77*B558+'Chi phí'!$E$77*A558+'Giả định'!$B$15*('Chi phí'!$F$77+'Chi phí'!$G$77*B558+'Chi phí'!$H$77*A558))*(1+'Giả định'!$B$16)</f>
        <v>745525220</v>
      </c>
      <c r="E558" s="25" t="n">
        <f aca="false">A558/'Giả định'!$B$19*'Giả định'!$B$20+A558*'Giả định'!$B$23+'Giả định'!$B$24</f>
        <v>205864705.882353</v>
      </c>
      <c r="F558" s="25" t="n">
        <f aca="false">E558-D558</f>
        <v>-539660514.117647</v>
      </c>
      <c r="G558" s="25" t="n">
        <f aca="false">E558-C558</f>
        <v>-396055514.117647</v>
      </c>
      <c r="H558" s="7" t="str">
        <f aca="false">IF(F558&gt;=0,A558,"")</f>
        <v/>
      </c>
      <c r="I558" s="7" t="n">
        <f aca="false">IF(F558&lt;0,A558,0)</f>
        <v>553</v>
      </c>
      <c r="J558" s="7" t="str">
        <f aca="false">IF(G558&gt;=0,A558,"")</f>
        <v/>
      </c>
      <c r="K558" s="7" t="n">
        <f aca="false">IF(G558&lt;0,A558,0)</f>
        <v>553</v>
      </c>
    </row>
    <row r="559" customFormat="false" ht="15" hidden="false" customHeight="false" outlineLevel="0" collapsed="false">
      <c r="A559" s="7" t="n">
        <f aca="false">A558+1</f>
        <v>554</v>
      </c>
      <c r="B559" s="7" t="n">
        <f aca="false">MAX('Giả định'!$B$9,ROUNDUP(A559/'Giả định'!$B$7,0)+'Giả định'!$B$8)</f>
        <v>57</v>
      </c>
      <c r="C559" s="25" t="n">
        <f aca="false">('Chi phí'!$C$76+'Chi phí'!$D$76*B559+'Chi phí'!$E$76*A559+'Giả định'!$B$15*('Chi phí'!$F$76+'Chi phí'!$G$76*B559+'Chi phí'!$H$76*A559))*(1+'Giả định'!$B$16)</f>
        <v>601956960</v>
      </c>
      <c r="D559" s="25" t="n">
        <f aca="false">('Chi phí'!$C$77+'Chi phí'!$D$77*B559+'Chi phí'!$E$77*A559+'Giả định'!$B$15*('Chi phí'!$F$77+'Chi phí'!$G$77*B559+'Chi phí'!$H$77*A559))*(1+'Giả định'!$B$16)</f>
        <v>745561960</v>
      </c>
      <c r="E559" s="25" t="n">
        <f aca="false">A559/'Giả định'!$B$19*'Giả định'!$B$20+A559*'Giả định'!$B$23+'Giả định'!$B$24</f>
        <v>206236974.789916</v>
      </c>
      <c r="F559" s="25" t="n">
        <f aca="false">E559-D559</f>
        <v>-539324985.210084</v>
      </c>
      <c r="G559" s="25" t="n">
        <f aca="false">E559-C559</f>
        <v>-395719985.210084</v>
      </c>
      <c r="H559" s="7" t="str">
        <f aca="false">IF(F559&gt;=0,A559,"")</f>
        <v/>
      </c>
      <c r="I559" s="7" t="n">
        <f aca="false">IF(F559&lt;0,A559,0)</f>
        <v>554</v>
      </c>
      <c r="J559" s="7" t="str">
        <f aca="false">IF(G559&gt;=0,A559,"")</f>
        <v/>
      </c>
      <c r="K559" s="7" t="n">
        <f aca="false">IF(G559&lt;0,A559,0)</f>
        <v>554</v>
      </c>
    </row>
    <row r="560" customFormat="false" ht="15" hidden="false" customHeight="false" outlineLevel="0" collapsed="false">
      <c r="A560" s="7" t="n">
        <f aca="false">A559+1</f>
        <v>555</v>
      </c>
      <c r="B560" s="7" t="n">
        <f aca="false">MAX('Giả định'!$B$9,ROUNDUP(A560/'Giả định'!$B$7,0)+'Giả định'!$B$8)</f>
        <v>57</v>
      </c>
      <c r="C560" s="25" t="n">
        <f aca="false">('Chi phí'!$C$76+'Chi phí'!$D$76*B560+'Chi phí'!$E$76*A560+'Giả định'!$B$15*('Chi phí'!$F$76+'Chi phí'!$G$76*B560+'Chi phí'!$H$76*A560))*(1+'Giả định'!$B$16)</f>
        <v>601993700</v>
      </c>
      <c r="D560" s="25" t="n">
        <f aca="false">('Chi phí'!$C$77+'Chi phí'!$D$77*B560+'Chi phí'!$E$77*A560+'Giả định'!$B$15*('Chi phí'!$F$77+'Chi phí'!$G$77*B560+'Chi phí'!$H$77*A560))*(1+'Giả định'!$B$16)</f>
        <v>745598700</v>
      </c>
      <c r="E560" s="25" t="n">
        <f aca="false">A560/'Giả định'!$B$19*'Giả định'!$B$20+A560*'Giả định'!$B$23+'Giả định'!$B$24</f>
        <v>206609243.697479</v>
      </c>
      <c r="F560" s="25" t="n">
        <f aca="false">E560-D560</f>
        <v>-538989456.302521</v>
      </c>
      <c r="G560" s="25" t="n">
        <f aca="false">E560-C560</f>
        <v>-395384456.302521</v>
      </c>
      <c r="H560" s="7" t="str">
        <f aca="false">IF(F560&gt;=0,A560,"")</f>
        <v/>
      </c>
      <c r="I560" s="7" t="n">
        <f aca="false">IF(F560&lt;0,A560,0)</f>
        <v>555</v>
      </c>
      <c r="J560" s="7" t="str">
        <f aca="false">IF(G560&gt;=0,A560,"")</f>
        <v/>
      </c>
      <c r="K560" s="7" t="n">
        <f aca="false">IF(G560&lt;0,A560,0)</f>
        <v>555</v>
      </c>
    </row>
    <row r="561" customFormat="false" ht="15" hidden="false" customHeight="false" outlineLevel="0" collapsed="false">
      <c r="A561" s="7" t="n">
        <f aca="false">A560+1</f>
        <v>556</v>
      </c>
      <c r="B561" s="7" t="n">
        <f aca="false">MAX('Giả định'!$B$9,ROUNDUP(A561/'Giả định'!$B$7,0)+'Giả định'!$B$8)</f>
        <v>57</v>
      </c>
      <c r="C561" s="25" t="n">
        <f aca="false">('Chi phí'!$C$76+'Chi phí'!$D$76*B561+'Chi phí'!$E$76*A561+'Giả định'!$B$15*('Chi phí'!$F$76+'Chi phí'!$G$76*B561+'Chi phí'!$H$76*A561))*(1+'Giả định'!$B$16)</f>
        <v>602030440</v>
      </c>
      <c r="D561" s="25" t="n">
        <f aca="false">('Chi phí'!$C$77+'Chi phí'!$D$77*B561+'Chi phí'!$E$77*A561+'Giả định'!$B$15*('Chi phí'!$F$77+'Chi phí'!$G$77*B561+'Chi phí'!$H$77*A561))*(1+'Giả định'!$B$16)</f>
        <v>745635440</v>
      </c>
      <c r="E561" s="25" t="n">
        <f aca="false">A561/'Giả định'!$B$19*'Giả định'!$B$20+A561*'Giả định'!$B$23+'Giả định'!$B$24</f>
        <v>206981512.605042</v>
      </c>
      <c r="F561" s="25" t="n">
        <f aca="false">E561-D561</f>
        <v>-538653927.394958</v>
      </c>
      <c r="G561" s="25" t="n">
        <f aca="false">E561-C561</f>
        <v>-395048927.394958</v>
      </c>
      <c r="H561" s="7" t="str">
        <f aca="false">IF(F561&gt;=0,A561,"")</f>
        <v/>
      </c>
      <c r="I561" s="7" t="n">
        <f aca="false">IF(F561&lt;0,A561,0)</f>
        <v>556</v>
      </c>
      <c r="J561" s="7" t="str">
        <f aca="false">IF(G561&gt;=0,A561,"")</f>
        <v/>
      </c>
      <c r="K561" s="7" t="n">
        <f aca="false">IF(G561&lt;0,A561,0)</f>
        <v>556</v>
      </c>
    </row>
    <row r="562" customFormat="false" ht="15" hidden="false" customHeight="false" outlineLevel="0" collapsed="false">
      <c r="A562" s="7" t="n">
        <f aca="false">A561+1</f>
        <v>557</v>
      </c>
      <c r="B562" s="7" t="n">
        <f aca="false">MAX('Giả định'!$B$9,ROUNDUP(A562/'Giả định'!$B$7,0)+'Giả định'!$B$8)</f>
        <v>57</v>
      </c>
      <c r="C562" s="25" t="n">
        <f aca="false">('Chi phí'!$C$76+'Chi phí'!$D$76*B562+'Chi phí'!$E$76*A562+'Giả định'!$B$15*('Chi phí'!$F$76+'Chi phí'!$G$76*B562+'Chi phí'!$H$76*A562))*(1+'Giả định'!$B$16)</f>
        <v>602067180</v>
      </c>
      <c r="D562" s="25" t="n">
        <f aca="false">('Chi phí'!$C$77+'Chi phí'!$D$77*B562+'Chi phí'!$E$77*A562+'Giả định'!$B$15*('Chi phí'!$F$77+'Chi phí'!$G$77*B562+'Chi phí'!$H$77*A562))*(1+'Giả định'!$B$16)</f>
        <v>745672180</v>
      </c>
      <c r="E562" s="25" t="n">
        <f aca="false">A562/'Giả định'!$B$19*'Giả định'!$B$20+A562*'Giả định'!$B$23+'Giả định'!$B$24</f>
        <v>207353781.512605</v>
      </c>
      <c r="F562" s="25" t="n">
        <f aca="false">E562-D562</f>
        <v>-538318398.487395</v>
      </c>
      <c r="G562" s="25" t="n">
        <f aca="false">E562-C562</f>
        <v>-394713398.487395</v>
      </c>
      <c r="H562" s="7" t="str">
        <f aca="false">IF(F562&gt;=0,A562,"")</f>
        <v/>
      </c>
      <c r="I562" s="7" t="n">
        <f aca="false">IF(F562&lt;0,A562,0)</f>
        <v>557</v>
      </c>
      <c r="J562" s="7" t="str">
        <f aca="false">IF(G562&gt;=0,A562,"")</f>
        <v/>
      </c>
      <c r="K562" s="7" t="n">
        <f aca="false">IF(G562&lt;0,A562,0)</f>
        <v>557</v>
      </c>
    </row>
    <row r="563" customFormat="false" ht="15" hidden="false" customHeight="false" outlineLevel="0" collapsed="false">
      <c r="A563" s="7" t="n">
        <f aca="false">A562+1</f>
        <v>558</v>
      </c>
      <c r="B563" s="7" t="n">
        <f aca="false">MAX('Giả định'!$B$9,ROUNDUP(A563/'Giả định'!$B$7,0)+'Giả định'!$B$8)</f>
        <v>57</v>
      </c>
      <c r="C563" s="25" t="n">
        <f aca="false">('Chi phí'!$C$76+'Chi phí'!$D$76*B563+'Chi phí'!$E$76*A563+'Giả định'!$B$15*('Chi phí'!$F$76+'Chi phí'!$G$76*B563+'Chi phí'!$H$76*A563))*(1+'Giả định'!$B$16)</f>
        <v>602103920</v>
      </c>
      <c r="D563" s="25" t="n">
        <f aca="false">('Chi phí'!$C$77+'Chi phí'!$D$77*B563+'Chi phí'!$E$77*A563+'Giả định'!$B$15*('Chi phí'!$F$77+'Chi phí'!$G$77*B563+'Chi phí'!$H$77*A563))*(1+'Giả định'!$B$16)</f>
        <v>745708920</v>
      </c>
      <c r="E563" s="25" t="n">
        <f aca="false">A563/'Giả định'!$B$19*'Giả định'!$B$20+A563*'Giả định'!$B$23+'Giả định'!$B$24</f>
        <v>207726050.420168</v>
      </c>
      <c r="F563" s="25" t="n">
        <f aca="false">E563-D563</f>
        <v>-537982869.579832</v>
      </c>
      <c r="G563" s="25" t="n">
        <f aca="false">E563-C563</f>
        <v>-394377869.579832</v>
      </c>
      <c r="H563" s="7" t="str">
        <f aca="false">IF(F563&gt;=0,A563,"")</f>
        <v/>
      </c>
      <c r="I563" s="7" t="n">
        <f aca="false">IF(F563&lt;0,A563,0)</f>
        <v>558</v>
      </c>
      <c r="J563" s="7" t="str">
        <f aca="false">IF(G563&gt;=0,A563,"")</f>
        <v/>
      </c>
      <c r="K563" s="7" t="n">
        <f aca="false">IF(G563&lt;0,A563,0)</f>
        <v>558</v>
      </c>
    </row>
    <row r="564" customFormat="false" ht="15" hidden="false" customHeight="false" outlineLevel="0" collapsed="false">
      <c r="A564" s="7" t="n">
        <f aca="false">A563+1</f>
        <v>559</v>
      </c>
      <c r="B564" s="7" t="n">
        <f aca="false">MAX('Giả định'!$B$9,ROUNDUP(A564/'Giả định'!$B$7,0)+'Giả định'!$B$8)</f>
        <v>57</v>
      </c>
      <c r="C564" s="25" t="n">
        <f aca="false">('Chi phí'!$C$76+'Chi phí'!$D$76*B564+'Chi phí'!$E$76*A564+'Giả định'!$B$15*('Chi phí'!$F$76+'Chi phí'!$G$76*B564+'Chi phí'!$H$76*A564))*(1+'Giả định'!$B$16)</f>
        <v>602140660</v>
      </c>
      <c r="D564" s="25" t="n">
        <f aca="false">('Chi phí'!$C$77+'Chi phí'!$D$77*B564+'Chi phí'!$E$77*A564+'Giả định'!$B$15*('Chi phí'!$F$77+'Chi phí'!$G$77*B564+'Chi phí'!$H$77*A564))*(1+'Giả định'!$B$16)</f>
        <v>745745660</v>
      </c>
      <c r="E564" s="25" t="n">
        <f aca="false">A564/'Giả định'!$B$19*'Giả định'!$B$20+A564*'Giả định'!$B$23+'Giả định'!$B$24</f>
        <v>208098319.327731</v>
      </c>
      <c r="F564" s="25" t="n">
        <f aca="false">E564-D564</f>
        <v>-537647340.672269</v>
      </c>
      <c r="G564" s="25" t="n">
        <f aca="false">E564-C564</f>
        <v>-394042340.672269</v>
      </c>
      <c r="H564" s="7" t="str">
        <f aca="false">IF(F564&gt;=0,A564,"")</f>
        <v/>
      </c>
      <c r="I564" s="7" t="n">
        <f aca="false">IF(F564&lt;0,A564,0)</f>
        <v>559</v>
      </c>
      <c r="J564" s="7" t="str">
        <f aca="false">IF(G564&gt;=0,A564,"")</f>
        <v/>
      </c>
      <c r="K564" s="7" t="n">
        <f aca="false">IF(G564&lt;0,A564,0)</f>
        <v>559</v>
      </c>
    </row>
    <row r="565" customFormat="false" ht="15" hidden="false" customHeight="false" outlineLevel="0" collapsed="false">
      <c r="A565" s="7" t="n">
        <f aca="false">A564+1</f>
        <v>560</v>
      </c>
      <c r="B565" s="7" t="n">
        <f aca="false">MAX('Giả định'!$B$9,ROUNDUP(A565/'Giả định'!$B$7,0)+'Giả định'!$B$8)</f>
        <v>57</v>
      </c>
      <c r="C565" s="25" t="n">
        <f aca="false">('Chi phí'!$C$76+'Chi phí'!$D$76*B565+'Chi phí'!$E$76*A565+'Giả định'!$B$15*('Chi phí'!$F$76+'Chi phí'!$G$76*B565+'Chi phí'!$H$76*A565))*(1+'Giả định'!$B$16)</f>
        <v>602177400</v>
      </c>
      <c r="D565" s="25" t="n">
        <f aca="false">('Chi phí'!$C$77+'Chi phí'!$D$77*B565+'Chi phí'!$E$77*A565+'Giả định'!$B$15*('Chi phí'!$F$77+'Chi phí'!$G$77*B565+'Chi phí'!$H$77*A565))*(1+'Giả định'!$B$16)</f>
        <v>745782400</v>
      </c>
      <c r="E565" s="25" t="n">
        <f aca="false">A565/'Giả định'!$B$19*'Giả định'!$B$20+A565*'Giả định'!$B$23+'Giả định'!$B$24</f>
        <v>208470588.235294</v>
      </c>
      <c r="F565" s="25" t="n">
        <f aca="false">E565-D565</f>
        <v>-537311811.764706</v>
      </c>
      <c r="G565" s="25" t="n">
        <f aca="false">E565-C565</f>
        <v>-393706811.764706</v>
      </c>
      <c r="H565" s="7" t="str">
        <f aca="false">IF(F565&gt;=0,A565,"")</f>
        <v/>
      </c>
      <c r="I565" s="7" t="n">
        <f aca="false">IF(F565&lt;0,A565,0)</f>
        <v>560</v>
      </c>
      <c r="J565" s="7" t="str">
        <f aca="false">IF(G565&gt;=0,A565,"")</f>
        <v/>
      </c>
      <c r="K565" s="7" t="n">
        <f aca="false">IF(G565&lt;0,A565,0)</f>
        <v>560</v>
      </c>
    </row>
    <row r="566" customFormat="false" ht="15" hidden="false" customHeight="false" outlineLevel="0" collapsed="false">
      <c r="A566" s="7" t="n">
        <f aca="false">A565+1</f>
        <v>561</v>
      </c>
      <c r="B566" s="7" t="n">
        <f aca="false">MAX('Giả định'!$B$9,ROUNDUP(A566/'Giả định'!$B$7,0)+'Giả định'!$B$8)</f>
        <v>58</v>
      </c>
      <c r="C566" s="25" t="n">
        <f aca="false">('Chi phí'!$C$76+'Chi phí'!$D$76*B566+'Chi phí'!$E$76*A566+'Giả định'!$B$15*('Chi phí'!$F$76+'Chi phí'!$G$76*B566+'Chi phí'!$H$76*A566))*(1+'Giả định'!$B$16)</f>
        <v>611388140</v>
      </c>
      <c r="D566" s="25" t="n">
        <f aca="false">('Chi phí'!$C$77+'Chi phí'!$D$77*B566+'Chi phí'!$E$77*A566+'Giả định'!$B$15*('Chi phí'!$F$77+'Chi phí'!$G$77*B566+'Chi phí'!$H$77*A566))*(1+'Giả định'!$B$16)</f>
        <v>754993140</v>
      </c>
      <c r="E566" s="25" t="n">
        <f aca="false">A566/'Giả định'!$B$19*'Giả định'!$B$20+A566*'Giả định'!$B$23+'Giả định'!$B$24</f>
        <v>208842857.142857</v>
      </c>
      <c r="F566" s="25" t="n">
        <f aca="false">E566-D566</f>
        <v>-546150282.857143</v>
      </c>
      <c r="G566" s="25" t="n">
        <f aca="false">E566-C566</f>
        <v>-402545282.857143</v>
      </c>
      <c r="H566" s="7" t="str">
        <f aca="false">IF(F566&gt;=0,A566,"")</f>
        <v/>
      </c>
      <c r="I566" s="7" t="n">
        <f aca="false">IF(F566&lt;0,A566,0)</f>
        <v>561</v>
      </c>
      <c r="J566" s="7" t="str">
        <f aca="false">IF(G566&gt;=0,A566,"")</f>
        <v/>
      </c>
      <c r="K566" s="7" t="n">
        <f aca="false">IF(G566&lt;0,A566,0)</f>
        <v>561</v>
      </c>
    </row>
    <row r="567" customFormat="false" ht="15" hidden="false" customHeight="false" outlineLevel="0" collapsed="false">
      <c r="A567" s="7" t="n">
        <f aca="false">A566+1</f>
        <v>562</v>
      </c>
      <c r="B567" s="7" t="n">
        <f aca="false">MAX('Giả định'!$B$9,ROUNDUP(A567/'Giả định'!$B$7,0)+'Giả định'!$B$8)</f>
        <v>58</v>
      </c>
      <c r="C567" s="25" t="n">
        <f aca="false">('Chi phí'!$C$76+'Chi phí'!$D$76*B567+'Chi phí'!$E$76*A567+'Giả định'!$B$15*('Chi phí'!$F$76+'Chi phí'!$G$76*B567+'Chi phí'!$H$76*A567))*(1+'Giả định'!$B$16)</f>
        <v>611424880</v>
      </c>
      <c r="D567" s="25" t="n">
        <f aca="false">('Chi phí'!$C$77+'Chi phí'!$D$77*B567+'Chi phí'!$E$77*A567+'Giả định'!$B$15*('Chi phí'!$F$77+'Chi phí'!$G$77*B567+'Chi phí'!$H$77*A567))*(1+'Giả định'!$B$16)</f>
        <v>755029880</v>
      </c>
      <c r="E567" s="25" t="n">
        <f aca="false">A567/'Giả định'!$B$19*'Giả định'!$B$20+A567*'Giả định'!$B$23+'Giả định'!$B$24</f>
        <v>209215126.05042</v>
      </c>
      <c r="F567" s="25" t="n">
        <f aca="false">E567-D567</f>
        <v>-545814753.94958</v>
      </c>
      <c r="G567" s="25" t="n">
        <f aca="false">E567-C567</f>
        <v>-402209753.94958</v>
      </c>
      <c r="H567" s="7" t="str">
        <f aca="false">IF(F567&gt;=0,A567,"")</f>
        <v/>
      </c>
      <c r="I567" s="7" t="n">
        <f aca="false">IF(F567&lt;0,A567,0)</f>
        <v>562</v>
      </c>
      <c r="J567" s="7" t="str">
        <f aca="false">IF(G567&gt;=0,A567,"")</f>
        <v/>
      </c>
      <c r="K567" s="7" t="n">
        <f aca="false">IF(G567&lt;0,A567,0)</f>
        <v>562</v>
      </c>
    </row>
    <row r="568" customFormat="false" ht="15" hidden="false" customHeight="false" outlineLevel="0" collapsed="false">
      <c r="A568" s="7" t="n">
        <f aca="false">A567+1</f>
        <v>563</v>
      </c>
      <c r="B568" s="7" t="n">
        <f aca="false">MAX('Giả định'!$B$9,ROUNDUP(A568/'Giả định'!$B$7,0)+'Giả định'!$B$8)</f>
        <v>58</v>
      </c>
      <c r="C568" s="25" t="n">
        <f aca="false">('Chi phí'!$C$76+'Chi phí'!$D$76*B568+'Chi phí'!$E$76*A568+'Giả định'!$B$15*('Chi phí'!$F$76+'Chi phí'!$G$76*B568+'Chi phí'!$H$76*A568))*(1+'Giả định'!$B$16)</f>
        <v>611461620</v>
      </c>
      <c r="D568" s="25" t="n">
        <f aca="false">('Chi phí'!$C$77+'Chi phí'!$D$77*B568+'Chi phí'!$E$77*A568+'Giả định'!$B$15*('Chi phí'!$F$77+'Chi phí'!$G$77*B568+'Chi phí'!$H$77*A568))*(1+'Giả định'!$B$16)</f>
        <v>755066620</v>
      </c>
      <c r="E568" s="25" t="n">
        <f aca="false">A568/'Giả định'!$B$19*'Giả định'!$B$20+A568*'Giả định'!$B$23+'Giả định'!$B$24</f>
        <v>209587394.957983</v>
      </c>
      <c r="F568" s="25" t="n">
        <f aca="false">E568-D568</f>
        <v>-545479225.042017</v>
      </c>
      <c r="G568" s="25" t="n">
        <f aca="false">E568-C568</f>
        <v>-401874225.042017</v>
      </c>
      <c r="H568" s="7" t="str">
        <f aca="false">IF(F568&gt;=0,A568,"")</f>
        <v/>
      </c>
      <c r="I568" s="7" t="n">
        <f aca="false">IF(F568&lt;0,A568,0)</f>
        <v>563</v>
      </c>
      <c r="J568" s="7" t="str">
        <f aca="false">IF(G568&gt;=0,A568,"")</f>
        <v/>
      </c>
      <c r="K568" s="7" t="n">
        <f aca="false">IF(G568&lt;0,A568,0)</f>
        <v>563</v>
      </c>
    </row>
    <row r="569" customFormat="false" ht="15" hidden="false" customHeight="false" outlineLevel="0" collapsed="false">
      <c r="A569" s="7" t="n">
        <f aca="false">A568+1</f>
        <v>564</v>
      </c>
      <c r="B569" s="7" t="n">
        <f aca="false">MAX('Giả định'!$B$9,ROUNDUP(A569/'Giả định'!$B$7,0)+'Giả định'!$B$8)</f>
        <v>58</v>
      </c>
      <c r="C569" s="25" t="n">
        <f aca="false">('Chi phí'!$C$76+'Chi phí'!$D$76*B569+'Chi phí'!$E$76*A569+'Giả định'!$B$15*('Chi phí'!$F$76+'Chi phí'!$G$76*B569+'Chi phí'!$H$76*A569))*(1+'Giả định'!$B$16)</f>
        <v>611498360</v>
      </c>
      <c r="D569" s="25" t="n">
        <f aca="false">('Chi phí'!$C$77+'Chi phí'!$D$77*B569+'Chi phí'!$E$77*A569+'Giả định'!$B$15*('Chi phí'!$F$77+'Chi phí'!$G$77*B569+'Chi phí'!$H$77*A569))*(1+'Giả định'!$B$16)</f>
        <v>755103360</v>
      </c>
      <c r="E569" s="25" t="n">
        <f aca="false">A569/'Giả định'!$B$19*'Giả định'!$B$20+A569*'Giả định'!$B$23+'Giả định'!$B$24</f>
        <v>209959663.865546</v>
      </c>
      <c r="F569" s="25" t="n">
        <f aca="false">E569-D569</f>
        <v>-545143696.134454</v>
      </c>
      <c r="G569" s="25" t="n">
        <f aca="false">E569-C569</f>
        <v>-401538696.134454</v>
      </c>
      <c r="H569" s="7" t="str">
        <f aca="false">IF(F569&gt;=0,A569,"")</f>
        <v/>
      </c>
      <c r="I569" s="7" t="n">
        <f aca="false">IF(F569&lt;0,A569,0)</f>
        <v>564</v>
      </c>
      <c r="J569" s="7" t="str">
        <f aca="false">IF(G569&gt;=0,A569,"")</f>
        <v/>
      </c>
      <c r="K569" s="7" t="n">
        <f aca="false">IF(G569&lt;0,A569,0)</f>
        <v>564</v>
      </c>
    </row>
    <row r="570" customFormat="false" ht="15" hidden="false" customHeight="false" outlineLevel="0" collapsed="false">
      <c r="A570" s="7" t="n">
        <f aca="false">A569+1</f>
        <v>565</v>
      </c>
      <c r="B570" s="7" t="n">
        <f aca="false">MAX('Giả định'!$B$9,ROUNDUP(A570/'Giả định'!$B$7,0)+'Giả định'!$B$8)</f>
        <v>58</v>
      </c>
      <c r="C570" s="25" t="n">
        <f aca="false">('Chi phí'!$C$76+'Chi phí'!$D$76*B570+'Chi phí'!$E$76*A570+'Giả định'!$B$15*('Chi phí'!$F$76+'Chi phí'!$G$76*B570+'Chi phí'!$H$76*A570))*(1+'Giả định'!$B$16)</f>
        <v>611535100</v>
      </c>
      <c r="D570" s="25" t="n">
        <f aca="false">('Chi phí'!$C$77+'Chi phí'!$D$77*B570+'Chi phí'!$E$77*A570+'Giả định'!$B$15*('Chi phí'!$F$77+'Chi phí'!$G$77*B570+'Chi phí'!$H$77*A570))*(1+'Giả định'!$B$16)</f>
        <v>755140100</v>
      </c>
      <c r="E570" s="25" t="n">
        <f aca="false">A570/'Giả định'!$B$19*'Giả định'!$B$20+A570*'Giả định'!$B$23+'Giả định'!$B$24</f>
        <v>210331932.773109</v>
      </c>
      <c r="F570" s="25" t="n">
        <f aca="false">E570-D570</f>
        <v>-544808167.226891</v>
      </c>
      <c r="G570" s="25" t="n">
        <f aca="false">E570-C570</f>
        <v>-401203167.226891</v>
      </c>
      <c r="H570" s="7" t="str">
        <f aca="false">IF(F570&gt;=0,A570,"")</f>
        <v/>
      </c>
      <c r="I570" s="7" t="n">
        <f aca="false">IF(F570&lt;0,A570,0)</f>
        <v>565</v>
      </c>
      <c r="J570" s="7" t="str">
        <f aca="false">IF(G570&gt;=0,A570,"")</f>
        <v/>
      </c>
      <c r="K570" s="7" t="n">
        <f aca="false">IF(G570&lt;0,A570,0)</f>
        <v>565</v>
      </c>
    </row>
    <row r="571" customFormat="false" ht="15" hidden="false" customHeight="false" outlineLevel="0" collapsed="false">
      <c r="A571" s="7" t="n">
        <f aca="false">A570+1</f>
        <v>566</v>
      </c>
      <c r="B571" s="7" t="n">
        <f aca="false">MAX('Giả định'!$B$9,ROUNDUP(A571/'Giả định'!$B$7,0)+'Giả định'!$B$8)</f>
        <v>58</v>
      </c>
      <c r="C571" s="25" t="n">
        <f aca="false">('Chi phí'!$C$76+'Chi phí'!$D$76*B571+'Chi phí'!$E$76*A571+'Giả định'!$B$15*('Chi phí'!$F$76+'Chi phí'!$G$76*B571+'Chi phí'!$H$76*A571))*(1+'Giả định'!$B$16)</f>
        <v>611571840</v>
      </c>
      <c r="D571" s="25" t="n">
        <f aca="false">('Chi phí'!$C$77+'Chi phí'!$D$77*B571+'Chi phí'!$E$77*A571+'Giả định'!$B$15*('Chi phí'!$F$77+'Chi phí'!$G$77*B571+'Chi phí'!$H$77*A571))*(1+'Giả định'!$B$16)</f>
        <v>755176840</v>
      </c>
      <c r="E571" s="25" t="n">
        <f aca="false">A571/'Giả định'!$B$19*'Giả định'!$B$20+A571*'Giả định'!$B$23+'Giả định'!$B$24</f>
        <v>210704201.680672</v>
      </c>
      <c r="F571" s="25" t="n">
        <f aca="false">E571-D571</f>
        <v>-544472638.319328</v>
      </c>
      <c r="G571" s="25" t="n">
        <f aca="false">E571-C571</f>
        <v>-400867638.319328</v>
      </c>
      <c r="H571" s="7" t="str">
        <f aca="false">IF(F571&gt;=0,A571,"")</f>
        <v/>
      </c>
      <c r="I571" s="7" t="n">
        <f aca="false">IF(F571&lt;0,A571,0)</f>
        <v>566</v>
      </c>
      <c r="J571" s="7" t="str">
        <f aca="false">IF(G571&gt;=0,A571,"")</f>
        <v/>
      </c>
      <c r="K571" s="7" t="n">
        <f aca="false">IF(G571&lt;0,A571,0)</f>
        <v>566</v>
      </c>
    </row>
    <row r="572" customFormat="false" ht="15" hidden="false" customHeight="false" outlineLevel="0" collapsed="false">
      <c r="A572" s="7" t="n">
        <f aca="false">A571+1</f>
        <v>567</v>
      </c>
      <c r="B572" s="7" t="n">
        <f aca="false">MAX('Giả định'!$B$9,ROUNDUP(A572/'Giả định'!$B$7,0)+'Giả định'!$B$8)</f>
        <v>58</v>
      </c>
      <c r="C572" s="25" t="n">
        <f aca="false">('Chi phí'!$C$76+'Chi phí'!$D$76*B572+'Chi phí'!$E$76*A572+'Giả định'!$B$15*('Chi phí'!$F$76+'Chi phí'!$G$76*B572+'Chi phí'!$H$76*A572))*(1+'Giả định'!$B$16)</f>
        <v>611608580</v>
      </c>
      <c r="D572" s="25" t="n">
        <f aca="false">('Chi phí'!$C$77+'Chi phí'!$D$77*B572+'Chi phí'!$E$77*A572+'Giả định'!$B$15*('Chi phí'!$F$77+'Chi phí'!$G$77*B572+'Chi phí'!$H$77*A572))*(1+'Giả định'!$B$16)</f>
        <v>755213580</v>
      </c>
      <c r="E572" s="25" t="n">
        <f aca="false">A572/'Giả định'!$B$19*'Giả định'!$B$20+A572*'Giả định'!$B$23+'Giả định'!$B$24</f>
        <v>211076470.588235</v>
      </c>
      <c r="F572" s="25" t="n">
        <f aca="false">E572-D572</f>
        <v>-544137109.411765</v>
      </c>
      <c r="G572" s="25" t="n">
        <f aca="false">E572-C572</f>
        <v>-400532109.411765</v>
      </c>
      <c r="H572" s="7" t="str">
        <f aca="false">IF(F572&gt;=0,A572,"")</f>
        <v/>
      </c>
      <c r="I572" s="7" t="n">
        <f aca="false">IF(F572&lt;0,A572,0)</f>
        <v>567</v>
      </c>
      <c r="J572" s="7" t="str">
        <f aca="false">IF(G572&gt;=0,A572,"")</f>
        <v/>
      </c>
      <c r="K572" s="7" t="n">
        <f aca="false">IF(G572&lt;0,A572,0)</f>
        <v>567</v>
      </c>
    </row>
    <row r="573" customFormat="false" ht="15" hidden="false" customHeight="false" outlineLevel="0" collapsed="false">
      <c r="A573" s="7" t="n">
        <f aca="false">A572+1</f>
        <v>568</v>
      </c>
      <c r="B573" s="7" t="n">
        <f aca="false">MAX('Giả định'!$B$9,ROUNDUP(A573/'Giả định'!$B$7,0)+'Giả định'!$B$8)</f>
        <v>58</v>
      </c>
      <c r="C573" s="25" t="n">
        <f aca="false">('Chi phí'!$C$76+'Chi phí'!$D$76*B573+'Chi phí'!$E$76*A573+'Giả định'!$B$15*('Chi phí'!$F$76+'Chi phí'!$G$76*B573+'Chi phí'!$H$76*A573))*(1+'Giả định'!$B$16)</f>
        <v>611645320</v>
      </c>
      <c r="D573" s="25" t="n">
        <f aca="false">('Chi phí'!$C$77+'Chi phí'!$D$77*B573+'Chi phí'!$E$77*A573+'Giả định'!$B$15*('Chi phí'!$F$77+'Chi phí'!$G$77*B573+'Chi phí'!$H$77*A573))*(1+'Giả định'!$B$16)</f>
        <v>755250320</v>
      </c>
      <c r="E573" s="25" t="n">
        <f aca="false">A573/'Giả định'!$B$19*'Giả định'!$B$20+A573*'Giả định'!$B$23+'Giả định'!$B$24</f>
        <v>211448739.495798</v>
      </c>
      <c r="F573" s="25" t="n">
        <f aca="false">E573-D573</f>
        <v>-543801580.504202</v>
      </c>
      <c r="G573" s="25" t="n">
        <f aca="false">E573-C573</f>
        <v>-400196580.504202</v>
      </c>
      <c r="H573" s="7" t="str">
        <f aca="false">IF(F573&gt;=0,A573,"")</f>
        <v/>
      </c>
      <c r="I573" s="7" t="n">
        <f aca="false">IF(F573&lt;0,A573,0)</f>
        <v>568</v>
      </c>
      <c r="J573" s="7" t="str">
        <f aca="false">IF(G573&gt;=0,A573,"")</f>
        <v/>
      </c>
      <c r="K573" s="7" t="n">
        <f aca="false">IF(G573&lt;0,A573,0)</f>
        <v>568</v>
      </c>
    </row>
    <row r="574" customFormat="false" ht="15" hidden="false" customHeight="false" outlineLevel="0" collapsed="false">
      <c r="A574" s="7" t="n">
        <f aca="false">A573+1</f>
        <v>569</v>
      </c>
      <c r="B574" s="7" t="n">
        <f aca="false">MAX('Giả định'!$B$9,ROUNDUP(A574/'Giả định'!$B$7,0)+'Giả định'!$B$8)</f>
        <v>58</v>
      </c>
      <c r="C574" s="25" t="n">
        <f aca="false">('Chi phí'!$C$76+'Chi phí'!$D$76*B574+'Chi phí'!$E$76*A574+'Giả định'!$B$15*('Chi phí'!$F$76+'Chi phí'!$G$76*B574+'Chi phí'!$H$76*A574))*(1+'Giả định'!$B$16)</f>
        <v>611682060</v>
      </c>
      <c r="D574" s="25" t="n">
        <f aca="false">('Chi phí'!$C$77+'Chi phí'!$D$77*B574+'Chi phí'!$E$77*A574+'Giả định'!$B$15*('Chi phí'!$F$77+'Chi phí'!$G$77*B574+'Chi phí'!$H$77*A574))*(1+'Giả định'!$B$16)</f>
        <v>755287060</v>
      </c>
      <c r="E574" s="25" t="n">
        <f aca="false">A574/'Giả định'!$B$19*'Giả định'!$B$20+A574*'Giả định'!$B$23+'Giả định'!$B$24</f>
        <v>211821008.403361</v>
      </c>
      <c r="F574" s="25" t="n">
        <f aca="false">E574-D574</f>
        <v>-543466051.596639</v>
      </c>
      <c r="G574" s="25" t="n">
        <f aca="false">E574-C574</f>
        <v>-399861051.596639</v>
      </c>
      <c r="H574" s="7" t="str">
        <f aca="false">IF(F574&gt;=0,A574,"")</f>
        <v/>
      </c>
      <c r="I574" s="7" t="n">
        <f aca="false">IF(F574&lt;0,A574,0)</f>
        <v>569</v>
      </c>
      <c r="J574" s="7" t="str">
        <f aca="false">IF(G574&gt;=0,A574,"")</f>
        <v/>
      </c>
      <c r="K574" s="7" t="n">
        <f aca="false">IF(G574&lt;0,A574,0)</f>
        <v>569</v>
      </c>
    </row>
    <row r="575" customFormat="false" ht="15" hidden="false" customHeight="false" outlineLevel="0" collapsed="false">
      <c r="A575" s="7" t="n">
        <f aca="false">A574+1</f>
        <v>570</v>
      </c>
      <c r="B575" s="7" t="n">
        <f aca="false">MAX('Giả định'!$B$9,ROUNDUP(A575/'Giả định'!$B$7,0)+'Giả định'!$B$8)</f>
        <v>58</v>
      </c>
      <c r="C575" s="25" t="n">
        <f aca="false">('Chi phí'!$C$76+'Chi phí'!$D$76*B575+'Chi phí'!$E$76*A575+'Giả định'!$B$15*('Chi phí'!$F$76+'Chi phí'!$G$76*B575+'Chi phí'!$H$76*A575))*(1+'Giả định'!$B$16)</f>
        <v>611718800</v>
      </c>
      <c r="D575" s="25" t="n">
        <f aca="false">('Chi phí'!$C$77+'Chi phí'!$D$77*B575+'Chi phí'!$E$77*A575+'Giả định'!$B$15*('Chi phí'!$F$77+'Chi phí'!$G$77*B575+'Chi phí'!$H$77*A575))*(1+'Giả định'!$B$16)</f>
        <v>755323800</v>
      </c>
      <c r="E575" s="25" t="n">
        <f aca="false">A575/'Giả định'!$B$19*'Giả định'!$B$20+A575*'Giả định'!$B$23+'Giả định'!$B$24</f>
        <v>212193277.310924</v>
      </c>
      <c r="F575" s="25" t="n">
        <f aca="false">E575-D575</f>
        <v>-543130522.689076</v>
      </c>
      <c r="G575" s="25" t="n">
        <f aca="false">E575-C575</f>
        <v>-399525522.689076</v>
      </c>
      <c r="H575" s="7" t="str">
        <f aca="false">IF(F575&gt;=0,A575,"")</f>
        <v/>
      </c>
      <c r="I575" s="7" t="n">
        <f aca="false">IF(F575&lt;0,A575,0)</f>
        <v>570</v>
      </c>
      <c r="J575" s="7" t="str">
        <f aca="false">IF(G575&gt;=0,A575,"")</f>
        <v/>
      </c>
      <c r="K575" s="7" t="n">
        <f aca="false">IF(G575&lt;0,A575,0)</f>
        <v>570</v>
      </c>
    </row>
    <row r="576" customFormat="false" ht="15" hidden="false" customHeight="false" outlineLevel="0" collapsed="false">
      <c r="A576" s="7" t="n">
        <f aca="false">A575+1</f>
        <v>571</v>
      </c>
      <c r="B576" s="7" t="n">
        <f aca="false">MAX('Giả định'!$B$9,ROUNDUP(A576/'Giả định'!$B$7,0)+'Giả định'!$B$8)</f>
        <v>59</v>
      </c>
      <c r="C576" s="25" t="n">
        <f aca="false">('Chi phí'!$C$76+'Chi phí'!$D$76*B576+'Chi phí'!$E$76*A576+'Giả định'!$B$15*('Chi phí'!$F$76+'Chi phí'!$G$76*B576+'Chi phí'!$H$76*A576))*(1+'Giả định'!$B$16)</f>
        <v>620929540</v>
      </c>
      <c r="D576" s="25" t="n">
        <f aca="false">('Chi phí'!$C$77+'Chi phí'!$D$77*B576+'Chi phí'!$E$77*A576+'Giả định'!$B$15*('Chi phí'!$F$77+'Chi phí'!$G$77*B576+'Chi phí'!$H$77*A576))*(1+'Giả định'!$B$16)</f>
        <v>764534540</v>
      </c>
      <c r="E576" s="25" t="n">
        <f aca="false">A576/'Giả định'!$B$19*'Giả định'!$B$20+A576*'Giả định'!$B$23+'Giả định'!$B$24</f>
        <v>212565546.218487</v>
      </c>
      <c r="F576" s="25" t="n">
        <f aca="false">E576-D576</f>
        <v>-551968993.781513</v>
      </c>
      <c r="G576" s="25" t="n">
        <f aca="false">E576-C576</f>
        <v>-408363993.781513</v>
      </c>
      <c r="H576" s="7" t="str">
        <f aca="false">IF(F576&gt;=0,A576,"")</f>
        <v/>
      </c>
      <c r="I576" s="7" t="n">
        <f aca="false">IF(F576&lt;0,A576,0)</f>
        <v>571</v>
      </c>
      <c r="J576" s="7" t="str">
        <f aca="false">IF(G576&gt;=0,A576,"")</f>
        <v/>
      </c>
      <c r="K576" s="7" t="n">
        <f aca="false">IF(G576&lt;0,A576,0)</f>
        <v>571</v>
      </c>
    </row>
    <row r="577" customFormat="false" ht="15" hidden="false" customHeight="false" outlineLevel="0" collapsed="false">
      <c r="A577" s="7" t="n">
        <f aca="false">A576+1</f>
        <v>572</v>
      </c>
      <c r="B577" s="7" t="n">
        <f aca="false">MAX('Giả định'!$B$9,ROUNDUP(A577/'Giả định'!$B$7,0)+'Giả định'!$B$8)</f>
        <v>59</v>
      </c>
      <c r="C577" s="25" t="n">
        <f aca="false">('Chi phí'!$C$76+'Chi phí'!$D$76*B577+'Chi phí'!$E$76*A577+'Giả định'!$B$15*('Chi phí'!$F$76+'Chi phí'!$G$76*B577+'Chi phí'!$H$76*A577))*(1+'Giả định'!$B$16)</f>
        <v>620966280</v>
      </c>
      <c r="D577" s="25" t="n">
        <f aca="false">('Chi phí'!$C$77+'Chi phí'!$D$77*B577+'Chi phí'!$E$77*A577+'Giả định'!$B$15*('Chi phí'!$F$77+'Chi phí'!$G$77*B577+'Chi phí'!$H$77*A577))*(1+'Giả định'!$B$16)</f>
        <v>764571280</v>
      </c>
      <c r="E577" s="25" t="n">
        <f aca="false">A577/'Giả định'!$B$19*'Giả định'!$B$20+A577*'Giả định'!$B$23+'Giả định'!$B$24</f>
        <v>212937815.12605</v>
      </c>
      <c r="F577" s="25" t="n">
        <f aca="false">E577-D577</f>
        <v>-551633464.87395</v>
      </c>
      <c r="G577" s="25" t="n">
        <f aca="false">E577-C577</f>
        <v>-408028464.87395</v>
      </c>
      <c r="H577" s="7" t="str">
        <f aca="false">IF(F577&gt;=0,A577,"")</f>
        <v/>
      </c>
      <c r="I577" s="7" t="n">
        <f aca="false">IF(F577&lt;0,A577,0)</f>
        <v>572</v>
      </c>
      <c r="J577" s="7" t="str">
        <f aca="false">IF(G577&gt;=0,A577,"")</f>
        <v/>
      </c>
      <c r="K577" s="7" t="n">
        <f aca="false">IF(G577&lt;0,A577,0)</f>
        <v>572</v>
      </c>
    </row>
    <row r="578" customFormat="false" ht="15" hidden="false" customHeight="false" outlineLevel="0" collapsed="false">
      <c r="A578" s="7" t="n">
        <f aca="false">A577+1</f>
        <v>573</v>
      </c>
      <c r="B578" s="7" t="n">
        <f aca="false">MAX('Giả định'!$B$9,ROUNDUP(A578/'Giả định'!$B$7,0)+'Giả định'!$B$8)</f>
        <v>59</v>
      </c>
      <c r="C578" s="25" t="n">
        <f aca="false">('Chi phí'!$C$76+'Chi phí'!$D$76*B578+'Chi phí'!$E$76*A578+'Giả định'!$B$15*('Chi phí'!$F$76+'Chi phí'!$G$76*B578+'Chi phí'!$H$76*A578))*(1+'Giả định'!$B$16)</f>
        <v>621003020</v>
      </c>
      <c r="D578" s="25" t="n">
        <f aca="false">('Chi phí'!$C$77+'Chi phí'!$D$77*B578+'Chi phí'!$E$77*A578+'Giả định'!$B$15*('Chi phí'!$F$77+'Chi phí'!$G$77*B578+'Chi phí'!$H$77*A578))*(1+'Giả định'!$B$16)</f>
        <v>764608020</v>
      </c>
      <c r="E578" s="25" t="n">
        <f aca="false">A578/'Giả định'!$B$19*'Giả định'!$B$20+A578*'Giả định'!$B$23+'Giả định'!$B$24</f>
        <v>213310084.033613</v>
      </c>
      <c r="F578" s="25" t="n">
        <f aca="false">E578-D578</f>
        <v>-551297935.966387</v>
      </c>
      <c r="G578" s="25" t="n">
        <f aca="false">E578-C578</f>
        <v>-407692935.966387</v>
      </c>
      <c r="H578" s="7" t="str">
        <f aca="false">IF(F578&gt;=0,A578,"")</f>
        <v/>
      </c>
      <c r="I578" s="7" t="n">
        <f aca="false">IF(F578&lt;0,A578,0)</f>
        <v>573</v>
      </c>
      <c r="J578" s="7" t="str">
        <f aca="false">IF(G578&gt;=0,A578,"")</f>
        <v/>
      </c>
      <c r="K578" s="7" t="n">
        <f aca="false">IF(G578&lt;0,A578,0)</f>
        <v>573</v>
      </c>
    </row>
    <row r="579" customFormat="false" ht="15" hidden="false" customHeight="false" outlineLevel="0" collapsed="false">
      <c r="A579" s="7" t="n">
        <f aca="false">A578+1</f>
        <v>574</v>
      </c>
      <c r="B579" s="7" t="n">
        <f aca="false">MAX('Giả định'!$B$9,ROUNDUP(A579/'Giả định'!$B$7,0)+'Giả định'!$B$8)</f>
        <v>59</v>
      </c>
      <c r="C579" s="25" t="n">
        <f aca="false">('Chi phí'!$C$76+'Chi phí'!$D$76*B579+'Chi phí'!$E$76*A579+'Giả định'!$B$15*('Chi phí'!$F$76+'Chi phí'!$G$76*B579+'Chi phí'!$H$76*A579))*(1+'Giả định'!$B$16)</f>
        <v>621039760</v>
      </c>
      <c r="D579" s="25" t="n">
        <f aca="false">('Chi phí'!$C$77+'Chi phí'!$D$77*B579+'Chi phí'!$E$77*A579+'Giả định'!$B$15*('Chi phí'!$F$77+'Chi phí'!$G$77*B579+'Chi phí'!$H$77*A579))*(1+'Giả định'!$B$16)</f>
        <v>764644760</v>
      </c>
      <c r="E579" s="25" t="n">
        <f aca="false">A579/'Giả định'!$B$19*'Giả định'!$B$20+A579*'Giả định'!$B$23+'Giả định'!$B$24</f>
        <v>213682352.941176</v>
      </c>
      <c r="F579" s="25" t="n">
        <f aca="false">E579-D579</f>
        <v>-550962407.058824</v>
      </c>
      <c r="G579" s="25" t="n">
        <f aca="false">E579-C579</f>
        <v>-407357407.058824</v>
      </c>
      <c r="H579" s="7" t="str">
        <f aca="false">IF(F579&gt;=0,A579,"")</f>
        <v/>
      </c>
      <c r="I579" s="7" t="n">
        <f aca="false">IF(F579&lt;0,A579,0)</f>
        <v>574</v>
      </c>
      <c r="J579" s="7" t="str">
        <f aca="false">IF(G579&gt;=0,A579,"")</f>
        <v/>
      </c>
      <c r="K579" s="7" t="n">
        <f aca="false">IF(G579&lt;0,A579,0)</f>
        <v>574</v>
      </c>
    </row>
    <row r="580" customFormat="false" ht="15" hidden="false" customHeight="false" outlineLevel="0" collapsed="false">
      <c r="A580" s="7" t="n">
        <f aca="false">A579+1</f>
        <v>575</v>
      </c>
      <c r="B580" s="7" t="n">
        <f aca="false">MAX('Giả định'!$B$9,ROUNDUP(A580/'Giả định'!$B$7,0)+'Giả định'!$B$8)</f>
        <v>59</v>
      </c>
      <c r="C580" s="25" t="n">
        <f aca="false">('Chi phí'!$C$76+'Chi phí'!$D$76*B580+'Chi phí'!$E$76*A580+'Giả định'!$B$15*('Chi phí'!$F$76+'Chi phí'!$G$76*B580+'Chi phí'!$H$76*A580))*(1+'Giả định'!$B$16)</f>
        <v>621076500</v>
      </c>
      <c r="D580" s="25" t="n">
        <f aca="false">('Chi phí'!$C$77+'Chi phí'!$D$77*B580+'Chi phí'!$E$77*A580+'Giả định'!$B$15*('Chi phí'!$F$77+'Chi phí'!$G$77*B580+'Chi phí'!$H$77*A580))*(1+'Giả định'!$B$16)</f>
        <v>764681500</v>
      </c>
      <c r="E580" s="25" t="n">
        <f aca="false">A580/'Giả định'!$B$19*'Giả định'!$B$20+A580*'Giả định'!$B$23+'Giả định'!$B$24</f>
        <v>214054621.84874</v>
      </c>
      <c r="F580" s="25" t="n">
        <f aca="false">E580-D580</f>
        <v>-550626878.151261</v>
      </c>
      <c r="G580" s="25" t="n">
        <f aca="false">E580-C580</f>
        <v>-407021878.151261</v>
      </c>
      <c r="H580" s="7" t="str">
        <f aca="false">IF(F580&gt;=0,A580,"")</f>
        <v/>
      </c>
      <c r="I580" s="7" t="n">
        <f aca="false">IF(F580&lt;0,A580,0)</f>
        <v>575</v>
      </c>
      <c r="J580" s="7" t="str">
        <f aca="false">IF(G580&gt;=0,A580,"")</f>
        <v/>
      </c>
      <c r="K580" s="7" t="n">
        <f aca="false">IF(G580&lt;0,A580,0)</f>
        <v>575</v>
      </c>
    </row>
    <row r="581" customFormat="false" ht="15" hidden="false" customHeight="false" outlineLevel="0" collapsed="false">
      <c r="A581" s="7" t="n">
        <f aca="false">A580+1</f>
        <v>576</v>
      </c>
      <c r="B581" s="7" t="n">
        <f aca="false">MAX('Giả định'!$B$9,ROUNDUP(A581/'Giả định'!$B$7,0)+'Giả định'!$B$8)</f>
        <v>59</v>
      </c>
      <c r="C581" s="25" t="n">
        <f aca="false">('Chi phí'!$C$76+'Chi phí'!$D$76*B581+'Chi phí'!$E$76*A581+'Giả định'!$B$15*('Chi phí'!$F$76+'Chi phí'!$G$76*B581+'Chi phí'!$H$76*A581))*(1+'Giả định'!$B$16)</f>
        <v>621113240</v>
      </c>
      <c r="D581" s="25" t="n">
        <f aca="false">('Chi phí'!$C$77+'Chi phí'!$D$77*B581+'Chi phí'!$E$77*A581+'Giả định'!$B$15*('Chi phí'!$F$77+'Chi phí'!$G$77*B581+'Chi phí'!$H$77*A581))*(1+'Giả định'!$B$16)</f>
        <v>764718240</v>
      </c>
      <c r="E581" s="25" t="n">
        <f aca="false">A581/'Giả định'!$B$19*'Giả định'!$B$20+A581*'Giả định'!$B$23+'Giả định'!$B$24</f>
        <v>214426890.756303</v>
      </c>
      <c r="F581" s="25" t="n">
        <f aca="false">E581-D581</f>
        <v>-550291349.243698</v>
      </c>
      <c r="G581" s="25" t="n">
        <f aca="false">E581-C581</f>
        <v>-406686349.243697</v>
      </c>
      <c r="H581" s="7" t="str">
        <f aca="false">IF(F581&gt;=0,A581,"")</f>
        <v/>
      </c>
      <c r="I581" s="7" t="n">
        <f aca="false">IF(F581&lt;0,A581,0)</f>
        <v>576</v>
      </c>
      <c r="J581" s="7" t="str">
        <f aca="false">IF(G581&gt;=0,A581,"")</f>
        <v/>
      </c>
      <c r="K581" s="7" t="n">
        <f aca="false">IF(G581&lt;0,A581,0)</f>
        <v>576</v>
      </c>
    </row>
    <row r="582" customFormat="false" ht="15" hidden="false" customHeight="false" outlineLevel="0" collapsed="false">
      <c r="A582" s="7" t="n">
        <f aca="false">A581+1</f>
        <v>577</v>
      </c>
      <c r="B582" s="7" t="n">
        <f aca="false">MAX('Giả định'!$B$9,ROUNDUP(A582/'Giả định'!$B$7,0)+'Giả định'!$B$8)</f>
        <v>59</v>
      </c>
      <c r="C582" s="25" t="n">
        <f aca="false">('Chi phí'!$C$76+'Chi phí'!$D$76*B582+'Chi phí'!$E$76*A582+'Giả định'!$B$15*('Chi phí'!$F$76+'Chi phí'!$G$76*B582+'Chi phí'!$H$76*A582))*(1+'Giả định'!$B$16)</f>
        <v>621149980</v>
      </c>
      <c r="D582" s="25" t="n">
        <f aca="false">('Chi phí'!$C$77+'Chi phí'!$D$77*B582+'Chi phí'!$E$77*A582+'Giả định'!$B$15*('Chi phí'!$F$77+'Chi phí'!$G$77*B582+'Chi phí'!$H$77*A582))*(1+'Giả định'!$B$16)</f>
        <v>764754980</v>
      </c>
      <c r="E582" s="25" t="n">
        <f aca="false">A582/'Giả định'!$B$19*'Giả định'!$B$20+A582*'Giả định'!$B$23+'Giả định'!$B$24</f>
        <v>214799159.663866</v>
      </c>
      <c r="F582" s="25" t="n">
        <f aca="false">E582-D582</f>
        <v>-549955820.336135</v>
      </c>
      <c r="G582" s="25" t="n">
        <f aca="false">E582-C582</f>
        <v>-406350820.336134</v>
      </c>
      <c r="H582" s="7" t="str">
        <f aca="false">IF(F582&gt;=0,A582,"")</f>
        <v/>
      </c>
      <c r="I582" s="7" t="n">
        <f aca="false">IF(F582&lt;0,A582,0)</f>
        <v>577</v>
      </c>
      <c r="J582" s="7" t="str">
        <f aca="false">IF(G582&gt;=0,A582,"")</f>
        <v/>
      </c>
      <c r="K582" s="7" t="n">
        <f aca="false">IF(G582&lt;0,A582,0)</f>
        <v>577</v>
      </c>
    </row>
    <row r="583" customFormat="false" ht="15" hidden="false" customHeight="false" outlineLevel="0" collapsed="false">
      <c r="A583" s="7" t="n">
        <f aca="false">A582+1</f>
        <v>578</v>
      </c>
      <c r="B583" s="7" t="n">
        <f aca="false">MAX('Giả định'!$B$9,ROUNDUP(A583/'Giả định'!$B$7,0)+'Giả định'!$B$8)</f>
        <v>59</v>
      </c>
      <c r="C583" s="25" t="n">
        <f aca="false">('Chi phí'!$C$76+'Chi phí'!$D$76*B583+'Chi phí'!$E$76*A583+'Giả định'!$B$15*('Chi phí'!$F$76+'Chi phí'!$G$76*B583+'Chi phí'!$H$76*A583))*(1+'Giả định'!$B$16)</f>
        <v>621186720</v>
      </c>
      <c r="D583" s="25" t="n">
        <f aca="false">('Chi phí'!$C$77+'Chi phí'!$D$77*B583+'Chi phí'!$E$77*A583+'Giả định'!$B$15*('Chi phí'!$F$77+'Chi phí'!$G$77*B583+'Chi phí'!$H$77*A583))*(1+'Giả định'!$B$16)</f>
        <v>764791720</v>
      </c>
      <c r="E583" s="25" t="n">
        <f aca="false">A583/'Giả định'!$B$19*'Giả định'!$B$20+A583*'Giả định'!$B$23+'Giả định'!$B$24</f>
        <v>215171428.571429</v>
      </c>
      <c r="F583" s="25" t="n">
        <f aca="false">E583-D583</f>
        <v>-549620291.428572</v>
      </c>
      <c r="G583" s="25" t="n">
        <f aca="false">E583-C583</f>
        <v>-406015291.428571</v>
      </c>
      <c r="H583" s="7" t="str">
        <f aca="false">IF(F583&gt;=0,A583,"")</f>
        <v/>
      </c>
      <c r="I583" s="7" t="n">
        <f aca="false">IF(F583&lt;0,A583,0)</f>
        <v>578</v>
      </c>
      <c r="J583" s="7" t="str">
        <f aca="false">IF(G583&gt;=0,A583,"")</f>
        <v/>
      </c>
      <c r="K583" s="7" t="n">
        <f aca="false">IF(G583&lt;0,A583,0)</f>
        <v>578</v>
      </c>
    </row>
    <row r="584" customFormat="false" ht="15" hidden="false" customHeight="false" outlineLevel="0" collapsed="false">
      <c r="A584" s="7" t="n">
        <f aca="false">A583+1</f>
        <v>579</v>
      </c>
      <c r="B584" s="7" t="n">
        <f aca="false">MAX('Giả định'!$B$9,ROUNDUP(A584/'Giả định'!$B$7,0)+'Giả định'!$B$8)</f>
        <v>59</v>
      </c>
      <c r="C584" s="25" t="n">
        <f aca="false">('Chi phí'!$C$76+'Chi phí'!$D$76*B584+'Chi phí'!$E$76*A584+'Giả định'!$B$15*('Chi phí'!$F$76+'Chi phí'!$G$76*B584+'Chi phí'!$H$76*A584))*(1+'Giả định'!$B$16)</f>
        <v>621223460</v>
      </c>
      <c r="D584" s="25" t="n">
        <f aca="false">('Chi phí'!$C$77+'Chi phí'!$D$77*B584+'Chi phí'!$E$77*A584+'Giả định'!$B$15*('Chi phí'!$F$77+'Chi phí'!$G$77*B584+'Chi phí'!$H$77*A584))*(1+'Giả định'!$B$16)</f>
        <v>764828460</v>
      </c>
      <c r="E584" s="25" t="n">
        <f aca="false">A584/'Giả định'!$B$19*'Giả định'!$B$20+A584*'Giả định'!$B$23+'Giả định'!$B$24</f>
        <v>215543697.478992</v>
      </c>
      <c r="F584" s="25" t="n">
        <f aca="false">E584-D584</f>
        <v>-549284762.521009</v>
      </c>
      <c r="G584" s="25" t="n">
        <f aca="false">E584-C584</f>
        <v>-405679762.521008</v>
      </c>
      <c r="H584" s="7" t="str">
        <f aca="false">IF(F584&gt;=0,A584,"")</f>
        <v/>
      </c>
      <c r="I584" s="7" t="n">
        <f aca="false">IF(F584&lt;0,A584,0)</f>
        <v>579</v>
      </c>
      <c r="J584" s="7" t="str">
        <f aca="false">IF(G584&gt;=0,A584,"")</f>
        <v/>
      </c>
      <c r="K584" s="7" t="n">
        <f aca="false">IF(G584&lt;0,A584,0)</f>
        <v>579</v>
      </c>
    </row>
    <row r="585" customFormat="false" ht="15" hidden="false" customHeight="false" outlineLevel="0" collapsed="false">
      <c r="A585" s="7" t="n">
        <f aca="false">A584+1</f>
        <v>580</v>
      </c>
      <c r="B585" s="7" t="n">
        <f aca="false">MAX('Giả định'!$B$9,ROUNDUP(A585/'Giả định'!$B$7,0)+'Giả định'!$B$8)</f>
        <v>59</v>
      </c>
      <c r="C585" s="25" t="n">
        <f aca="false">('Chi phí'!$C$76+'Chi phí'!$D$76*B585+'Chi phí'!$E$76*A585+'Giả định'!$B$15*('Chi phí'!$F$76+'Chi phí'!$G$76*B585+'Chi phí'!$H$76*A585))*(1+'Giả định'!$B$16)</f>
        <v>621260200</v>
      </c>
      <c r="D585" s="25" t="n">
        <f aca="false">('Chi phí'!$C$77+'Chi phí'!$D$77*B585+'Chi phí'!$E$77*A585+'Giả định'!$B$15*('Chi phí'!$F$77+'Chi phí'!$G$77*B585+'Chi phí'!$H$77*A585))*(1+'Giả định'!$B$16)</f>
        <v>764865200</v>
      </c>
      <c r="E585" s="25" t="n">
        <f aca="false">A585/'Giả định'!$B$19*'Giả định'!$B$20+A585*'Giả định'!$B$23+'Giả định'!$B$24</f>
        <v>215915966.386555</v>
      </c>
      <c r="F585" s="25" t="n">
        <f aca="false">E585-D585</f>
        <v>-548949233.613446</v>
      </c>
      <c r="G585" s="25" t="n">
        <f aca="false">E585-C585</f>
        <v>-405344233.613445</v>
      </c>
      <c r="H585" s="7" t="str">
        <f aca="false">IF(F585&gt;=0,A585,"")</f>
        <v/>
      </c>
      <c r="I585" s="7" t="n">
        <f aca="false">IF(F585&lt;0,A585,0)</f>
        <v>580</v>
      </c>
      <c r="J585" s="7" t="str">
        <f aca="false">IF(G585&gt;=0,A585,"")</f>
        <v/>
      </c>
      <c r="K585" s="7" t="n">
        <f aca="false">IF(G585&lt;0,A585,0)</f>
        <v>580</v>
      </c>
    </row>
    <row r="586" customFormat="false" ht="15" hidden="false" customHeight="false" outlineLevel="0" collapsed="false">
      <c r="A586" s="7" t="n">
        <f aca="false">A585+1</f>
        <v>581</v>
      </c>
      <c r="B586" s="7" t="n">
        <f aca="false">MAX('Giả định'!$B$9,ROUNDUP(A586/'Giả định'!$B$7,0)+'Giả định'!$B$8)</f>
        <v>60</v>
      </c>
      <c r="C586" s="25" t="n">
        <f aca="false">('Chi phí'!$C$76+'Chi phí'!$D$76*B586+'Chi phí'!$E$76*A586+'Giả định'!$B$15*('Chi phí'!$F$76+'Chi phí'!$G$76*B586+'Chi phí'!$H$76*A586))*(1+'Giả định'!$B$16)</f>
        <v>630470940</v>
      </c>
      <c r="D586" s="25" t="n">
        <f aca="false">('Chi phí'!$C$77+'Chi phí'!$D$77*B586+'Chi phí'!$E$77*A586+'Giả định'!$B$15*('Chi phí'!$F$77+'Chi phí'!$G$77*B586+'Chi phí'!$H$77*A586))*(1+'Giả định'!$B$16)</f>
        <v>774075940</v>
      </c>
      <c r="E586" s="25" t="n">
        <f aca="false">A586/'Giả định'!$B$19*'Giả định'!$B$20+A586*'Giả định'!$B$23+'Giả định'!$B$24</f>
        <v>216288235.294118</v>
      </c>
      <c r="F586" s="25" t="n">
        <f aca="false">E586-D586</f>
        <v>-557787704.705882</v>
      </c>
      <c r="G586" s="25" t="n">
        <f aca="false">E586-C586</f>
        <v>-414182704.705882</v>
      </c>
      <c r="H586" s="7" t="str">
        <f aca="false">IF(F586&gt;=0,A586,"")</f>
        <v/>
      </c>
      <c r="I586" s="7" t="n">
        <f aca="false">IF(F586&lt;0,A586,0)</f>
        <v>581</v>
      </c>
      <c r="J586" s="7" t="str">
        <f aca="false">IF(G586&gt;=0,A586,"")</f>
        <v/>
      </c>
      <c r="K586" s="7" t="n">
        <f aca="false">IF(G586&lt;0,A586,0)</f>
        <v>581</v>
      </c>
    </row>
    <row r="587" customFormat="false" ht="15" hidden="false" customHeight="false" outlineLevel="0" collapsed="false">
      <c r="A587" s="7" t="n">
        <f aca="false">A586+1</f>
        <v>582</v>
      </c>
      <c r="B587" s="7" t="n">
        <f aca="false">MAX('Giả định'!$B$9,ROUNDUP(A587/'Giả định'!$B$7,0)+'Giả định'!$B$8)</f>
        <v>60</v>
      </c>
      <c r="C587" s="25" t="n">
        <f aca="false">('Chi phí'!$C$76+'Chi phí'!$D$76*B587+'Chi phí'!$E$76*A587+'Giả định'!$B$15*('Chi phí'!$F$76+'Chi phí'!$G$76*B587+'Chi phí'!$H$76*A587))*(1+'Giả định'!$B$16)</f>
        <v>630507680</v>
      </c>
      <c r="D587" s="25" t="n">
        <f aca="false">('Chi phí'!$C$77+'Chi phí'!$D$77*B587+'Chi phí'!$E$77*A587+'Giả định'!$B$15*('Chi phí'!$F$77+'Chi phí'!$G$77*B587+'Chi phí'!$H$77*A587))*(1+'Giả định'!$B$16)</f>
        <v>774112680</v>
      </c>
      <c r="E587" s="25" t="n">
        <f aca="false">A587/'Giả định'!$B$19*'Giả định'!$B$20+A587*'Giả định'!$B$23+'Giả định'!$B$24</f>
        <v>216660504.201681</v>
      </c>
      <c r="F587" s="25" t="n">
        <f aca="false">E587-D587</f>
        <v>-557452175.79832</v>
      </c>
      <c r="G587" s="25" t="n">
        <f aca="false">E587-C587</f>
        <v>-413847175.798319</v>
      </c>
      <c r="H587" s="7" t="str">
        <f aca="false">IF(F587&gt;=0,A587,"")</f>
        <v/>
      </c>
      <c r="I587" s="7" t="n">
        <f aca="false">IF(F587&lt;0,A587,0)</f>
        <v>582</v>
      </c>
      <c r="J587" s="7" t="str">
        <f aca="false">IF(G587&gt;=0,A587,"")</f>
        <v/>
      </c>
      <c r="K587" s="7" t="n">
        <f aca="false">IF(G587&lt;0,A587,0)</f>
        <v>582</v>
      </c>
    </row>
    <row r="588" customFormat="false" ht="15" hidden="false" customHeight="false" outlineLevel="0" collapsed="false">
      <c r="A588" s="7" t="n">
        <f aca="false">A587+1</f>
        <v>583</v>
      </c>
      <c r="B588" s="7" t="n">
        <f aca="false">MAX('Giả định'!$B$9,ROUNDUP(A588/'Giả định'!$B$7,0)+'Giả định'!$B$8)</f>
        <v>60</v>
      </c>
      <c r="C588" s="25" t="n">
        <f aca="false">('Chi phí'!$C$76+'Chi phí'!$D$76*B588+'Chi phí'!$E$76*A588+'Giả định'!$B$15*('Chi phí'!$F$76+'Chi phí'!$G$76*B588+'Chi phí'!$H$76*A588))*(1+'Giả định'!$B$16)</f>
        <v>630544420</v>
      </c>
      <c r="D588" s="25" t="n">
        <f aca="false">('Chi phí'!$C$77+'Chi phí'!$D$77*B588+'Chi phí'!$E$77*A588+'Giả định'!$B$15*('Chi phí'!$F$77+'Chi phí'!$G$77*B588+'Chi phí'!$H$77*A588))*(1+'Giả định'!$B$16)</f>
        <v>774149420</v>
      </c>
      <c r="E588" s="25" t="n">
        <f aca="false">A588/'Giả định'!$B$19*'Giả định'!$B$20+A588*'Giả định'!$B$23+'Giả định'!$B$24</f>
        <v>217032773.109244</v>
      </c>
      <c r="F588" s="25" t="n">
        <f aca="false">E588-D588</f>
        <v>-557116646.890756</v>
      </c>
      <c r="G588" s="25" t="n">
        <f aca="false">E588-C588</f>
        <v>-413511646.890756</v>
      </c>
      <c r="H588" s="7" t="str">
        <f aca="false">IF(F588&gt;=0,A588,"")</f>
        <v/>
      </c>
      <c r="I588" s="7" t="n">
        <f aca="false">IF(F588&lt;0,A588,0)</f>
        <v>583</v>
      </c>
      <c r="J588" s="7" t="str">
        <f aca="false">IF(G588&gt;=0,A588,"")</f>
        <v/>
      </c>
      <c r="K588" s="7" t="n">
        <f aca="false">IF(G588&lt;0,A588,0)</f>
        <v>583</v>
      </c>
    </row>
    <row r="589" customFormat="false" ht="15" hidden="false" customHeight="false" outlineLevel="0" collapsed="false">
      <c r="A589" s="7" t="n">
        <f aca="false">A588+1</f>
        <v>584</v>
      </c>
      <c r="B589" s="7" t="n">
        <f aca="false">MAX('Giả định'!$B$9,ROUNDUP(A589/'Giả định'!$B$7,0)+'Giả định'!$B$8)</f>
        <v>60</v>
      </c>
      <c r="C589" s="25" t="n">
        <f aca="false">('Chi phí'!$C$76+'Chi phí'!$D$76*B589+'Chi phí'!$E$76*A589+'Giả định'!$B$15*('Chi phí'!$F$76+'Chi phí'!$G$76*B589+'Chi phí'!$H$76*A589))*(1+'Giả định'!$B$16)</f>
        <v>630581160</v>
      </c>
      <c r="D589" s="25" t="n">
        <f aca="false">('Chi phí'!$C$77+'Chi phí'!$D$77*B589+'Chi phí'!$E$77*A589+'Giả định'!$B$15*('Chi phí'!$F$77+'Chi phí'!$G$77*B589+'Chi phí'!$H$77*A589))*(1+'Giả định'!$B$16)</f>
        <v>774186160</v>
      </c>
      <c r="E589" s="25" t="n">
        <f aca="false">A589/'Giả định'!$B$19*'Giả định'!$B$20+A589*'Giả định'!$B$23+'Giả định'!$B$24</f>
        <v>217405042.016807</v>
      </c>
      <c r="F589" s="25" t="n">
        <f aca="false">E589-D589</f>
        <v>-556781117.983193</v>
      </c>
      <c r="G589" s="25" t="n">
        <f aca="false">E589-C589</f>
        <v>-413176117.983193</v>
      </c>
      <c r="H589" s="7" t="str">
        <f aca="false">IF(F589&gt;=0,A589,"")</f>
        <v/>
      </c>
      <c r="I589" s="7" t="n">
        <f aca="false">IF(F589&lt;0,A589,0)</f>
        <v>584</v>
      </c>
      <c r="J589" s="7" t="str">
        <f aca="false">IF(G589&gt;=0,A589,"")</f>
        <v/>
      </c>
      <c r="K589" s="7" t="n">
        <f aca="false">IF(G589&lt;0,A589,0)</f>
        <v>584</v>
      </c>
    </row>
    <row r="590" customFormat="false" ht="15" hidden="false" customHeight="false" outlineLevel="0" collapsed="false">
      <c r="A590" s="7" t="n">
        <f aca="false">A589+1</f>
        <v>585</v>
      </c>
      <c r="B590" s="7" t="n">
        <f aca="false">MAX('Giả định'!$B$9,ROUNDUP(A590/'Giả định'!$B$7,0)+'Giả định'!$B$8)</f>
        <v>60</v>
      </c>
      <c r="C590" s="25" t="n">
        <f aca="false">('Chi phí'!$C$76+'Chi phí'!$D$76*B590+'Chi phí'!$E$76*A590+'Giả định'!$B$15*('Chi phí'!$F$76+'Chi phí'!$G$76*B590+'Chi phí'!$H$76*A590))*(1+'Giả định'!$B$16)</f>
        <v>630617900</v>
      </c>
      <c r="D590" s="25" t="n">
        <f aca="false">('Chi phí'!$C$77+'Chi phí'!$D$77*B590+'Chi phí'!$E$77*A590+'Giả định'!$B$15*('Chi phí'!$F$77+'Chi phí'!$G$77*B590+'Chi phí'!$H$77*A590))*(1+'Giả định'!$B$16)</f>
        <v>774222900</v>
      </c>
      <c r="E590" s="25" t="n">
        <f aca="false">A590/'Giả định'!$B$19*'Giả định'!$B$20+A590*'Giả định'!$B$23+'Giả định'!$B$24</f>
        <v>217777310.92437</v>
      </c>
      <c r="F590" s="25" t="n">
        <f aca="false">E590-D590</f>
        <v>-556445589.07563</v>
      </c>
      <c r="G590" s="25" t="n">
        <f aca="false">E590-C590</f>
        <v>-412840589.07563</v>
      </c>
      <c r="H590" s="7" t="str">
        <f aca="false">IF(F590&gt;=0,A590,"")</f>
        <v/>
      </c>
      <c r="I590" s="7" t="n">
        <f aca="false">IF(F590&lt;0,A590,0)</f>
        <v>585</v>
      </c>
      <c r="J590" s="7" t="str">
        <f aca="false">IF(G590&gt;=0,A590,"")</f>
        <v/>
      </c>
      <c r="K590" s="7" t="n">
        <f aca="false">IF(G590&lt;0,A590,0)</f>
        <v>585</v>
      </c>
    </row>
    <row r="591" customFormat="false" ht="15" hidden="false" customHeight="false" outlineLevel="0" collapsed="false">
      <c r="A591" s="7" t="n">
        <f aca="false">A590+1</f>
        <v>586</v>
      </c>
      <c r="B591" s="7" t="n">
        <f aca="false">MAX('Giả định'!$B$9,ROUNDUP(A591/'Giả định'!$B$7,0)+'Giả định'!$B$8)</f>
        <v>60</v>
      </c>
      <c r="C591" s="25" t="n">
        <f aca="false">('Chi phí'!$C$76+'Chi phí'!$D$76*B591+'Chi phí'!$E$76*A591+'Giả định'!$B$15*('Chi phí'!$F$76+'Chi phí'!$G$76*B591+'Chi phí'!$H$76*A591))*(1+'Giả định'!$B$16)</f>
        <v>630654640</v>
      </c>
      <c r="D591" s="25" t="n">
        <f aca="false">('Chi phí'!$C$77+'Chi phí'!$D$77*B591+'Chi phí'!$E$77*A591+'Giả định'!$B$15*('Chi phí'!$F$77+'Chi phí'!$G$77*B591+'Chi phí'!$H$77*A591))*(1+'Giả định'!$B$16)</f>
        <v>774259640</v>
      </c>
      <c r="E591" s="25" t="n">
        <f aca="false">A591/'Giả định'!$B$19*'Giả định'!$B$20+A591*'Giả định'!$B$23+'Giả định'!$B$24</f>
        <v>218149579.831933</v>
      </c>
      <c r="F591" s="25" t="n">
        <f aca="false">E591-D591</f>
        <v>-556110060.168067</v>
      </c>
      <c r="G591" s="25" t="n">
        <f aca="false">E591-C591</f>
        <v>-412505060.168067</v>
      </c>
      <c r="H591" s="7" t="str">
        <f aca="false">IF(F591&gt;=0,A591,"")</f>
        <v/>
      </c>
      <c r="I591" s="7" t="n">
        <f aca="false">IF(F591&lt;0,A591,0)</f>
        <v>586</v>
      </c>
      <c r="J591" s="7" t="str">
        <f aca="false">IF(G591&gt;=0,A591,"")</f>
        <v/>
      </c>
      <c r="K591" s="7" t="n">
        <f aca="false">IF(G591&lt;0,A591,0)</f>
        <v>586</v>
      </c>
    </row>
    <row r="592" customFormat="false" ht="15" hidden="false" customHeight="false" outlineLevel="0" collapsed="false">
      <c r="A592" s="7" t="n">
        <f aca="false">A591+1</f>
        <v>587</v>
      </c>
      <c r="B592" s="7" t="n">
        <f aca="false">MAX('Giả định'!$B$9,ROUNDUP(A592/'Giả định'!$B$7,0)+'Giả định'!$B$8)</f>
        <v>60</v>
      </c>
      <c r="C592" s="25" t="n">
        <f aca="false">('Chi phí'!$C$76+'Chi phí'!$D$76*B592+'Chi phí'!$E$76*A592+'Giả định'!$B$15*('Chi phí'!$F$76+'Chi phí'!$G$76*B592+'Chi phí'!$H$76*A592))*(1+'Giả định'!$B$16)</f>
        <v>630691380</v>
      </c>
      <c r="D592" s="25" t="n">
        <f aca="false">('Chi phí'!$C$77+'Chi phí'!$D$77*B592+'Chi phí'!$E$77*A592+'Giả định'!$B$15*('Chi phí'!$F$77+'Chi phí'!$G$77*B592+'Chi phí'!$H$77*A592))*(1+'Giả định'!$B$16)</f>
        <v>774296380</v>
      </c>
      <c r="E592" s="25" t="n">
        <f aca="false">A592/'Giả định'!$B$19*'Giả định'!$B$20+A592*'Giả định'!$B$23+'Giả định'!$B$24</f>
        <v>218521848.739496</v>
      </c>
      <c r="F592" s="25" t="n">
        <f aca="false">E592-D592</f>
        <v>-555774531.260504</v>
      </c>
      <c r="G592" s="25" t="n">
        <f aca="false">E592-C592</f>
        <v>-412169531.260504</v>
      </c>
      <c r="H592" s="7" t="str">
        <f aca="false">IF(F592&gt;=0,A592,"")</f>
        <v/>
      </c>
      <c r="I592" s="7" t="n">
        <f aca="false">IF(F592&lt;0,A592,0)</f>
        <v>587</v>
      </c>
      <c r="J592" s="7" t="str">
        <f aca="false">IF(G592&gt;=0,A592,"")</f>
        <v/>
      </c>
      <c r="K592" s="7" t="n">
        <f aca="false">IF(G592&lt;0,A592,0)</f>
        <v>587</v>
      </c>
    </row>
    <row r="593" customFormat="false" ht="15" hidden="false" customHeight="false" outlineLevel="0" collapsed="false">
      <c r="A593" s="7" t="n">
        <f aca="false">A592+1</f>
        <v>588</v>
      </c>
      <c r="B593" s="7" t="n">
        <f aca="false">MAX('Giả định'!$B$9,ROUNDUP(A593/'Giả định'!$B$7,0)+'Giả định'!$B$8)</f>
        <v>60</v>
      </c>
      <c r="C593" s="25" t="n">
        <f aca="false">('Chi phí'!$C$76+'Chi phí'!$D$76*B593+'Chi phí'!$E$76*A593+'Giả định'!$B$15*('Chi phí'!$F$76+'Chi phí'!$G$76*B593+'Chi phí'!$H$76*A593))*(1+'Giả định'!$B$16)</f>
        <v>630728120</v>
      </c>
      <c r="D593" s="25" t="n">
        <f aca="false">('Chi phí'!$C$77+'Chi phí'!$D$77*B593+'Chi phí'!$E$77*A593+'Giả định'!$B$15*('Chi phí'!$F$77+'Chi phí'!$G$77*B593+'Chi phí'!$H$77*A593))*(1+'Giả định'!$B$16)</f>
        <v>774333120</v>
      </c>
      <c r="E593" s="25" t="n">
        <f aca="false">A593/'Giả định'!$B$19*'Giả định'!$B$20+A593*'Giả định'!$B$23+'Giả định'!$B$24</f>
        <v>218894117.647059</v>
      </c>
      <c r="F593" s="25" t="n">
        <f aca="false">E593-D593</f>
        <v>-555439002.352941</v>
      </c>
      <c r="G593" s="25" t="n">
        <f aca="false">E593-C593</f>
        <v>-411834002.352941</v>
      </c>
      <c r="H593" s="7" t="str">
        <f aca="false">IF(F593&gt;=0,A593,"")</f>
        <v/>
      </c>
      <c r="I593" s="7" t="n">
        <f aca="false">IF(F593&lt;0,A593,0)</f>
        <v>588</v>
      </c>
      <c r="J593" s="7" t="str">
        <f aca="false">IF(G593&gt;=0,A593,"")</f>
        <v/>
      </c>
      <c r="K593" s="7" t="n">
        <f aca="false">IF(G593&lt;0,A593,0)</f>
        <v>588</v>
      </c>
    </row>
    <row r="594" customFormat="false" ht="15" hidden="false" customHeight="false" outlineLevel="0" collapsed="false">
      <c r="A594" s="7" t="n">
        <f aca="false">A593+1</f>
        <v>589</v>
      </c>
      <c r="B594" s="7" t="n">
        <f aca="false">MAX('Giả định'!$B$9,ROUNDUP(A594/'Giả định'!$B$7,0)+'Giả định'!$B$8)</f>
        <v>60</v>
      </c>
      <c r="C594" s="25" t="n">
        <f aca="false">('Chi phí'!$C$76+'Chi phí'!$D$76*B594+'Chi phí'!$E$76*A594+'Giả định'!$B$15*('Chi phí'!$F$76+'Chi phí'!$G$76*B594+'Chi phí'!$H$76*A594))*(1+'Giả định'!$B$16)</f>
        <v>630764860</v>
      </c>
      <c r="D594" s="25" t="n">
        <f aca="false">('Chi phí'!$C$77+'Chi phí'!$D$77*B594+'Chi phí'!$E$77*A594+'Giả định'!$B$15*('Chi phí'!$F$77+'Chi phí'!$G$77*B594+'Chi phí'!$H$77*A594))*(1+'Giả định'!$B$16)</f>
        <v>774369860</v>
      </c>
      <c r="E594" s="25" t="n">
        <f aca="false">A594/'Giả định'!$B$19*'Giả định'!$B$20+A594*'Giả định'!$B$23+'Giả định'!$B$24</f>
        <v>219266386.554622</v>
      </c>
      <c r="F594" s="25" t="n">
        <f aca="false">E594-D594</f>
        <v>-555103473.445378</v>
      </c>
      <c r="G594" s="25" t="n">
        <f aca="false">E594-C594</f>
        <v>-411498473.445378</v>
      </c>
      <c r="H594" s="7" t="str">
        <f aca="false">IF(F594&gt;=0,A594,"")</f>
        <v/>
      </c>
      <c r="I594" s="7" t="n">
        <f aca="false">IF(F594&lt;0,A594,0)</f>
        <v>589</v>
      </c>
      <c r="J594" s="7" t="str">
        <f aca="false">IF(G594&gt;=0,A594,"")</f>
        <v/>
      </c>
      <c r="K594" s="7" t="n">
        <f aca="false">IF(G594&lt;0,A594,0)</f>
        <v>589</v>
      </c>
    </row>
    <row r="595" customFormat="false" ht="15" hidden="false" customHeight="false" outlineLevel="0" collapsed="false">
      <c r="A595" s="7" t="n">
        <f aca="false">A594+1</f>
        <v>590</v>
      </c>
      <c r="B595" s="7" t="n">
        <f aca="false">MAX('Giả định'!$B$9,ROUNDUP(A595/'Giả định'!$B$7,0)+'Giả định'!$B$8)</f>
        <v>60</v>
      </c>
      <c r="C595" s="25" t="n">
        <f aca="false">('Chi phí'!$C$76+'Chi phí'!$D$76*B595+'Chi phí'!$E$76*A595+'Giả định'!$B$15*('Chi phí'!$F$76+'Chi phí'!$G$76*B595+'Chi phí'!$H$76*A595))*(1+'Giả định'!$B$16)</f>
        <v>630801600</v>
      </c>
      <c r="D595" s="25" t="n">
        <f aca="false">('Chi phí'!$C$77+'Chi phí'!$D$77*B595+'Chi phí'!$E$77*A595+'Giả định'!$B$15*('Chi phí'!$F$77+'Chi phí'!$G$77*B595+'Chi phí'!$H$77*A595))*(1+'Giả định'!$B$16)</f>
        <v>774406600</v>
      </c>
      <c r="E595" s="25" t="n">
        <f aca="false">A595/'Giả định'!$B$19*'Giả định'!$B$20+A595*'Giả định'!$B$23+'Giả định'!$B$24</f>
        <v>219638655.462185</v>
      </c>
      <c r="F595" s="25" t="n">
        <f aca="false">E595-D595</f>
        <v>-554767944.537815</v>
      </c>
      <c r="G595" s="25" t="n">
        <f aca="false">E595-C595</f>
        <v>-411162944.537815</v>
      </c>
      <c r="H595" s="7" t="str">
        <f aca="false">IF(F595&gt;=0,A595,"")</f>
        <v/>
      </c>
      <c r="I595" s="7" t="n">
        <f aca="false">IF(F595&lt;0,A595,0)</f>
        <v>590</v>
      </c>
      <c r="J595" s="7" t="str">
        <f aca="false">IF(G595&gt;=0,A595,"")</f>
        <v/>
      </c>
      <c r="K595" s="7" t="n">
        <f aca="false">IF(G595&lt;0,A595,0)</f>
        <v>590</v>
      </c>
    </row>
    <row r="596" customFormat="false" ht="15" hidden="false" customHeight="false" outlineLevel="0" collapsed="false">
      <c r="A596" s="7" t="n">
        <f aca="false">A595+1</f>
        <v>591</v>
      </c>
      <c r="B596" s="7" t="n">
        <f aca="false">MAX('Giả định'!$B$9,ROUNDUP(A596/'Giả định'!$B$7,0)+'Giả định'!$B$8)</f>
        <v>61</v>
      </c>
      <c r="C596" s="25" t="n">
        <f aca="false">('Chi phí'!$C$76+'Chi phí'!$D$76*B596+'Chi phí'!$E$76*A596+'Giả định'!$B$15*('Chi phí'!$F$76+'Chi phí'!$G$76*B596+'Chi phí'!$H$76*A596))*(1+'Giả định'!$B$16)</f>
        <v>640012340</v>
      </c>
      <c r="D596" s="25" t="n">
        <f aca="false">('Chi phí'!$C$77+'Chi phí'!$D$77*B596+'Chi phí'!$E$77*A596+'Giả định'!$B$15*('Chi phí'!$F$77+'Chi phí'!$G$77*B596+'Chi phí'!$H$77*A596))*(1+'Giả định'!$B$16)</f>
        <v>783617340</v>
      </c>
      <c r="E596" s="25" t="n">
        <f aca="false">A596/'Giả định'!$B$19*'Giả định'!$B$20+A596*'Giả định'!$B$23+'Giả định'!$B$24</f>
        <v>220010924.369748</v>
      </c>
      <c r="F596" s="25" t="n">
        <f aca="false">E596-D596</f>
        <v>-563606415.630252</v>
      </c>
      <c r="G596" s="25" t="n">
        <f aca="false">E596-C596</f>
        <v>-420001415.630252</v>
      </c>
      <c r="H596" s="7" t="str">
        <f aca="false">IF(F596&gt;=0,A596,"")</f>
        <v/>
      </c>
      <c r="I596" s="7" t="n">
        <f aca="false">IF(F596&lt;0,A596,0)</f>
        <v>591</v>
      </c>
      <c r="J596" s="7" t="str">
        <f aca="false">IF(G596&gt;=0,A596,"")</f>
        <v/>
      </c>
      <c r="K596" s="7" t="n">
        <f aca="false">IF(G596&lt;0,A596,0)</f>
        <v>591</v>
      </c>
    </row>
    <row r="597" customFormat="false" ht="15" hidden="false" customHeight="false" outlineLevel="0" collapsed="false">
      <c r="A597" s="7" t="n">
        <f aca="false">A596+1</f>
        <v>592</v>
      </c>
      <c r="B597" s="7" t="n">
        <f aca="false">MAX('Giả định'!$B$9,ROUNDUP(A597/'Giả định'!$B$7,0)+'Giả định'!$B$8)</f>
        <v>61</v>
      </c>
      <c r="C597" s="25" t="n">
        <f aca="false">('Chi phí'!$C$76+'Chi phí'!$D$76*B597+'Chi phí'!$E$76*A597+'Giả định'!$B$15*('Chi phí'!$F$76+'Chi phí'!$G$76*B597+'Chi phí'!$H$76*A597))*(1+'Giả định'!$B$16)</f>
        <v>640049080</v>
      </c>
      <c r="D597" s="25" t="n">
        <f aca="false">('Chi phí'!$C$77+'Chi phí'!$D$77*B597+'Chi phí'!$E$77*A597+'Giả định'!$B$15*('Chi phí'!$F$77+'Chi phí'!$G$77*B597+'Chi phí'!$H$77*A597))*(1+'Giả định'!$B$16)</f>
        <v>783654080</v>
      </c>
      <c r="E597" s="25" t="n">
        <f aca="false">A597/'Giả định'!$B$19*'Giả định'!$B$20+A597*'Giả định'!$B$23+'Giả định'!$B$24</f>
        <v>220383193.277311</v>
      </c>
      <c r="F597" s="25" t="n">
        <f aca="false">E597-D597</f>
        <v>-563270886.722689</v>
      </c>
      <c r="G597" s="25" t="n">
        <f aca="false">E597-C597</f>
        <v>-419665886.722689</v>
      </c>
      <c r="H597" s="7" t="str">
        <f aca="false">IF(F597&gt;=0,A597,"")</f>
        <v/>
      </c>
      <c r="I597" s="7" t="n">
        <f aca="false">IF(F597&lt;0,A597,0)</f>
        <v>592</v>
      </c>
      <c r="J597" s="7" t="str">
        <f aca="false">IF(G597&gt;=0,A597,"")</f>
        <v/>
      </c>
      <c r="K597" s="7" t="n">
        <f aca="false">IF(G597&lt;0,A597,0)</f>
        <v>592</v>
      </c>
    </row>
    <row r="598" customFormat="false" ht="15" hidden="false" customHeight="false" outlineLevel="0" collapsed="false">
      <c r="A598" s="7" t="n">
        <f aca="false">A597+1</f>
        <v>593</v>
      </c>
      <c r="B598" s="7" t="n">
        <f aca="false">MAX('Giả định'!$B$9,ROUNDUP(A598/'Giả định'!$B$7,0)+'Giả định'!$B$8)</f>
        <v>61</v>
      </c>
      <c r="C598" s="25" t="n">
        <f aca="false">('Chi phí'!$C$76+'Chi phí'!$D$76*B598+'Chi phí'!$E$76*A598+'Giả định'!$B$15*('Chi phí'!$F$76+'Chi phí'!$G$76*B598+'Chi phí'!$H$76*A598))*(1+'Giả định'!$B$16)</f>
        <v>640085820</v>
      </c>
      <c r="D598" s="25" t="n">
        <f aca="false">('Chi phí'!$C$77+'Chi phí'!$D$77*B598+'Chi phí'!$E$77*A598+'Giả định'!$B$15*('Chi phí'!$F$77+'Chi phí'!$G$77*B598+'Chi phí'!$H$77*A598))*(1+'Giả định'!$B$16)</f>
        <v>783690820</v>
      </c>
      <c r="E598" s="25" t="n">
        <f aca="false">A598/'Giả định'!$B$19*'Giả định'!$B$20+A598*'Giả định'!$B$23+'Giả định'!$B$24</f>
        <v>220755462.184874</v>
      </c>
      <c r="F598" s="25" t="n">
        <f aca="false">E598-D598</f>
        <v>-562935357.815126</v>
      </c>
      <c r="G598" s="25" t="n">
        <f aca="false">E598-C598</f>
        <v>-419330357.815126</v>
      </c>
      <c r="H598" s="7" t="str">
        <f aca="false">IF(F598&gt;=0,A598,"")</f>
        <v/>
      </c>
      <c r="I598" s="7" t="n">
        <f aca="false">IF(F598&lt;0,A598,0)</f>
        <v>593</v>
      </c>
      <c r="J598" s="7" t="str">
        <f aca="false">IF(G598&gt;=0,A598,"")</f>
        <v/>
      </c>
      <c r="K598" s="7" t="n">
        <f aca="false">IF(G598&lt;0,A598,0)</f>
        <v>593</v>
      </c>
    </row>
    <row r="599" customFormat="false" ht="15" hidden="false" customHeight="false" outlineLevel="0" collapsed="false">
      <c r="A599" s="7" t="n">
        <f aca="false">A598+1</f>
        <v>594</v>
      </c>
      <c r="B599" s="7" t="n">
        <f aca="false">MAX('Giả định'!$B$9,ROUNDUP(A599/'Giả định'!$B$7,0)+'Giả định'!$B$8)</f>
        <v>61</v>
      </c>
      <c r="C599" s="25" t="n">
        <f aca="false">('Chi phí'!$C$76+'Chi phí'!$D$76*B599+'Chi phí'!$E$76*A599+'Giả định'!$B$15*('Chi phí'!$F$76+'Chi phí'!$G$76*B599+'Chi phí'!$H$76*A599))*(1+'Giả định'!$B$16)</f>
        <v>640122560</v>
      </c>
      <c r="D599" s="25" t="n">
        <f aca="false">('Chi phí'!$C$77+'Chi phí'!$D$77*B599+'Chi phí'!$E$77*A599+'Giả định'!$B$15*('Chi phí'!$F$77+'Chi phí'!$G$77*B599+'Chi phí'!$H$77*A599))*(1+'Giả định'!$B$16)</f>
        <v>783727560</v>
      </c>
      <c r="E599" s="25" t="n">
        <f aca="false">A599/'Giả định'!$B$19*'Giả định'!$B$20+A599*'Giả định'!$B$23+'Giả định'!$B$24</f>
        <v>221127731.092437</v>
      </c>
      <c r="F599" s="25" t="n">
        <f aca="false">E599-D599</f>
        <v>-562599828.907563</v>
      </c>
      <c r="G599" s="25" t="n">
        <f aca="false">E599-C599</f>
        <v>-418994828.907563</v>
      </c>
      <c r="H599" s="7" t="str">
        <f aca="false">IF(F599&gt;=0,A599,"")</f>
        <v/>
      </c>
      <c r="I599" s="7" t="n">
        <f aca="false">IF(F599&lt;0,A599,0)</f>
        <v>594</v>
      </c>
      <c r="J599" s="7" t="str">
        <f aca="false">IF(G599&gt;=0,A599,"")</f>
        <v/>
      </c>
      <c r="K599" s="7" t="n">
        <f aca="false">IF(G599&lt;0,A599,0)</f>
        <v>594</v>
      </c>
    </row>
    <row r="600" customFormat="false" ht="15" hidden="false" customHeight="false" outlineLevel="0" collapsed="false">
      <c r="A600" s="7" t="n">
        <f aca="false">A599+1</f>
        <v>595</v>
      </c>
      <c r="B600" s="7" t="n">
        <f aca="false">MAX('Giả định'!$B$9,ROUNDUP(A600/'Giả định'!$B$7,0)+'Giả định'!$B$8)</f>
        <v>61</v>
      </c>
      <c r="C600" s="25" t="n">
        <f aca="false">('Chi phí'!$C$76+'Chi phí'!$D$76*B600+'Chi phí'!$E$76*A600+'Giả định'!$B$15*('Chi phí'!$F$76+'Chi phí'!$G$76*B600+'Chi phí'!$H$76*A600))*(1+'Giả định'!$B$16)</f>
        <v>640159300</v>
      </c>
      <c r="D600" s="25" t="n">
        <f aca="false">('Chi phí'!$C$77+'Chi phí'!$D$77*B600+'Chi phí'!$E$77*A600+'Giả định'!$B$15*('Chi phí'!$F$77+'Chi phí'!$G$77*B600+'Chi phí'!$H$77*A600))*(1+'Giả định'!$B$16)</f>
        <v>783764300</v>
      </c>
      <c r="E600" s="25" t="n">
        <f aca="false">A600/'Giả định'!$B$19*'Giả định'!$B$20+A600*'Giả định'!$B$23+'Giả định'!$B$24</f>
        <v>221500000</v>
      </c>
      <c r="F600" s="25" t="n">
        <f aca="false">E600-D600</f>
        <v>-562264300</v>
      </c>
      <c r="G600" s="25" t="n">
        <f aca="false">E600-C600</f>
        <v>-418659300</v>
      </c>
      <c r="H600" s="7" t="str">
        <f aca="false">IF(F600&gt;=0,A600,"")</f>
        <v/>
      </c>
      <c r="I600" s="7" t="n">
        <f aca="false">IF(F600&lt;0,A600,0)</f>
        <v>595</v>
      </c>
      <c r="J600" s="7" t="str">
        <f aca="false">IF(G600&gt;=0,A600,"")</f>
        <v/>
      </c>
      <c r="K600" s="7" t="n">
        <f aca="false">IF(G600&lt;0,A600,0)</f>
        <v>595</v>
      </c>
    </row>
    <row r="601" customFormat="false" ht="15" hidden="false" customHeight="false" outlineLevel="0" collapsed="false">
      <c r="A601" s="7" t="n">
        <f aca="false">A600+1</f>
        <v>596</v>
      </c>
      <c r="B601" s="7" t="n">
        <f aca="false">MAX('Giả định'!$B$9,ROUNDUP(A601/'Giả định'!$B$7,0)+'Giả định'!$B$8)</f>
        <v>61</v>
      </c>
      <c r="C601" s="25" t="n">
        <f aca="false">('Chi phí'!$C$76+'Chi phí'!$D$76*B601+'Chi phí'!$E$76*A601+'Giả định'!$B$15*('Chi phí'!$F$76+'Chi phí'!$G$76*B601+'Chi phí'!$H$76*A601))*(1+'Giả định'!$B$16)</f>
        <v>640196040</v>
      </c>
      <c r="D601" s="25" t="n">
        <f aca="false">('Chi phí'!$C$77+'Chi phí'!$D$77*B601+'Chi phí'!$E$77*A601+'Giả định'!$B$15*('Chi phí'!$F$77+'Chi phí'!$G$77*B601+'Chi phí'!$H$77*A601))*(1+'Giả định'!$B$16)</f>
        <v>783801040</v>
      </c>
      <c r="E601" s="25" t="n">
        <f aca="false">A601/'Giả định'!$B$19*'Giả định'!$B$20+A601*'Giả định'!$B$23+'Giả định'!$B$24</f>
        <v>221872268.907563</v>
      </c>
      <c r="F601" s="25" t="n">
        <f aca="false">E601-D601</f>
        <v>-561928771.092437</v>
      </c>
      <c r="G601" s="25" t="n">
        <f aca="false">E601-C601</f>
        <v>-418323771.092437</v>
      </c>
      <c r="H601" s="7" t="str">
        <f aca="false">IF(F601&gt;=0,A601,"")</f>
        <v/>
      </c>
      <c r="I601" s="7" t="n">
        <f aca="false">IF(F601&lt;0,A601,0)</f>
        <v>596</v>
      </c>
      <c r="J601" s="7" t="str">
        <f aca="false">IF(G601&gt;=0,A601,"")</f>
        <v/>
      </c>
      <c r="K601" s="7" t="n">
        <f aca="false">IF(G601&lt;0,A601,0)</f>
        <v>596</v>
      </c>
    </row>
    <row r="602" customFormat="false" ht="15" hidden="false" customHeight="false" outlineLevel="0" collapsed="false">
      <c r="A602" s="7" t="n">
        <f aca="false">A601+1</f>
        <v>597</v>
      </c>
      <c r="B602" s="7" t="n">
        <f aca="false">MAX('Giả định'!$B$9,ROUNDUP(A602/'Giả định'!$B$7,0)+'Giả định'!$B$8)</f>
        <v>61</v>
      </c>
      <c r="C602" s="25" t="n">
        <f aca="false">('Chi phí'!$C$76+'Chi phí'!$D$76*B602+'Chi phí'!$E$76*A602+'Giả định'!$B$15*('Chi phí'!$F$76+'Chi phí'!$G$76*B602+'Chi phí'!$H$76*A602))*(1+'Giả định'!$B$16)</f>
        <v>640232780</v>
      </c>
      <c r="D602" s="25" t="n">
        <f aca="false">('Chi phí'!$C$77+'Chi phí'!$D$77*B602+'Chi phí'!$E$77*A602+'Giả định'!$B$15*('Chi phí'!$F$77+'Chi phí'!$G$77*B602+'Chi phí'!$H$77*A602))*(1+'Giả định'!$B$16)</f>
        <v>783837780</v>
      </c>
      <c r="E602" s="25" t="n">
        <f aca="false">A602/'Giả định'!$B$19*'Giả định'!$B$20+A602*'Giả định'!$B$23+'Giả định'!$B$24</f>
        <v>222244537.815126</v>
      </c>
      <c r="F602" s="25" t="n">
        <f aca="false">E602-D602</f>
        <v>-561593242.184874</v>
      </c>
      <c r="G602" s="25" t="n">
        <f aca="false">E602-C602</f>
        <v>-417988242.184874</v>
      </c>
      <c r="H602" s="7" t="str">
        <f aca="false">IF(F602&gt;=0,A602,"")</f>
        <v/>
      </c>
      <c r="I602" s="7" t="n">
        <f aca="false">IF(F602&lt;0,A602,0)</f>
        <v>597</v>
      </c>
      <c r="J602" s="7" t="str">
        <f aca="false">IF(G602&gt;=0,A602,"")</f>
        <v/>
      </c>
      <c r="K602" s="7" t="n">
        <f aca="false">IF(G602&lt;0,A602,0)</f>
        <v>597</v>
      </c>
    </row>
    <row r="603" customFormat="false" ht="15" hidden="false" customHeight="false" outlineLevel="0" collapsed="false">
      <c r="A603" s="7" t="n">
        <f aca="false">A602+1</f>
        <v>598</v>
      </c>
      <c r="B603" s="7" t="n">
        <f aca="false">MAX('Giả định'!$B$9,ROUNDUP(A603/'Giả định'!$B$7,0)+'Giả định'!$B$8)</f>
        <v>61</v>
      </c>
      <c r="C603" s="25" t="n">
        <f aca="false">('Chi phí'!$C$76+'Chi phí'!$D$76*B603+'Chi phí'!$E$76*A603+'Giả định'!$B$15*('Chi phí'!$F$76+'Chi phí'!$G$76*B603+'Chi phí'!$H$76*A603))*(1+'Giả định'!$B$16)</f>
        <v>640269520</v>
      </c>
      <c r="D603" s="25" t="n">
        <f aca="false">('Chi phí'!$C$77+'Chi phí'!$D$77*B603+'Chi phí'!$E$77*A603+'Giả định'!$B$15*('Chi phí'!$F$77+'Chi phí'!$G$77*B603+'Chi phí'!$H$77*A603))*(1+'Giả định'!$B$16)</f>
        <v>783874520</v>
      </c>
      <c r="E603" s="25" t="n">
        <f aca="false">A603/'Giả định'!$B$19*'Giả định'!$B$20+A603*'Giả định'!$B$23+'Giả định'!$B$24</f>
        <v>222616806.722689</v>
      </c>
      <c r="F603" s="25" t="n">
        <f aca="false">E603-D603</f>
        <v>-561257713.277311</v>
      </c>
      <c r="G603" s="25" t="n">
        <f aca="false">E603-C603</f>
        <v>-417652713.277311</v>
      </c>
      <c r="H603" s="7" t="str">
        <f aca="false">IF(F603&gt;=0,A603,"")</f>
        <v/>
      </c>
      <c r="I603" s="7" t="n">
        <f aca="false">IF(F603&lt;0,A603,0)</f>
        <v>598</v>
      </c>
      <c r="J603" s="7" t="str">
        <f aca="false">IF(G603&gt;=0,A603,"")</f>
        <v/>
      </c>
      <c r="K603" s="7" t="n">
        <f aca="false">IF(G603&lt;0,A603,0)</f>
        <v>598</v>
      </c>
    </row>
    <row r="604" customFormat="false" ht="15" hidden="false" customHeight="false" outlineLevel="0" collapsed="false">
      <c r="A604" s="7" t="n">
        <f aca="false">A603+1</f>
        <v>599</v>
      </c>
      <c r="B604" s="7" t="n">
        <f aca="false">MAX('Giả định'!$B$9,ROUNDUP(A604/'Giả định'!$B$7,0)+'Giả định'!$B$8)</f>
        <v>61</v>
      </c>
      <c r="C604" s="25" t="n">
        <f aca="false">('Chi phí'!$C$76+'Chi phí'!$D$76*B604+'Chi phí'!$E$76*A604+'Giả định'!$B$15*('Chi phí'!$F$76+'Chi phí'!$G$76*B604+'Chi phí'!$H$76*A604))*(1+'Giả định'!$B$16)</f>
        <v>640306260</v>
      </c>
      <c r="D604" s="25" t="n">
        <f aca="false">('Chi phí'!$C$77+'Chi phí'!$D$77*B604+'Chi phí'!$E$77*A604+'Giả định'!$B$15*('Chi phí'!$F$77+'Chi phí'!$G$77*B604+'Chi phí'!$H$77*A604))*(1+'Giả định'!$B$16)</f>
        <v>783911260</v>
      </c>
      <c r="E604" s="25" t="n">
        <f aca="false">A604/'Giả định'!$B$19*'Giả định'!$B$20+A604*'Giả định'!$B$23+'Giả định'!$B$24</f>
        <v>222989075.630252</v>
      </c>
      <c r="F604" s="25" t="n">
        <f aca="false">E604-D604</f>
        <v>-560922184.369748</v>
      </c>
      <c r="G604" s="25" t="n">
        <f aca="false">E604-C604</f>
        <v>-417317184.369748</v>
      </c>
      <c r="H604" s="7" t="str">
        <f aca="false">IF(F604&gt;=0,A604,"")</f>
        <v/>
      </c>
      <c r="I604" s="7" t="n">
        <f aca="false">IF(F604&lt;0,A604,0)</f>
        <v>599</v>
      </c>
      <c r="J604" s="7" t="str">
        <f aca="false">IF(G604&gt;=0,A604,"")</f>
        <v/>
      </c>
      <c r="K604" s="7" t="n">
        <f aca="false">IF(G604&lt;0,A604,0)</f>
        <v>599</v>
      </c>
    </row>
    <row r="605" customFormat="false" ht="15" hidden="false" customHeight="false" outlineLevel="0" collapsed="false">
      <c r="A605" s="7" t="n">
        <f aca="false">A604+1</f>
        <v>600</v>
      </c>
      <c r="B605" s="7" t="n">
        <f aca="false">MAX('Giả định'!$B$9,ROUNDUP(A605/'Giả định'!$B$7,0)+'Giả định'!$B$8)</f>
        <v>61</v>
      </c>
      <c r="C605" s="25" t="n">
        <f aca="false">('Chi phí'!$C$76+'Chi phí'!$D$76*B605+'Chi phí'!$E$76*A605+'Giả định'!$B$15*('Chi phí'!$F$76+'Chi phí'!$G$76*B605+'Chi phí'!$H$76*A605))*(1+'Giả định'!$B$16)</f>
        <v>640343000</v>
      </c>
      <c r="D605" s="25" t="n">
        <f aca="false">('Chi phí'!$C$77+'Chi phí'!$D$77*B605+'Chi phí'!$E$77*A605+'Giả định'!$B$15*('Chi phí'!$F$77+'Chi phí'!$G$77*B605+'Chi phí'!$H$77*A605))*(1+'Giả định'!$B$16)</f>
        <v>783948000</v>
      </c>
      <c r="E605" s="25" t="n">
        <f aca="false">A605/'Giả định'!$B$19*'Giả định'!$B$20+A605*'Giả định'!$B$23+'Giả định'!$B$24</f>
        <v>223361344.537815</v>
      </c>
      <c r="F605" s="25" t="n">
        <f aca="false">E605-D605</f>
        <v>-560586655.462185</v>
      </c>
      <c r="G605" s="25" t="n">
        <f aca="false">E605-C605</f>
        <v>-416981655.462185</v>
      </c>
      <c r="H605" s="7" t="str">
        <f aca="false">IF(F605&gt;=0,A605,"")</f>
        <v/>
      </c>
      <c r="I605" s="7" t="n">
        <f aca="false">IF(F605&lt;0,A605,0)</f>
        <v>600</v>
      </c>
      <c r="J605" s="7" t="str">
        <f aca="false">IF(G605&gt;=0,A605,"")</f>
        <v/>
      </c>
      <c r="K605" s="7" t="n">
        <f aca="false">IF(G605&lt;0,A605,0)</f>
        <v>600</v>
      </c>
    </row>
    <row r="606" customFormat="false" ht="15" hidden="false" customHeight="false" outlineLevel="0" collapsed="false">
      <c r="A606" s="7" t="n">
        <f aca="false">A605+1</f>
        <v>601</v>
      </c>
      <c r="B606" s="7" t="n">
        <f aca="false">MAX('Giả định'!$B$9,ROUNDUP(A606/'Giả định'!$B$7,0)+'Giả định'!$B$8)</f>
        <v>62</v>
      </c>
      <c r="C606" s="25" t="n">
        <f aca="false">('Chi phí'!$C$76+'Chi phí'!$D$76*B606+'Chi phí'!$E$76*A606+'Giả định'!$B$15*('Chi phí'!$F$76+'Chi phí'!$G$76*B606+'Chi phí'!$H$76*A606))*(1+'Giả định'!$B$16)</f>
        <v>649553740</v>
      </c>
      <c r="D606" s="25" t="n">
        <f aca="false">('Chi phí'!$C$77+'Chi phí'!$D$77*B606+'Chi phí'!$E$77*A606+'Giả định'!$B$15*('Chi phí'!$F$77+'Chi phí'!$G$77*B606+'Chi phí'!$H$77*A606))*(1+'Giả định'!$B$16)</f>
        <v>793158740</v>
      </c>
      <c r="E606" s="25" t="n">
        <f aca="false">A606/'Giả định'!$B$19*'Giả định'!$B$20+A606*'Giả định'!$B$23+'Giả định'!$B$24</f>
        <v>223733613.445378</v>
      </c>
      <c r="F606" s="25" t="n">
        <f aca="false">E606-D606</f>
        <v>-569425126.554622</v>
      </c>
      <c r="G606" s="25" t="n">
        <f aca="false">E606-C606</f>
        <v>-425820126.554622</v>
      </c>
      <c r="H606" s="7" t="str">
        <f aca="false">IF(F606&gt;=0,A606,"")</f>
        <v/>
      </c>
      <c r="I606" s="7" t="n">
        <f aca="false">IF(F606&lt;0,A606,0)</f>
        <v>601</v>
      </c>
      <c r="J606" s="7" t="str">
        <f aca="false">IF(G606&gt;=0,A606,"")</f>
        <v/>
      </c>
      <c r="K606" s="7" t="n">
        <f aca="false">IF(G606&lt;0,A606,0)</f>
        <v>601</v>
      </c>
    </row>
    <row r="607" customFormat="false" ht="15" hidden="false" customHeight="false" outlineLevel="0" collapsed="false">
      <c r="A607" s="7" t="n">
        <f aca="false">A606+1</f>
        <v>602</v>
      </c>
      <c r="B607" s="7" t="n">
        <f aca="false">MAX('Giả định'!$B$9,ROUNDUP(A607/'Giả định'!$B$7,0)+'Giả định'!$B$8)</f>
        <v>62</v>
      </c>
      <c r="C607" s="25" t="n">
        <f aca="false">('Chi phí'!$C$76+'Chi phí'!$D$76*B607+'Chi phí'!$E$76*A607+'Giả định'!$B$15*('Chi phí'!$F$76+'Chi phí'!$G$76*B607+'Chi phí'!$H$76*A607))*(1+'Giả định'!$B$16)</f>
        <v>649590480</v>
      </c>
      <c r="D607" s="25" t="n">
        <f aca="false">('Chi phí'!$C$77+'Chi phí'!$D$77*B607+'Chi phí'!$E$77*A607+'Giả định'!$B$15*('Chi phí'!$F$77+'Chi phí'!$G$77*B607+'Chi phí'!$H$77*A607))*(1+'Giả định'!$B$16)</f>
        <v>793195480</v>
      </c>
      <c r="E607" s="25" t="n">
        <f aca="false">A607/'Giả định'!$B$19*'Giả định'!$B$20+A607*'Giả định'!$B$23+'Giả định'!$B$24</f>
        <v>224105882.352941</v>
      </c>
      <c r="F607" s="25" t="n">
        <f aca="false">E607-D607</f>
        <v>-569089597.647059</v>
      </c>
      <c r="G607" s="25" t="n">
        <f aca="false">E607-C607</f>
        <v>-425484597.647059</v>
      </c>
      <c r="H607" s="7" t="str">
        <f aca="false">IF(F607&gt;=0,A607,"")</f>
        <v/>
      </c>
      <c r="I607" s="7" t="n">
        <f aca="false">IF(F607&lt;0,A607,0)</f>
        <v>602</v>
      </c>
      <c r="J607" s="7" t="str">
        <f aca="false">IF(G607&gt;=0,A607,"")</f>
        <v/>
      </c>
      <c r="K607" s="7" t="n">
        <f aca="false">IF(G607&lt;0,A607,0)</f>
        <v>602</v>
      </c>
    </row>
    <row r="608" customFormat="false" ht="15" hidden="false" customHeight="false" outlineLevel="0" collapsed="false">
      <c r="A608" s="7" t="n">
        <f aca="false">A607+1</f>
        <v>603</v>
      </c>
      <c r="B608" s="7" t="n">
        <f aca="false">MAX('Giả định'!$B$9,ROUNDUP(A608/'Giả định'!$B$7,0)+'Giả định'!$B$8)</f>
        <v>62</v>
      </c>
      <c r="C608" s="25" t="n">
        <f aca="false">('Chi phí'!$C$76+'Chi phí'!$D$76*B608+'Chi phí'!$E$76*A608+'Giả định'!$B$15*('Chi phí'!$F$76+'Chi phí'!$G$76*B608+'Chi phí'!$H$76*A608))*(1+'Giả định'!$B$16)</f>
        <v>649627220</v>
      </c>
      <c r="D608" s="25" t="n">
        <f aca="false">('Chi phí'!$C$77+'Chi phí'!$D$77*B608+'Chi phí'!$E$77*A608+'Giả định'!$B$15*('Chi phí'!$F$77+'Chi phí'!$G$77*B608+'Chi phí'!$H$77*A608))*(1+'Giả định'!$B$16)</f>
        <v>793232220</v>
      </c>
      <c r="E608" s="25" t="n">
        <f aca="false">A608/'Giả định'!$B$19*'Giả định'!$B$20+A608*'Giả định'!$B$23+'Giả định'!$B$24</f>
        <v>224478151.260504</v>
      </c>
      <c r="F608" s="25" t="n">
        <f aca="false">E608-D608</f>
        <v>-568754068.739496</v>
      </c>
      <c r="G608" s="25" t="n">
        <f aca="false">E608-C608</f>
        <v>-425149068.739496</v>
      </c>
      <c r="H608" s="7" t="str">
        <f aca="false">IF(F608&gt;=0,A608,"")</f>
        <v/>
      </c>
      <c r="I608" s="7" t="n">
        <f aca="false">IF(F608&lt;0,A608,0)</f>
        <v>603</v>
      </c>
      <c r="J608" s="7" t="str">
        <f aca="false">IF(G608&gt;=0,A608,"")</f>
        <v/>
      </c>
      <c r="K608" s="7" t="n">
        <f aca="false">IF(G608&lt;0,A608,0)</f>
        <v>603</v>
      </c>
    </row>
    <row r="609" customFormat="false" ht="15" hidden="false" customHeight="false" outlineLevel="0" collapsed="false">
      <c r="A609" s="7" t="n">
        <f aca="false">A608+1</f>
        <v>604</v>
      </c>
      <c r="B609" s="7" t="n">
        <f aca="false">MAX('Giả định'!$B$9,ROUNDUP(A609/'Giả định'!$B$7,0)+'Giả định'!$B$8)</f>
        <v>62</v>
      </c>
      <c r="C609" s="25" t="n">
        <f aca="false">('Chi phí'!$C$76+'Chi phí'!$D$76*B609+'Chi phí'!$E$76*A609+'Giả định'!$B$15*('Chi phí'!$F$76+'Chi phí'!$G$76*B609+'Chi phí'!$H$76*A609))*(1+'Giả định'!$B$16)</f>
        <v>649663960</v>
      </c>
      <c r="D609" s="25" t="n">
        <f aca="false">('Chi phí'!$C$77+'Chi phí'!$D$77*B609+'Chi phí'!$E$77*A609+'Giả định'!$B$15*('Chi phí'!$F$77+'Chi phí'!$G$77*B609+'Chi phí'!$H$77*A609))*(1+'Giả định'!$B$16)</f>
        <v>793268960</v>
      </c>
      <c r="E609" s="25" t="n">
        <f aca="false">A609/'Giả định'!$B$19*'Giả định'!$B$20+A609*'Giả định'!$B$23+'Giả định'!$B$24</f>
        <v>224850420.168067</v>
      </c>
      <c r="F609" s="25" t="n">
        <f aca="false">E609-D609</f>
        <v>-568418539.831933</v>
      </c>
      <c r="G609" s="25" t="n">
        <f aca="false">E609-C609</f>
        <v>-424813539.831933</v>
      </c>
      <c r="H609" s="7" t="str">
        <f aca="false">IF(F609&gt;=0,A609,"")</f>
        <v/>
      </c>
      <c r="I609" s="7" t="n">
        <f aca="false">IF(F609&lt;0,A609,0)</f>
        <v>604</v>
      </c>
      <c r="J609" s="7" t="str">
        <f aca="false">IF(G609&gt;=0,A609,"")</f>
        <v/>
      </c>
      <c r="K609" s="7" t="n">
        <f aca="false">IF(G609&lt;0,A609,0)</f>
        <v>604</v>
      </c>
    </row>
    <row r="610" customFormat="false" ht="15" hidden="false" customHeight="false" outlineLevel="0" collapsed="false">
      <c r="A610" s="7" t="n">
        <f aca="false">A609+1</f>
        <v>605</v>
      </c>
      <c r="B610" s="7" t="n">
        <f aca="false">MAX('Giả định'!$B$9,ROUNDUP(A610/'Giả định'!$B$7,0)+'Giả định'!$B$8)</f>
        <v>62</v>
      </c>
      <c r="C610" s="25" t="n">
        <f aca="false">('Chi phí'!$C$76+'Chi phí'!$D$76*B610+'Chi phí'!$E$76*A610+'Giả định'!$B$15*('Chi phí'!$F$76+'Chi phí'!$G$76*B610+'Chi phí'!$H$76*A610))*(1+'Giả định'!$B$16)</f>
        <v>649700700</v>
      </c>
      <c r="D610" s="25" t="n">
        <f aca="false">('Chi phí'!$C$77+'Chi phí'!$D$77*B610+'Chi phí'!$E$77*A610+'Giả định'!$B$15*('Chi phí'!$F$77+'Chi phí'!$G$77*B610+'Chi phí'!$H$77*A610))*(1+'Giả định'!$B$16)</f>
        <v>793305700</v>
      </c>
      <c r="E610" s="25" t="n">
        <f aca="false">A610/'Giả định'!$B$19*'Giả định'!$B$20+A610*'Giả định'!$B$23+'Giả định'!$B$24</f>
        <v>225222689.07563</v>
      </c>
      <c r="F610" s="25" t="n">
        <f aca="false">E610-D610</f>
        <v>-568083010.92437</v>
      </c>
      <c r="G610" s="25" t="n">
        <f aca="false">E610-C610</f>
        <v>-424478010.92437</v>
      </c>
      <c r="H610" s="7" t="str">
        <f aca="false">IF(F610&gt;=0,A610,"")</f>
        <v/>
      </c>
      <c r="I610" s="7" t="n">
        <f aca="false">IF(F610&lt;0,A610,0)</f>
        <v>605</v>
      </c>
      <c r="J610" s="7" t="str">
        <f aca="false">IF(G610&gt;=0,A610,"")</f>
        <v/>
      </c>
      <c r="K610" s="7" t="n">
        <f aca="false">IF(G610&lt;0,A610,0)</f>
        <v>605</v>
      </c>
    </row>
    <row r="611" customFormat="false" ht="15" hidden="false" customHeight="false" outlineLevel="0" collapsed="false">
      <c r="A611" s="7" t="n">
        <f aca="false">A610+1</f>
        <v>606</v>
      </c>
      <c r="B611" s="7" t="n">
        <f aca="false">MAX('Giả định'!$B$9,ROUNDUP(A611/'Giả định'!$B$7,0)+'Giả định'!$B$8)</f>
        <v>62</v>
      </c>
      <c r="C611" s="25" t="n">
        <f aca="false">('Chi phí'!$C$76+'Chi phí'!$D$76*B611+'Chi phí'!$E$76*A611+'Giả định'!$B$15*('Chi phí'!$F$76+'Chi phí'!$G$76*B611+'Chi phí'!$H$76*A611))*(1+'Giả định'!$B$16)</f>
        <v>649737440</v>
      </c>
      <c r="D611" s="25" t="n">
        <f aca="false">('Chi phí'!$C$77+'Chi phí'!$D$77*B611+'Chi phí'!$E$77*A611+'Giả định'!$B$15*('Chi phí'!$F$77+'Chi phí'!$G$77*B611+'Chi phí'!$H$77*A611))*(1+'Giả định'!$B$16)</f>
        <v>793342440</v>
      </c>
      <c r="E611" s="25" t="n">
        <f aca="false">A611/'Giả định'!$B$19*'Giả định'!$B$20+A611*'Giả định'!$B$23+'Giả định'!$B$24</f>
        <v>225594957.983193</v>
      </c>
      <c r="F611" s="25" t="n">
        <f aca="false">E611-D611</f>
        <v>-567747482.016807</v>
      </c>
      <c r="G611" s="25" t="n">
        <f aca="false">E611-C611</f>
        <v>-424142482.016807</v>
      </c>
      <c r="H611" s="7" t="str">
        <f aca="false">IF(F611&gt;=0,A611,"")</f>
        <v/>
      </c>
      <c r="I611" s="7" t="n">
        <f aca="false">IF(F611&lt;0,A611,0)</f>
        <v>606</v>
      </c>
      <c r="J611" s="7" t="str">
        <f aca="false">IF(G611&gt;=0,A611,"")</f>
        <v/>
      </c>
      <c r="K611" s="7" t="n">
        <f aca="false">IF(G611&lt;0,A611,0)</f>
        <v>606</v>
      </c>
    </row>
    <row r="612" customFormat="false" ht="15" hidden="false" customHeight="false" outlineLevel="0" collapsed="false">
      <c r="A612" s="7" t="n">
        <f aca="false">A611+1</f>
        <v>607</v>
      </c>
      <c r="B612" s="7" t="n">
        <f aca="false">MAX('Giả định'!$B$9,ROUNDUP(A612/'Giả định'!$B$7,0)+'Giả định'!$B$8)</f>
        <v>62</v>
      </c>
      <c r="C612" s="25" t="n">
        <f aca="false">('Chi phí'!$C$76+'Chi phí'!$D$76*B612+'Chi phí'!$E$76*A612+'Giả định'!$B$15*('Chi phí'!$F$76+'Chi phí'!$G$76*B612+'Chi phí'!$H$76*A612))*(1+'Giả định'!$B$16)</f>
        <v>649774180</v>
      </c>
      <c r="D612" s="25" t="n">
        <f aca="false">('Chi phí'!$C$77+'Chi phí'!$D$77*B612+'Chi phí'!$E$77*A612+'Giả định'!$B$15*('Chi phí'!$F$77+'Chi phí'!$G$77*B612+'Chi phí'!$H$77*A612))*(1+'Giả định'!$B$16)</f>
        <v>793379180</v>
      </c>
      <c r="E612" s="25" t="n">
        <f aca="false">A612/'Giả định'!$B$19*'Giả định'!$B$20+A612*'Giả định'!$B$23+'Giả định'!$B$24</f>
        <v>225967226.890756</v>
      </c>
      <c r="F612" s="25" t="n">
        <f aca="false">E612-D612</f>
        <v>-567411953.109244</v>
      </c>
      <c r="G612" s="25" t="n">
        <f aca="false">E612-C612</f>
        <v>-423806953.109244</v>
      </c>
      <c r="H612" s="7" t="str">
        <f aca="false">IF(F612&gt;=0,A612,"")</f>
        <v/>
      </c>
      <c r="I612" s="7" t="n">
        <f aca="false">IF(F612&lt;0,A612,0)</f>
        <v>607</v>
      </c>
      <c r="J612" s="7" t="str">
        <f aca="false">IF(G612&gt;=0,A612,"")</f>
        <v/>
      </c>
      <c r="K612" s="7" t="n">
        <f aca="false">IF(G612&lt;0,A612,0)</f>
        <v>607</v>
      </c>
    </row>
    <row r="613" customFormat="false" ht="15" hidden="false" customHeight="false" outlineLevel="0" collapsed="false">
      <c r="A613" s="7" t="n">
        <f aca="false">A612+1</f>
        <v>608</v>
      </c>
      <c r="B613" s="7" t="n">
        <f aca="false">MAX('Giả định'!$B$9,ROUNDUP(A613/'Giả định'!$B$7,0)+'Giả định'!$B$8)</f>
        <v>62</v>
      </c>
      <c r="C613" s="25" t="n">
        <f aca="false">('Chi phí'!$C$76+'Chi phí'!$D$76*B613+'Chi phí'!$E$76*A613+'Giả định'!$B$15*('Chi phí'!$F$76+'Chi phí'!$G$76*B613+'Chi phí'!$H$76*A613))*(1+'Giả định'!$B$16)</f>
        <v>649810920</v>
      </c>
      <c r="D613" s="25" t="n">
        <f aca="false">('Chi phí'!$C$77+'Chi phí'!$D$77*B613+'Chi phí'!$E$77*A613+'Giả định'!$B$15*('Chi phí'!$F$77+'Chi phí'!$G$77*B613+'Chi phí'!$H$77*A613))*(1+'Giả định'!$B$16)</f>
        <v>793415920</v>
      </c>
      <c r="E613" s="25" t="n">
        <f aca="false">A613/'Giả định'!$B$19*'Giả định'!$B$20+A613*'Giả định'!$B$23+'Giả định'!$B$24</f>
        <v>226339495.798319</v>
      </c>
      <c r="F613" s="25" t="n">
        <f aca="false">E613-D613</f>
        <v>-567076424.201681</v>
      </c>
      <c r="G613" s="25" t="n">
        <f aca="false">E613-C613</f>
        <v>-423471424.201681</v>
      </c>
      <c r="H613" s="7" t="str">
        <f aca="false">IF(F613&gt;=0,A613,"")</f>
        <v/>
      </c>
      <c r="I613" s="7" t="n">
        <f aca="false">IF(F613&lt;0,A613,0)</f>
        <v>608</v>
      </c>
      <c r="J613" s="7" t="str">
        <f aca="false">IF(G613&gt;=0,A613,"")</f>
        <v/>
      </c>
      <c r="K613" s="7" t="n">
        <f aca="false">IF(G613&lt;0,A613,0)</f>
        <v>608</v>
      </c>
    </row>
    <row r="614" customFormat="false" ht="15" hidden="false" customHeight="false" outlineLevel="0" collapsed="false">
      <c r="A614" s="7" t="n">
        <f aca="false">A613+1</f>
        <v>609</v>
      </c>
      <c r="B614" s="7" t="n">
        <f aca="false">MAX('Giả định'!$B$9,ROUNDUP(A614/'Giả định'!$B$7,0)+'Giả định'!$B$8)</f>
        <v>62</v>
      </c>
      <c r="C614" s="25" t="n">
        <f aca="false">('Chi phí'!$C$76+'Chi phí'!$D$76*B614+'Chi phí'!$E$76*A614+'Giả định'!$B$15*('Chi phí'!$F$76+'Chi phí'!$G$76*B614+'Chi phí'!$H$76*A614))*(1+'Giả định'!$B$16)</f>
        <v>649847660</v>
      </c>
      <c r="D614" s="25" t="n">
        <f aca="false">('Chi phí'!$C$77+'Chi phí'!$D$77*B614+'Chi phí'!$E$77*A614+'Giả định'!$B$15*('Chi phí'!$F$77+'Chi phí'!$G$77*B614+'Chi phí'!$H$77*A614))*(1+'Giả định'!$B$16)</f>
        <v>793452660</v>
      </c>
      <c r="E614" s="25" t="n">
        <f aca="false">A614/'Giả định'!$B$19*'Giả định'!$B$20+A614*'Giả định'!$B$23+'Giả định'!$B$24</f>
        <v>226711764.705882</v>
      </c>
      <c r="F614" s="25" t="n">
        <f aca="false">E614-D614</f>
        <v>-566740895.294118</v>
      </c>
      <c r="G614" s="25" t="n">
        <f aca="false">E614-C614</f>
        <v>-423135895.294118</v>
      </c>
      <c r="H614" s="7" t="str">
        <f aca="false">IF(F614&gt;=0,A614,"")</f>
        <v/>
      </c>
      <c r="I614" s="7" t="n">
        <f aca="false">IF(F614&lt;0,A614,0)</f>
        <v>609</v>
      </c>
      <c r="J614" s="7" t="str">
        <f aca="false">IF(G614&gt;=0,A614,"")</f>
        <v/>
      </c>
      <c r="K614" s="7" t="n">
        <f aca="false">IF(G614&lt;0,A614,0)</f>
        <v>609</v>
      </c>
    </row>
    <row r="615" customFormat="false" ht="15" hidden="false" customHeight="false" outlineLevel="0" collapsed="false">
      <c r="A615" s="7" t="n">
        <f aca="false">A614+1</f>
        <v>610</v>
      </c>
      <c r="B615" s="7" t="n">
        <f aca="false">MAX('Giả định'!$B$9,ROUNDUP(A615/'Giả định'!$B$7,0)+'Giả định'!$B$8)</f>
        <v>62</v>
      </c>
      <c r="C615" s="25" t="n">
        <f aca="false">('Chi phí'!$C$76+'Chi phí'!$D$76*B615+'Chi phí'!$E$76*A615+'Giả định'!$B$15*('Chi phí'!$F$76+'Chi phí'!$G$76*B615+'Chi phí'!$H$76*A615))*(1+'Giả định'!$B$16)</f>
        <v>649884400</v>
      </c>
      <c r="D615" s="25" t="n">
        <f aca="false">('Chi phí'!$C$77+'Chi phí'!$D$77*B615+'Chi phí'!$E$77*A615+'Giả định'!$B$15*('Chi phí'!$F$77+'Chi phí'!$G$77*B615+'Chi phí'!$H$77*A615))*(1+'Giả định'!$B$16)</f>
        <v>793489400</v>
      </c>
      <c r="E615" s="25" t="n">
        <f aca="false">A615/'Giả định'!$B$19*'Giả định'!$B$20+A615*'Giả định'!$B$23+'Giả định'!$B$24</f>
        <v>227084033.613445</v>
      </c>
      <c r="F615" s="25" t="n">
        <f aca="false">E615-D615</f>
        <v>-566405366.386555</v>
      </c>
      <c r="G615" s="25" t="n">
        <f aca="false">E615-C615</f>
        <v>-422800366.386555</v>
      </c>
      <c r="H615" s="7" t="str">
        <f aca="false">IF(F615&gt;=0,A615,"")</f>
        <v/>
      </c>
      <c r="I615" s="7" t="n">
        <f aca="false">IF(F615&lt;0,A615,0)</f>
        <v>610</v>
      </c>
      <c r="J615" s="7" t="str">
        <f aca="false">IF(G615&gt;=0,A615,"")</f>
        <v/>
      </c>
      <c r="K615" s="7" t="n">
        <f aca="false">IF(G615&lt;0,A615,0)</f>
        <v>610</v>
      </c>
    </row>
    <row r="616" customFormat="false" ht="15" hidden="false" customHeight="false" outlineLevel="0" collapsed="false">
      <c r="A616" s="7" t="n">
        <f aca="false">A615+1</f>
        <v>611</v>
      </c>
      <c r="B616" s="7" t="n">
        <f aca="false">MAX('Giả định'!$B$9,ROUNDUP(A616/'Giả định'!$B$7,0)+'Giả định'!$B$8)</f>
        <v>63</v>
      </c>
      <c r="C616" s="25" t="n">
        <f aca="false">('Chi phí'!$C$76+'Chi phí'!$D$76*B616+'Chi phí'!$E$76*A616+'Giả định'!$B$15*('Chi phí'!$F$76+'Chi phí'!$G$76*B616+'Chi phí'!$H$76*A616))*(1+'Giả định'!$B$16)</f>
        <v>659095140</v>
      </c>
      <c r="D616" s="25" t="n">
        <f aca="false">('Chi phí'!$C$77+'Chi phí'!$D$77*B616+'Chi phí'!$E$77*A616+'Giả định'!$B$15*('Chi phí'!$F$77+'Chi phí'!$G$77*B616+'Chi phí'!$H$77*A616))*(1+'Giả định'!$B$16)</f>
        <v>802700140</v>
      </c>
      <c r="E616" s="25" t="n">
        <f aca="false">A616/'Giả định'!$B$19*'Giả định'!$B$20+A616*'Giả định'!$B$23+'Giả định'!$B$24</f>
        <v>227456302.521008</v>
      </c>
      <c r="F616" s="25" t="n">
        <f aca="false">E616-D616</f>
        <v>-575243837.478992</v>
      </c>
      <c r="G616" s="25" t="n">
        <f aca="false">E616-C616</f>
        <v>-431638837.478992</v>
      </c>
      <c r="H616" s="7" t="str">
        <f aca="false">IF(F616&gt;=0,A616,"")</f>
        <v/>
      </c>
      <c r="I616" s="7" t="n">
        <f aca="false">IF(F616&lt;0,A616,0)</f>
        <v>611</v>
      </c>
      <c r="J616" s="7" t="str">
        <f aca="false">IF(G616&gt;=0,A616,"")</f>
        <v/>
      </c>
      <c r="K616" s="7" t="n">
        <f aca="false">IF(G616&lt;0,A616,0)</f>
        <v>611</v>
      </c>
    </row>
    <row r="617" customFormat="false" ht="15" hidden="false" customHeight="false" outlineLevel="0" collapsed="false">
      <c r="A617" s="7" t="n">
        <f aca="false">A616+1</f>
        <v>612</v>
      </c>
      <c r="B617" s="7" t="n">
        <f aca="false">MAX('Giả định'!$B$9,ROUNDUP(A617/'Giả định'!$B$7,0)+'Giả định'!$B$8)</f>
        <v>63</v>
      </c>
      <c r="C617" s="25" t="n">
        <f aca="false">('Chi phí'!$C$76+'Chi phí'!$D$76*B617+'Chi phí'!$E$76*A617+'Giả định'!$B$15*('Chi phí'!$F$76+'Chi phí'!$G$76*B617+'Chi phí'!$H$76*A617))*(1+'Giả định'!$B$16)</f>
        <v>659131880</v>
      </c>
      <c r="D617" s="25" t="n">
        <f aca="false">('Chi phí'!$C$77+'Chi phí'!$D$77*B617+'Chi phí'!$E$77*A617+'Giả định'!$B$15*('Chi phí'!$F$77+'Chi phí'!$G$77*B617+'Chi phí'!$H$77*A617))*(1+'Giả định'!$B$16)</f>
        <v>802736880</v>
      </c>
      <c r="E617" s="25" t="n">
        <f aca="false">A617/'Giả định'!$B$19*'Giả định'!$B$20+A617*'Giả định'!$B$23+'Giả định'!$B$24</f>
        <v>227828571.428571</v>
      </c>
      <c r="F617" s="25" t="n">
        <f aca="false">E617-D617</f>
        <v>-574908308.571429</v>
      </c>
      <c r="G617" s="25" t="n">
        <f aca="false">E617-C617</f>
        <v>-431303308.571429</v>
      </c>
      <c r="H617" s="7" t="str">
        <f aca="false">IF(F617&gt;=0,A617,"")</f>
        <v/>
      </c>
      <c r="I617" s="7" t="n">
        <f aca="false">IF(F617&lt;0,A617,0)</f>
        <v>612</v>
      </c>
      <c r="J617" s="7" t="str">
        <f aca="false">IF(G617&gt;=0,A617,"")</f>
        <v/>
      </c>
      <c r="K617" s="7" t="n">
        <f aca="false">IF(G617&lt;0,A617,0)</f>
        <v>612</v>
      </c>
    </row>
    <row r="618" customFormat="false" ht="15" hidden="false" customHeight="false" outlineLevel="0" collapsed="false">
      <c r="A618" s="7" t="n">
        <f aca="false">A617+1</f>
        <v>613</v>
      </c>
      <c r="B618" s="7" t="n">
        <f aca="false">MAX('Giả định'!$B$9,ROUNDUP(A618/'Giả định'!$B$7,0)+'Giả định'!$B$8)</f>
        <v>63</v>
      </c>
      <c r="C618" s="25" t="n">
        <f aca="false">('Chi phí'!$C$76+'Chi phí'!$D$76*B618+'Chi phí'!$E$76*A618+'Giả định'!$B$15*('Chi phí'!$F$76+'Chi phí'!$G$76*B618+'Chi phí'!$H$76*A618))*(1+'Giả định'!$B$16)</f>
        <v>659168620</v>
      </c>
      <c r="D618" s="25" t="n">
        <f aca="false">('Chi phí'!$C$77+'Chi phí'!$D$77*B618+'Chi phí'!$E$77*A618+'Giả định'!$B$15*('Chi phí'!$F$77+'Chi phí'!$G$77*B618+'Chi phí'!$H$77*A618))*(1+'Giả định'!$B$16)</f>
        <v>802773620</v>
      </c>
      <c r="E618" s="25" t="n">
        <f aca="false">A618/'Giả định'!$B$19*'Giả định'!$B$20+A618*'Giả định'!$B$23+'Giả định'!$B$24</f>
        <v>228200840.336134</v>
      </c>
      <c r="F618" s="25" t="n">
        <f aca="false">E618-D618</f>
        <v>-574572779.663866</v>
      </c>
      <c r="G618" s="25" t="n">
        <f aca="false">E618-C618</f>
        <v>-430967779.663866</v>
      </c>
      <c r="H618" s="7" t="str">
        <f aca="false">IF(F618&gt;=0,A618,"")</f>
        <v/>
      </c>
      <c r="I618" s="7" t="n">
        <f aca="false">IF(F618&lt;0,A618,0)</f>
        <v>613</v>
      </c>
      <c r="J618" s="7" t="str">
        <f aca="false">IF(G618&gt;=0,A618,"")</f>
        <v/>
      </c>
      <c r="K618" s="7" t="n">
        <f aca="false">IF(G618&lt;0,A618,0)</f>
        <v>613</v>
      </c>
    </row>
    <row r="619" customFormat="false" ht="15" hidden="false" customHeight="false" outlineLevel="0" collapsed="false">
      <c r="A619" s="7" t="n">
        <f aca="false">A618+1</f>
        <v>614</v>
      </c>
      <c r="B619" s="7" t="n">
        <f aca="false">MAX('Giả định'!$B$9,ROUNDUP(A619/'Giả định'!$B$7,0)+'Giả định'!$B$8)</f>
        <v>63</v>
      </c>
      <c r="C619" s="25" t="n">
        <f aca="false">('Chi phí'!$C$76+'Chi phí'!$D$76*B619+'Chi phí'!$E$76*A619+'Giả định'!$B$15*('Chi phí'!$F$76+'Chi phí'!$G$76*B619+'Chi phí'!$H$76*A619))*(1+'Giả định'!$B$16)</f>
        <v>659205360</v>
      </c>
      <c r="D619" s="25" t="n">
        <f aca="false">('Chi phí'!$C$77+'Chi phí'!$D$77*B619+'Chi phí'!$E$77*A619+'Giả định'!$B$15*('Chi phí'!$F$77+'Chi phí'!$G$77*B619+'Chi phí'!$H$77*A619))*(1+'Giả định'!$B$16)</f>
        <v>802810360</v>
      </c>
      <c r="E619" s="25" t="n">
        <f aca="false">A619/'Giả định'!$B$19*'Giả định'!$B$20+A619*'Giả định'!$B$23+'Giả định'!$B$24</f>
        <v>228573109.243698</v>
      </c>
      <c r="F619" s="25" t="n">
        <f aca="false">E619-D619</f>
        <v>-574237250.756303</v>
      </c>
      <c r="G619" s="25" t="n">
        <f aca="false">E619-C619</f>
        <v>-430632250.756303</v>
      </c>
      <c r="H619" s="7" t="str">
        <f aca="false">IF(F619&gt;=0,A619,"")</f>
        <v/>
      </c>
      <c r="I619" s="7" t="n">
        <f aca="false">IF(F619&lt;0,A619,0)</f>
        <v>614</v>
      </c>
      <c r="J619" s="7" t="str">
        <f aca="false">IF(G619&gt;=0,A619,"")</f>
        <v/>
      </c>
      <c r="K619" s="7" t="n">
        <f aca="false">IF(G619&lt;0,A619,0)</f>
        <v>614</v>
      </c>
    </row>
    <row r="620" customFormat="false" ht="15" hidden="false" customHeight="false" outlineLevel="0" collapsed="false">
      <c r="A620" s="7" t="n">
        <f aca="false">A619+1</f>
        <v>615</v>
      </c>
      <c r="B620" s="7" t="n">
        <f aca="false">MAX('Giả định'!$B$9,ROUNDUP(A620/'Giả định'!$B$7,0)+'Giả định'!$B$8)</f>
        <v>63</v>
      </c>
      <c r="C620" s="25" t="n">
        <f aca="false">('Chi phí'!$C$76+'Chi phí'!$D$76*B620+'Chi phí'!$E$76*A620+'Giả định'!$B$15*('Chi phí'!$F$76+'Chi phí'!$G$76*B620+'Chi phí'!$H$76*A620))*(1+'Giả định'!$B$16)</f>
        <v>659242100</v>
      </c>
      <c r="D620" s="25" t="n">
        <f aca="false">('Chi phí'!$C$77+'Chi phí'!$D$77*B620+'Chi phí'!$E$77*A620+'Giả định'!$B$15*('Chi phí'!$F$77+'Chi phí'!$G$77*B620+'Chi phí'!$H$77*A620))*(1+'Giả định'!$B$16)</f>
        <v>802847100</v>
      </c>
      <c r="E620" s="25" t="n">
        <f aca="false">A620/'Giả định'!$B$19*'Giả định'!$B$20+A620*'Giả định'!$B$23+'Giả định'!$B$24</f>
        <v>228945378.151261</v>
      </c>
      <c r="F620" s="25" t="n">
        <f aca="false">E620-D620</f>
        <v>-573901721.84874</v>
      </c>
      <c r="G620" s="25" t="n">
        <f aca="false">E620-C620</f>
        <v>-430296721.84874</v>
      </c>
      <c r="H620" s="7" t="str">
        <f aca="false">IF(F620&gt;=0,A620,"")</f>
        <v/>
      </c>
      <c r="I620" s="7" t="n">
        <f aca="false">IF(F620&lt;0,A620,0)</f>
        <v>615</v>
      </c>
      <c r="J620" s="7" t="str">
        <f aca="false">IF(G620&gt;=0,A620,"")</f>
        <v/>
      </c>
      <c r="K620" s="7" t="n">
        <f aca="false">IF(G620&lt;0,A620,0)</f>
        <v>615</v>
      </c>
    </row>
    <row r="621" customFormat="false" ht="15" hidden="false" customHeight="false" outlineLevel="0" collapsed="false">
      <c r="A621" s="7" t="n">
        <f aca="false">A620+1</f>
        <v>616</v>
      </c>
      <c r="B621" s="7" t="n">
        <f aca="false">MAX('Giả định'!$B$9,ROUNDUP(A621/'Giả định'!$B$7,0)+'Giả định'!$B$8)</f>
        <v>63</v>
      </c>
      <c r="C621" s="25" t="n">
        <f aca="false">('Chi phí'!$C$76+'Chi phí'!$D$76*B621+'Chi phí'!$E$76*A621+'Giả định'!$B$15*('Chi phí'!$F$76+'Chi phí'!$G$76*B621+'Chi phí'!$H$76*A621))*(1+'Giả định'!$B$16)</f>
        <v>659278840</v>
      </c>
      <c r="D621" s="25" t="n">
        <f aca="false">('Chi phí'!$C$77+'Chi phí'!$D$77*B621+'Chi phí'!$E$77*A621+'Giả định'!$B$15*('Chi phí'!$F$77+'Chi phí'!$G$77*B621+'Chi phí'!$H$77*A621))*(1+'Giả định'!$B$16)</f>
        <v>802883840</v>
      </c>
      <c r="E621" s="25" t="n">
        <f aca="false">A621/'Giả định'!$B$19*'Giả định'!$B$20+A621*'Giả định'!$B$23+'Giả định'!$B$24</f>
        <v>229317647.058824</v>
      </c>
      <c r="F621" s="25" t="n">
        <f aca="false">E621-D621</f>
        <v>-573566192.941177</v>
      </c>
      <c r="G621" s="25" t="n">
        <f aca="false">E621-C621</f>
        <v>-429961192.941177</v>
      </c>
      <c r="H621" s="7" t="str">
        <f aca="false">IF(F621&gt;=0,A621,"")</f>
        <v/>
      </c>
      <c r="I621" s="7" t="n">
        <f aca="false">IF(F621&lt;0,A621,0)</f>
        <v>616</v>
      </c>
      <c r="J621" s="7" t="str">
        <f aca="false">IF(G621&gt;=0,A621,"")</f>
        <v/>
      </c>
      <c r="K621" s="7" t="n">
        <f aca="false">IF(G621&lt;0,A621,0)</f>
        <v>616</v>
      </c>
    </row>
    <row r="622" customFormat="false" ht="15" hidden="false" customHeight="false" outlineLevel="0" collapsed="false">
      <c r="A622" s="7" t="n">
        <f aca="false">A621+1</f>
        <v>617</v>
      </c>
      <c r="B622" s="7" t="n">
        <f aca="false">MAX('Giả định'!$B$9,ROUNDUP(A622/'Giả định'!$B$7,0)+'Giả định'!$B$8)</f>
        <v>63</v>
      </c>
      <c r="C622" s="25" t="n">
        <f aca="false">('Chi phí'!$C$76+'Chi phí'!$D$76*B622+'Chi phí'!$E$76*A622+'Giả định'!$B$15*('Chi phí'!$F$76+'Chi phí'!$G$76*B622+'Chi phí'!$H$76*A622))*(1+'Giả định'!$B$16)</f>
        <v>659315580</v>
      </c>
      <c r="D622" s="25" t="n">
        <f aca="false">('Chi phí'!$C$77+'Chi phí'!$D$77*B622+'Chi phí'!$E$77*A622+'Giả định'!$B$15*('Chi phí'!$F$77+'Chi phí'!$G$77*B622+'Chi phí'!$H$77*A622))*(1+'Giả định'!$B$16)</f>
        <v>802920580</v>
      </c>
      <c r="E622" s="25" t="n">
        <f aca="false">A622/'Giả định'!$B$19*'Giả định'!$B$20+A622*'Giả định'!$B$23+'Giả định'!$B$24</f>
        <v>229689915.966387</v>
      </c>
      <c r="F622" s="25" t="n">
        <f aca="false">E622-D622</f>
        <v>-573230664.033614</v>
      </c>
      <c r="G622" s="25" t="n">
        <f aca="false">E622-C622</f>
        <v>-429625664.033613</v>
      </c>
      <c r="H622" s="7" t="str">
        <f aca="false">IF(F622&gt;=0,A622,"")</f>
        <v/>
      </c>
      <c r="I622" s="7" t="n">
        <f aca="false">IF(F622&lt;0,A622,0)</f>
        <v>617</v>
      </c>
      <c r="J622" s="7" t="str">
        <f aca="false">IF(G622&gt;=0,A622,"")</f>
        <v/>
      </c>
      <c r="K622" s="7" t="n">
        <f aca="false">IF(G622&lt;0,A622,0)</f>
        <v>617</v>
      </c>
    </row>
    <row r="623" customFormat="false" ht="15" hidden="false" customHeight="false" outlineLevel="0" collapsed="false">
      <c r="A623" s="7" t="n">
        <f aca="false">A622+1</f>
        <v>618</v>
      </c>
      <c r="B623" s="7" t="n">
        <f aca="false">MAX('Giả định'!$B$9,ROUNDUP(A623/'Giả định'!$B$7,0)+'Giả định'!$B$8)</f>
        <v>63</v>
      </c>
      <c r="C623" s="25" t="n">
        <f aca="false">('Chi phí'!$C$76+'Chi phí'!$D$76*B623+'Chi phí'!$E$76*A623+'Giả định'!$B$15*('Chi phí'!$F$76+'Chi phí'!$G$76*B623+'Chi phí'!$H$76*A623))*(1+'Giả định'!$B$16)</f>
        <v>659352320</v>
      </c>
      <c r="D623" s="25" t="n">
        <f aca="false">('Chi phí'!$C$77+'Chi phí'!$D$77*B623+'Chi phí'!$E$77*A623+'Giả định'!$B$15*('Chi phí'!$F$77+'Chi phí'!$G$77*B623+'Chi phí'!$H$77*A623))*(1+'Giả định'!$B$16)</f>
        <v>802957320</v>
      </c>
      <c r="E623" s="25" t="n">
        <f aca="false">A623/'Giả định'!$B$19*'Giả định'!$B$20+A623*'Giả định'!$B$23+'Giả định'!$B$24</f>
        <v>230062184.87395</v>
      </c>
      <c r="F623" s="25" t="n">
        <f aca="false">E623-D623</f>
        <v>-572895135.126051</v>
      </c>
      <c r="G623" s="25" t="n">
        <f aca="false">E623-C623</f>
        <v>-429290135.12605</v>
      </c>
      <c r="H623" s="7" t="str">
        <f aca="false">IF(F623&gt;=0,A623,"")</f>
        <v/>
      </c>
      <c r="I623" s="7" t="n">
        <f aca="false">IF(F623&lt;0,A623,0)</f>
        <v>618</v>
      </c>
      <c r="J623" s="7" t="str">
        <f aca="false">IF(G623&gt;=0,A623,"")</f>
        <v/>
      </c>
      <c r="K623" s="7" t="n">
        <f aca="false">IF(G623&lt;0,A623,0)</f>
        <v>618</v>
      </c>
    </row>
    <row r="624" customFormat="false" ht="15" hidden="false" customHeight="false" outlineLevel="0" collapsed="false">
      <c r="A624" s="7" t="n">
        <f aca="false">A623+1</f>
        <v>619</v>
      </c>
      <c r="B624" s="7" t="n">
        <f aca="false">MAX('Giả định'!$B$9,ROUNDUP(A624/'Giả định'!$B$7,0)+'Giả định'!$B$8)</f>
        <v>63</v>
      </c>
      <c r="C624" s="25" t="n">
        <f aca="false">('Chi phí'!$C$76+'Chi phí'!$D$76*B624+'Chi phí'!$E$76*A624+'Giả định'!$B$15*('Chi phí'!$F$76+'Chi phí'!$G$76*B624+'Chi phí'!$H$76*A624))*(1+'Giả định'!$B$16)</f>
        <v>659389060</v>
      </c>
      <c r="D624" s="25" t="n">
        <f aca="false">('Chi phí'!$C$77+'Chi phí'!$D$77*B624+'Chi phí'!$E$77*A624+'Giả định'!$B$15*('Chi phí'!$F$77+'Chi phí'!$G$77*B624+'Chi phí'!$H$77*A624))*(1+'Giả định'!$B$16)</f>
        <v>802994060</v>
      </c>
      <c r="E624" s="25" t="n">
        <f aca="false">A624/'Giả định'!$B$19*'Giả định'!$B$20+A624*'Giả định'!$B$23+'Giả định'!$B$24</f>
        <v>230434453.781513</v>
      </c>
      <c r="F624" s="25" t="n">
        <f aca="false">E624-D624</f>
        <v>-572559606.218488</v>
      </c>
      <c r="G624" s="25" t="n">
        <f aca="false">E624-C624</f>
        <v>-428954606.218487</v>
      </c>
      <c r="H624" s="7" t="str">
        <f aca="false">IF(F624&gt;=0,A624,"")</f>
        <v/>
      </c>
      <c r="I624" s="7" t="n">
        <f aca="false">IF(F624&lt;0,A624,0)</f>
        <v>619</v>
      </c>
      <c r="J624" s="7" t="str">
        <f aca="false">IF(G624&gt;=0,A624,"")</f>
        <v/>
      </c>
      <c r="K624" s="7" t="n">
        <f aca="false">IF(G624&lt;0,A624,0)</f>
        <v>619</v>
      </c>
    </row>
    <row r="625" customFormat="false" ht="15" hidden="false" customHeight="false" outlineLevel="0" collapsed="false">
      <c r="A625" s="7" t="n">
        <f aca="false">A624+1</f>
        <v>620</v>
      </c>
      <c r="B625" s="7" t="n">
        <f aca="false">MAX('Giả định'!$B$9,ROUNDUP(A625/'Giả định'!$B$7,0)+'Giả định'!$B$8)</f>
        <v>63</v>
      </c>
      <c r="C625" s="25" t="n">
        <f aca="false">('Chi phí'!$C$76+'Chi phí'!$D$76*B625+'Chi phí'!$E$76*A625+'Giả định'!$B$15*('Chi phí'!$F$76+'Chi phí'!$G$76*B625+'Chi phí'!$H$76*A625))*(1+'Giả định'!$B$16)</f>
        <v>659425800</v>
      </c>
      <c r="D625" s="25" t="n">
        <f aca="false">('Chi phí'!$C$77+'Chi phí'!$D$77*B625+'Chi phí'!$E$77*A625+'Giả định'!$B$15*('Chi phí'!$F$77+'Chi phí'!$G$77*B625+'Chi phí'!$H$77*A625))*(1+'Giả định'!$B$16)</f>
        <v>803030800</v>
      </c>
      <c r="E625" s="25" t="n">
        <f aca="false">A625/'Giả định'!$B$19*'Giả định'!$B$20+A625*'Giả định'!$B$23+'Giả định'!$B$24</f>
        <v>230806722.689076</v>
      </c>
      <c r="F625" s="25" t="n">
        <f aca="false">E625-D625</f>
        <v>-572224077.310925</v>
      </c>
      <c r="G625" s="25" t="n">
        <f aca="false">E625-C625</f>
        <v>-428619077.310924</v>
      </c>
      <c r="H625" s="7" t="str">
        <f aca="false">IF(F625&gt;=0,A625,"")</f>
        <v/>
      </c>
      <c r="I625" s="7" t="n">
        <f aca="false">IF(F625&lt;0,A625,0)</f>
        <v>620</v>
      </c>
      <c r="J625" s="7" t="str">
        <f aca="false">IF(G625&gt;=0,A625,"")</f>
        <v/>
      </c>
      <c r="K625" s="7" t="n">
        <f aca="false">IF(G625&lt;0,A625,0)</f>
        <v>620</v>
      </c>
    </row>
    <row r="626" customFormat="false" ht="15" hidden="false" customHeight="false" outlineLevel="0" collapsed="false">
      <c r="A626" s="7" t="n">
        <f aca="false">A625+1</f>
        <v>621</v>
      </c>
      <c r="B626" s="7" t="n">
        <f aca="false">MAX('Giả định'!$B$9,ROUNDUP(A626/'Giả định'!$B$7,0)+'Giả định'!$B$8)</f>
        <v>64</v>
      </c>
      <c r="C626" s="25" t="n">
        <f aca="false">('Chi phí'!$C$76+'Chi phí'!$D$76*B626+'Chi phí'!$E$76*A626+'Giả định'!$B$15*('Chi phí'!$F$76+'Chi phí'!$G$76*B626+'Chi phí'!$H$76*A626))*(1+'Giả định'!$B$16)</f>
        <v>668636540</v>
      </c>
      <c r="D626" s="25" t="n">
        <f aca="false">('Chi phí'!$C$77+'Chi phí'!$D$77*B626+'Chi phí'!$E$77*A626+'Giả định'!$B$15*('Chi phí'!$F$77+'Chi phí'!$G$77*B626+'Chi phí'!$H$77*A626))*(1+'Giả định'!$B$16)</f>
        <v>812241540</v>
      </c>
      <c r="E626" s="25" t="n">
        <f aca="false">A626/'Giả định'!$B$19*'Giả định'!$B$20+A626*'Giả định'!$B$23+'Giả định'!$B$24</f>
        <v>231178991.596639</v>
      </c>
      <c r="F626" s="25" t="n">
        <f aca="false">E626-D626</f>
        <v>-581062548.403361</v>
      </c>
      <c r="G626" s="25" t="n">
        <f aca="false">E626-C626</f>
        <v>-437457548.403361</v>
      </c>
      <c r="H626" s="7" t="str">
        <f aca="false">IF(F626&gt;=0,A626,"")</f>
        <v/>
      </c>
      <c r="I626" s="7" t="n">
        <f aca="false">IF(F626&lt;0,A626,0)</f>
        <v>621</v>
      </c>
      <c r="J626" s="7" t="str">
        <f aca="false">IF(G626&gt;=0,A626,"")</f>
        <v/>
      </c>
      <c r="K626" s="7" t="n">
        <f aca="false">IF(G626&lt;0,A626,0)</f>
        <v>621</v>
      </c>
    </row>
    <row r="627" customFormat="false" ht="15" hidden="false" customHeight="false" outlineLevel="0" collapsed="false">
      <c r="A627" s="7" t="n">
        <f aca="false">A626+1</f>
        <v>622</v>
      </c>
      <c r="B627" s="7" t="n">
        <f aca="false">MAX('Giả định'!$B$9,ROUNDUP(A627/'Giả định'!$B$7,0)+'Giả định'!$B$8)</f>
        <v>64</v>
      </c>
      <c r="C627" s="25" t="n">
        <f aca="false">('Chi phí'!$C$76+'Chi phí'!$D$76*B627+'Chi phí'!$E$76*A627+'Giả định'!$B$15*('Chi phí'!$F$76+'Chi phí'!$G$76*B627+'Chi phí'!$H$76*A627))*(1+'Giả định'!$B$16)</f>
        <v>668673280</v>
      </c>
      <c r="D627" s="25" t="n">
        <f aca="false">('Chi phí'!$C$77+'Chi phí'!$D$77*B627+'Chi phí'!$E$77*A627+'Giả định'!$B$15*('Chi phí'!$F$77+'Chi phí'!$G$77*B627+'Chi phí'!$H$77*A627))*(1+'Giả định'!$B$16)</f>
        <v>812278280</v>
      </c>
      <c r="E627" s="25" t="n">
        <f aca="false">A627/'Giả định'!$B$19*'Giả định'!$B$20+A627*'Giả định'!$B$23+'Giả định'!$B$24</f>
        <v>231551260.504202</v>
      </c>
      <c r="F627" s="25" t="n">
        <f aca="false">E627-D627</f>
        <v>-580727019.495798</v>
      </c>
      <c r="G627" s="25" t="n">
        <f aca="false">E627-C627</f>
        <v>-437122019.495798</v>
      </c>
      <c r="H627" s="7" t="str">
        <f aca="false">IF(F627&gt;=0,A627,"")</f>
        <v/>
      </c>
      <c r="I627" s="7" t="n">
        <f aca="false">IF(F627&lt;0,A627,0)</f>
        <v>622</v>
      </c>
      <c r="J627" s="7" t="str">
        <f aca="false">IF(G627&gt;=0,A627,"")</f>
        <v/>
      </c>
      <c r="K627" s="7" t="n">
        <f aca="false">IF(G627&lt;0,A627,0)</f>
        <v>622</v>
      </c>
    </row>
    <row r="628" customFormat="false" ht="15" hidden="false" customHeight="false" outlineLevel="0" collapsed="false">
      <c r="A628" s="7" t="n">
        <f aca="false">A627+1</f>
        <v>623</v>
      </c>
      <c r="B628" s="7" t="n">
        <f aca="false">MAX('Giả định'!$B$9,ROUNDUP(A628/'Giả định'!$B$7,0)+'Giả định'!$B$8)</f>
        <v>64</v>
      </c>
      <c r="C628" s="25" t="n">
        <f aca="false">('Chi phí'!$C$76+'Chi phí'!$D$76*B628+'Chi phí'!$E$76*A628+'Giả định'!$B$15*('Chi phí'!$F$76+'Chi phí'!$G$76*B628+'Chi phí'!$H$76*A628))*(1+'Giả định'!$B$16)</f>
        <v>668710020</v>
      </c>
      <c r="D628" s="25" t="n">
        <f aca="false">('Chi phí'!$C$77+'Chi phí'!$D$77*B628+'Chi phí'!$E$77*A628+'Giả định'!$B$15*('Chi phí'!$F$77+'Chi phí'!$G$77*B628+'Chi phí'!$H$77*A628))*(1+'Giả định'!$B$16)</f>
        <v>812315020</v>
      </c>
      <c r="E628" s="25" t="n">
        <f aca="false">A628/'Giả định'!$B$19*'Giả định'!$B$20+A628*'Giả định'!$B$23+'Giả định'!$B$24</f>
        <v>231923529.411765</v>
      </c>
      <c r="F628" s="25" t="n">
        <f aca="false">E628-D628</f>
        <v>-580391490.588235</v>
      </c>
      <c r="G628" s="25" t="n">
        <f aca="false">E628-C628</f>
        <v>-436786490.588235</v>
      </c>
      <c r="H628" s="7" t="str">
        <f aca="false">IF(F628&gt;=0,A628,"")</f>
        <v/>
      </c>
      <c r="I628" s="7" t="n">
        <f aca="false">IF(F628&lt;0,A628,0)</f>
        <v>623</v>
      </c>
      <c r="J628" s="7" t="str">
        <f aca="false">IF(G628&gt;=0,A628,"")</f>
        <v/>
      </c>
      <c r="K628" s="7" t="n">
        <f aca="false">IF(G628&lt;0,A628,0)</f>
        <v>623</v>
      </c>
    </row>
    <row r="629" customFormat="false" ht="15" hidden="false" customHeight="false" outlineLevel="0" collapsed="false">
      <c r="A629" s="7" t="n">
        <f aca="false">A628+1</f>
        <v>624</v>
      </c>
      <c r="B629" s="7" t="n">
        <f aca="false">MAX('Giả định'!$B$9,ROUNDUP(A629/'Giả định'!$B$7,0)+'Giả định'!$B$8)</f>
        <v>64</v>
      </c>
      <c r="C629" s="25" t="n">
        <f aca="false">('Chi phí'!$C$76+'Chi phí'!$D$76*B629+'Chi phí'!$E$76*A629+'Giả định'!$B$15*('Chi phí'!$F$76+'Chi phí'!$G$76*B629+'Chi phí'!$H$76*A629))*(1+'Giả định'!$B$16)</f>
        <v>668746760</v>
      </c>
      <c r="D629" s="25" t="n">
        <f aca="false">('Chi phí'!$C$77+'Chi phí'!$D$77*B629+'Chi phí'!$E$77*A629+'Giả định'!$B$15*('Chi phí'!$F$77+'Chi phí'!$G$77*B629+'Chi phí'!$H$77*A629))*(1+'Giả định'!$B$16)</f>
        <v>812351760</v>
      </c>
      <c r="E629" s="25" t="n">
        <f aca="false">A629/'Giả định'!$B$19*'Giả định'!$B$20+A629*'Giả định'!$B$23+'Giả định'!$B$24</f>
        <v>232295798.319328</v>
      </c>
      <c r="F629" s="25" t="n">
        <f aca="false">E629-D629</f>
        <v>-580055961.680672</v>
      </c>
      <c r="G629" s="25" t="n">
        <f aca="false">E629-C629</f>
        <v>-436450961.680672</v>
      </c>
      <c r="H629" s="7" t="str">
        <f aca="false">IF(F629&gt;=0,A629,"")</f>
        <v/>
      </c>
      <c r="I629" s="7" t="n">
        <f aca="false">IF(F629&lt;0,A629,0)</f>
        <v>624</v>
      </c>
      <c r="J629" s="7" t="str">
        <f aca="false">IF(G629&gt;=0,A629,"")</f>
        <v/>
      </c>
      <c r="K629" s="7" t="n">
        <f aca="false">IF(G629&lt;0,A629,0)</f>
        <v>624</v>
      </c>
    </row>
    <row r="630" customFormat="false" ht="15" hidden="false" customHeight="false" outlineLevel="0" collapsed="false">
      <c r="A630" s="7" t="n">
        <f aca="false">A629+1</f>
        <v>625</v>
      </c>
      <c r="B630" s="7" t="n">
        <f aca="false">MAX('Giả định'!$B$9,ROUNDUP(A630/'Giả định'!$B$7,0)+'Giả định'!$B$8)</f>
        <v>64</v>
      </c>
      <c r="C630" s="25" t="n">
        <f aca="false">('Chi phí'!$C$76+'Chi phí'!$D$76*B630+'Chi phí'!$E$76*A630+'Giả định'!$B$15*('Chi phí'!$F$76+'Chi phí'!$G$76*B630+'Chi phí'!$H$76*A630))*(1+'Giả định'!$B$16)</f>
        <v>668783500</v>
      </c>
      <c r="D630" s="25" t="n">
        <f aca="false">('Chi phí'!$C$77+'Chi phí'!$D$77*B630+'Chi phí'!$E$77*A630+'Giả định'!$B$15*('Chi phí'!$F$77+'Chi phí'!$G$77*B630+'Chi phí'!$H$77*A630))*(1+'Giả định'!$B$16)</f>
        <v>812388500</v>
      </c>
      <c r="E630" s="25" t="n">
        <f aca="false">A630/'Giả định'!$B$19*'Giả định'!$B$20+A630*'Giả định'!$B$23+'Giả định'!$B$24</f>
        <v>232668067.226891</v>
      </c>
      <c r="F630" s="25" t="n">
        <f aca="false">E630-D630</f>
        <v>-579720432.773109</v>
      </c>
      <c r="G630" s="25" t="n">
        <f aca="false">E630-C630</f>
        <v>-436115432.773109</v>
      </c>
      <c r="H630" s="7" t="str">
        <f aca="false">IF(F630&gt;=0,A630,"")</f>
        <v/>
      </c>
      <c r="I630" s="7" t="n">
        <f aca="false">IF(F630&lt;0,A630,0)</f>
        <v>625</v>
      </c>
      <c r="J630" s="7" t="str">
        <f aca="false">IF(G630&gt;=0,A630,"")</f>
        <v/>
      </c>
      <c r="K630" s="7" t="n">
        <f aca="false">IF(G630&lt;0,A630,0)</f>
        <v>625</v>
      </c>
    </row>
    <row r="631" customFormat="false" ht="15" hidden="false" customHeight="false" outlineLevel="0" collapsed="false">
      <c r="A631" s="7" t="n">
        <f aca="false">A630+1</f>
        <v>626</v>
      </c>
      <c r="B631" s="7" t="n">
        <f aca="false">MAX('Giả định'!$B$9,ROUNDUP(A631/'Giả định'!$B$7,0)+'Giả định'!$B$8)</f>
        <v>64</v>
      </c>
      <c r="C631" s="25" t="n">
        <f aca="false">('Chi phí'!$C$76+'Chi phí'!$D$76*B631+'Chi phí'!$E$76*A631+'Giả định'!$B$15*('Chi phí'!$F$76+'Chi phí'!$G$76*B631+'Chi phí'!$H$76*A631))*(1+'Giả định'!$B$16)</f>
        <v>668820240</v>
      </c>
      <c r="D631" s="25" t="n">
        <f aca="false">('Chi phí'!$C$77+'Chi phí'!$D$77*B631+'Chi phí'!$E$77*A631+'Giả định'!$B$15*('Chi phí'!$F$77+'Chi phí'!$G$77*B631+'Chi phí'!$H$77*A631))*(1+'Giả định'!$B$16)</f>
        <v>812425240</v>
      </c>
      <c r="E631" s="25" t="n">
        <f aca="false">A631/'Giả định'!$B$19*'Giả định'!$B$20+A631*'Giả định'!$B$23+'Giả định'!$B$24</f>
        <v>233040336.134454</v>
      </c>
      <c r="F631" s="25" t="n">
        <f aca="false">E631-D631</f>
        <v>-579384903.865546</v>
      </c>
      <c r="G631" s="25" t="n">
        <f aca="false">E631-C631</f>
        <v>-435779903.865546</v>
      </c>
      <c r="H631" s="7" t="str">
        <f aca="false">IF(F631&gt;=0,A631,"")</f>
        <v/>
      </c>
      <c r="I631" s="7" t="n">
        <f aca="false">IF(F631&lt;0,A631,0)</f>
        <v>626</v>
      </c>
      <c r="J631" s="7" t="str">
        <f aca="false">IF(G631&gt;=0,A631,"")</f>
        <v/>
      </c>
      <c r="K631" s="7" t="n">
        <f aca="false">IF(G631&lt;0,A631,0)</f>
        <v>626</v>
      </c>
    </row>
    <row r="632" customFormat="false" ht="15" hidden="false" customHeight="false" outlineLevel="0" collapsed="false">
      <c r="A632" s="7" t="n">
        <f aca="false">A631+1</f>
        <v>627</v>
      </c>
      <c r="B632" s="7" t="n">
        <f aca="false">MAX('Giả định'!$B$9,ROUNDUP(A632/'Giả định'!$B$7,0)+'Giả định'!$B$8)</f>
        <v>64</v>
      </c>
      <c r="C632" s="25" t="n">
        <f aca="false">('Chi phí'!$C$76+'Chi phí'!$D$76*B632+'Chi phí'!$E$76*A632+'Giả định'!$B$15*('Chi phí'!$F$76+'Chi phí'!$G$76*B632+'Chi phí'!$H$76*A632))*(1+'Giả định'!$B$16)</f>
        <v>668856980</v>
      </c>
      <c r="D632" s="25" t="n">
        <f aca="false">('Chi phí'!$C$77+'Chi phí'!$D$77*B632+'Chi phí'!$E$77*A632+'Giả định'!$B$15*('Chi phí'!$F$77+'Chi phí'!$G$77*B632+'Chi phí'!$H$77*A632))*(1+'Giả định'!$B$16)</f>
        <v>812461980</v>
      </c>
      <c r="E632" s="25" t="n">
        <f aca="false">A632/'Giả định'!$B$19*'Giả định'!$B$20+A632*'Giả định'!$B$23+'Giả định'!$B$24</f>
        <v>233412605.042017</v>
      </c>
      <c r="F632" s="25" t="n">
        <f aca="false">E632-D632</f>
        <v>-579049374.957983</v>
      </c>
      <c r="G632" s="25" t="n">
        <f aca="false">E632-C632</f>
        <v>-435444374.957983</v>
      </c>
      <c r="H632" s="7" t="str">
        <f aca="false">IF(F632&gt;=0,A632,"")</f>
        <v/>
      </c>
      <c r="I632" s="7" t="n">
        <f aca="false">IF(F632&lt;0,A632,0)</f>
        <v>627</v>
      </c>
      <c r="J632" s="7" t="str">
        <f aca="false">IF(G632&gt;=0,A632,"")</f>
        <v/>
      </c>
      <c r="K632" s="7" t="n">
        <f aca="false">IF(G632&lt;0,A632,0)</f>
        <v>627</v>
      </c>
    </row>
    <row r="633" customFormat="false" ht="15" hidden="false" customHeight="false" outlineLevel="0" collapsed="false">
      <c r="A633" s="7" t="n">
        <f aca="false">A632+1</f>
        <v>628</v>
      </c>
      <c r="B633" s="7" t="n">
        <f aca="false">MAX('Giả định'!$B$9,ROUNDUP(A633/'Giả định'!$B$7,0)+'Giả định'!$B$8)</f>
        <v>64</v>
      </c>
      <c r="C633" s="25" t="n">
        <f aca="false">('Chi phí'!$C$76+'Chi phí'!$D$76*B633+'Chi phí'!$E$76*A633+'Giả định'!$B$15*('Chi phí'!$F$76+'Chi phí'!$G$76*B633+'Chi phí'!$H$76*A633))*(1+'Giả định'!$B$16)</f>
        <v>668893720</v>
      </c>
      <c r="D633" s="25" t="n">
        <f aca="false">('Chi phí'!$C$77+'Chi phí'!$D$77*B633+'Chi phí'!$E$77*A633+'Giả định'!$B$15*('Chi phí'!$F$77+'Chi phí'!$G$77*B633+'Chi phí'!$H$77*A633))*(1+'Giả định'!$B$16)</f>
        <v>812498720</v>
      </c>
      <c r="E633" s="25" t="n">
        <f aca="false">A633/'Giả định'!$B$19*'Giả định'!$B$20+A633*'Giả định'!$B$23+'Giả định'!$B$24</f>
        <v>233784873.94958</v>
      </c>
      <c r="F633" s="25" t="n">
        <f aca="false">E633-D633</f>
        <v>-578713846.05042</v>
      </c>
      <c r="G633" s="25" t="n">
        <f aca="false">E633-C633</f>
        <v>-435108846.05042</v>
      </c>
      <c r="H633" s="7" t="str">
        <f aca="false">IF(F633&gt;=0,A633,"")</f>
        <v/>
      </c>
      <c r="I633" s="7" t="n">
        <f aca="false">IF(F633&lt;0,A633,0)</f>
        <v>628</v>
      </c>
      <c r="J633" s="7" t="str">
        <f aca="false">IF(G633&gt;=0,A633,"")</f>
        <v/>
      </c>
      <c r="K633" s="7" t="n">
        <f aca="false">IF(G633&lt;0,A633,0)</f>
        <v>628</v>
      </c>
    </row>
    <row r="634" customFormat="false" ht="15" hidden="false" customHeight="false" outlineLevel="0" collapsed="false">
      <c r="A634" s="7" t="n">
        <f aca="false">A633+1</f>
        <v>629</v>
      </c>
      <c r="B634" s="7" t="n">
        <f aca="false">MAX('Giả định'!$B$9,ROUNDUP(A634/'Giả định'!$B$7,0)+'Giả định'!$B$8)</f>
        <v>64</v>
      </c>
      <c r="C634" s="25" t="n">
        <f aca="false">('Chi phí'!$C$76+'Chi phí'!$D$76*B634+'Chi phí'!$E$76*A634+'Giả định'!$B$15*('Chi phí'!$F$76+'Chi phí'!$G$76*B634+'Chi phí'!$H$76*A634))*(1+'Giả định'!$B$16)</f>
        <v>668930460</v>
      </c>
      <c r="D634" s="25" t="n">
        <f aca="false">('Chi phí'!$C$77+'Chi phí'!$D$77*B634+'Chi phí'!$E$77*A634+'Giả định'!$B$15*('Chi phí'!$F$77+'Chi phí'!$G$77*B634+'Chi phí'!$H$77*A634))*(1+'Giả định'!$B$16)</f>
        <v>812535460</v>
      </c>
      <c r="E634" s="25" t="n">
        <f aca="false">A634/'Giả định'!$B$19*'Giả định'!$B$20+A634*'Giả định'!$B$23+'Giả định'!$B$24</f>
        <v>234157142.857143</v>
      </c>
      <c r="F634" s="25" t="n">
        <f aca="false">E634-D634</f>
        <v>-578378317.142857</v>
      </c>
      <c r="G634" s="25" t="n">
        <f aca="false">E634-C634</f>
        <v>-434773317.142857</v>
      </c>
      <c r="H634" s="7" t="str">
        <f aca="false">IF(F634&gt;=0,A634,"")</f>
        <v/>
      </c>
      <c r="I634" s="7" t="n">
        <f aca="false">IF(F634&lt;0,A634,0)</f>
        <v>629</v>
      </c>
      <c r="J634" s="7" t="str">
        <f aca="false">IF(G634&gt;=0,A634,"")</f>
        <v/>
      </c>
      <c r="K634" s="7" t="n">
        <f aca="false">IF(G634&lt;0,A634,0)</f>
        <v>629</v>
      </c>
    </row>
    <row r="635" customFormat="false" ht="15" hidden="false" customHeight="false" outlineLevel="0" collapsed="false">
      <c r="A635" s="7" t="n">
        <f aca="false">A634+1</f>
        <v>630</v>
      </c>
      <c r="B635" s="7" t="n">
        <f aca="false">MAX('Giả định'!$B$9,ROUNDUP(A635/'Giả định'!$B$7,0)+'Giả định'!$B$8)</f>
        <v>64</v>
      </c>
      <c r="C635" s="25" t="n">
        <f aca="false">('Chi phí'!$C$76+'Chi phí'!$D$76*B635+'Chi phí'!$E$76*A635+'Giả định'!$B$15*('Chi phí'!$F$76+'Chi phí'!$G$76*B635+'Chi phí'!$H$76*A635))*(1+'Giả định'!$B$16)</f>
        <v>668967200</v>
      </c>
      <c r="D635" s="25" t="n">
        <f aca="false">('Chi phí'!$C$77+'Chi phí'!$D$77*B635+'Chi phí'!$E$77*A635+'Giả định'!$B$15*('Chi phí'!$F$77+'Chi phí'!$G$77*B635+'Chi phí'!$H$77*A635))*(1+'Giả định'!$B$16)</f>
        <v>812572200</v>
      </c>
      <c r="E635" s="25" t="n">
        <f aca="false">A635/'Giả định'!$B$19*'Giả định'!$B$20+A635*'Giả định'!$B$23+'Giả định'!$B$24</f>
        <v>234529411.764706</v>
      </c>
      <c r="F635" s="25" t="n">
        <f aca="false">E635-D635</f>
        <v>-578042788.235294</v>
      </c>
      <c r="G635" s="25" t="n">
        <f aca="false">E635-C635</f>
        <v>-434437788.235294</v>
      </c>
      <c r="H635" s="7" t="str">
        <f aca="false">IF(F635&gt;=0,A635,"")</f>
        <v/>
      </c>
      <c r="I635" s="7" t="n">
        <f aca="false">IF(F635&lt;0,A635,0)</f>
        <v>630</v>
      </c>
      <c r="J635" s="7" t="str">
        <f aca="false">IF(G635&gt;=0,A635,"")</f>
        <v/>
      </c>
      <c r="K635" s="7" t="n">
        <f aca="false">IF(G635&lt;0,A635,0)</f>
        <v>630</v>
      </c>
    </row>
    <row r="636" customFormat="false" ht="15" hidden="false" customHeight="false" outlineLevel="0" collapsed="false">
      <c r="A636" s="7" t="n">
        <f aca="false">A635+1</f>
        <v>631</v>
      </c>
      <c r="B636" s="7" t="n">
        <f aca="false">MAX('Giả định'!$B$9,ROUNDUP(A636/'Giả định'!$B$7,0)+'Giả định'!$B$8)</f>
        <v>65</v>
      </c>
      <c r="C636" s="25" t="n">
        <f aca="false">('Chi phí'!$C$76+'Chi phí'!$D$76*B636+'Chi phí'!$E$76*A636+'Giả định'!$B$15*('Chi phí'!$F$76+'Chi phí'!$G$76*B636+'Chi phí'!$H$76*A636))*(1+'Giả định'!$B$16)</f>
        <v>678177940</v>
      </c>
      <c r="D636" s="25" t="n">
        <f aca="false">('Chi phí'!$C$77+'Chi phí'!$D$77*B636+'Chi phí'!$E$77*A636+'Giả định'!$B$15*('Chi phí'!$F$77+'Chi phí'!$G$77*B636+'Chi phí'!$H$77*A636))*(1+'Giả định'!$B$16)</f>
        <v>821782940</v>
      </c>
      <c r="E636" s="25" t="n">
        <f aca="false">A636/'Giả định'!$B$19*'Giả định'!$B$20+A636*'Giả định'!$B$23+'Giả định'!$B$24</f>
        <v>234901680.672269</v>
      </c>
      <c r="F636" s="25" t="n">
        <f aca="false">E636-D636</f>
        <v>-586881259.327731</v>
      </c>
      <c r="G636" s="25" t="n">
        <f aca="false">E636-C636</f>
        <v>-443276259.327731</v>
      </c>
      <c r="H636" s="7" t="str">
        <f aca="false">IF(F636&gt;=0,A636,"")</f>
        <v/>
      </c>
      <c r="I636" s="7" t="n">
        <f aca="false">IF(F636&lt;0,A636,0)</f>
        <v>631</v>
      </c>
      <c r="J636" s="7" t="str">
        <f aca="false">IF(G636&gt;=0,A636,"")</f>
        <v/>
      </c>
      <c r="K636" s="7" t="n">
        <f aca="false">IF(G636&lt;0,A636,0)</f>
        <v>631</v>
      </c>
    </row>
    <row r="637" customFormat="false" ht="15" hidden="false" customHeight="false" outlineLevel="0" collapsed="false">
      <c r="A637" s="7" t="n">
        <f aca="false">A636+1</f>
        <v>632</v>
      </c>
      <c r="B637" s="7" t="n">
        <f aca="false">MAX('Giả định'!$B$9,ROUNDUP(A637/'Giả định'!$B$7,0)+'Giả định'!$B$8)</f>
        <v>65</v>
      </c>
      <c r="C637" s="25" t="n">
        <f aca="false">('Chi phí'!$C$76+'Chi phí'!$D$76*B637+'Chi phí'!$E$76*A637+'Giả định'!$B$15*('Chi phí'!$F$76+'Chi phí'!$G$76*B637+'Chi phí'!$H$76*A637))*(1+'Giả định'!$B$16)</f>
        <v>678214680</v>
      </c>
      <c r="D637" s="25" t="n">
        <f aca="false">('Chi phí'!$C$77+'Chi phí'!$D$77*B637+'Chi phí'!$E$77*A637+'Giả định'!$B$15*('Chi phí'!$F$77+'Chi phí'!$G$77*B637+'Chi phí'!$H$77*A637))*(1+'Giả định'!$B$16)</f>
        <v>821819680</v>
      </c>
      <c r="E637" s="25" t="n">
        <f aca="false">A637/'Giả định'!$B$19*'Giả định'!$B$20+A637*'Giả định'!$B$23+'Giả định'!$B$24</f>
        <v>235273949.579832</v>
      </c>
      <c r="F637" s="25" t="n">
        <f aca="false">E637-D637</f>
        <v>-586545730.420168</v>
      </c>
      <c r="G637" s="25" t="n">
        <f aca="false">E637-C637</f>
        <v>-442940730.420168</v>
      </c>
      <c r="H637" s="7" t="str">
        <f aca="false">IF(F637&gt;=0,A637,"")</f>
        <v/>
      </c>
      <c r="I637" s="7" t="n">
        <f aca="false">IF(F637&lt;0,A637,0)</f>
        <v>632</v>
      </c>
      <c r="J637" s="7" t="str">
        <f aca="false">IF(G637&gt;=0,A637,"")</f>
        <v/>
      </c>
      <c r="K637" s="7" t="n">
        <f aca="false">IF(G637&lt;0,A637,0)</f>
        <v>632</v>
      </c>
    </row>
    <row r="638" customFormat="false" ht="15" hidden="false" customHeight="false" outlineLevel="0" collapsed="false">
      <c r="A638" s="7" t="n">
        <f aca="false">A637+1</f>
        <v>633</v>
      </c>
      <c r="B638" s="7" t="n">
        <f aca="false">MAX('Giả định'!$B$9,ROUNDUP(A638/'Giả định'!$B$7,0)+'Giả định'!$B$8)</f>
        <v>65</v>
      </c>
      <c r="C638" s="25" t="n">
        <f aca="false">('Chi phí'!$C$76+'Chi phí'!$D$76*B638+'Chi phí'!$E$76*A638+'Giả định'!$B$15*('Chi phí'!$F$76+'Chi phí'!$G$76*B638+'Chi phí'!$H$76*A638))*(1+'Giả định'!$B$16)</f>
        <v>678251420</v>
      </c>
      <c r="D638" s="25" t="n">
        <f aca="false">('Chi phí'!$C$77+'Chi phí'!$D$77*B638+'Chi phí'!$E$77*A638+'Giả định'!$B$15*('Chi phí'!$F$77+'Chi phí'!$G$77*B638+'Chi phí'!$H$77*A638))*(1+'Giả định'!$B$16)</f>
        <v>821856420</v>
      </c>
      <c r="E638" s="25" t="n">
        <f aca="false">A638/'Giả định'!$B$19*'Giả định'!$B$20+A638*'Giả định'!$B$23+'Giả định'!$B$24</f>
        <v>235646218.487395</v>
      </c>
      <c r="F638" s="25" t="n">
        <f aca="false">E638-D638</f>
        <v>-586210201.512605</v>
      </c>
      <c r="G638" s="25" t="n">
        <f aca="false">E638-C638</f>
        <v>-442605201.512605</v>
      </c>
      <c r="H638" s="7" t="str">
        <f aca="false">IF(F638&gt;=0,A638,"")</f>
        <v/>
      </c>
      <c r="I638" s="7" t="n">
        <f aca="false">IF(F638&lt;0,A638,0)</f>
        <v>633</v>
      </c>
      <c r="J638" s="7" t="str">
        <f aca="false">IF(G638&gt;=0,A638,"")</f>
        <v/>
      </c>
      <c r="K638" s="7" t="n">
        <f aca="false">IF(G638&lt;0,A638,0)</f>
        <v>633</v>
      </c>
    </row>
    <row r="639" customFormat="false" ht="15" hidden="false" customHeight="false" outlineLevel="0" collapsed="false">
      <c r="A639" s="7" t="n">
        <f aca="false">A638+1</f>
        <v>634</v>
      </c>
      <c r="B639" s="7" t="n">
        <f aca="false">MAX('Giả định'!$B$9,ROUNDUP(A639/'Giả định'!$B$7,0)+'Giả định'!$B$8)</f>
        <v>65</v>
      </c>
      <c r="C639" s="25" t="n">
        <f aca="false">('Chi phí'!$C$76+'Chi phí'!$D$76*B639+'Chi phí'!$E$76*A639+'Giả định'!$B$15*('Chi phí'!$F$76+'Chi phí'!$G$76*B639+'Chi phí'!$H$76*A639))*(1+'Giả định'!$B$16)</f>
        <v>678288160</v>
      </c>
      <c r="D639" s="25" t="n">
        <f aca="false">('Chi phí'!$C$77+'Chi phí'!$D$77*B639+'Chi phí'!$E$77*A639+'Giả định'!$B$15*('Chi phí'!$F$77+'Chi phí'!$G$77*B639+'Chi phí'!$H$77*A639))*(1+'Giả định'!$B$16)</f>
        <v>821893160</v>
      </c>
      <c r="E639" s="25" t="n">
        <f aca="false">A639/'Giả định'!$B$19*'Giả định'!$B$20+A639*'Giả định'!$B$23+'Giả định'!$B$24</f>
        <v>236018487.394958</v>
      </c>
      <c r="F639" s="25" t="n">
        <f aca="false">E639-D639</f>
        <v>-585874672.605042</v>
      </c>
      <c r="G639" s="25" t="n">
        <f aca="false">E639-C639</f>
        <v>-442269672.605042</v>
      </c>
      <c r="H639" s="7" t="str">
        <f aca="false">IF(F639&gt;=0,A639,"")</f>
        <v/>
      </c>
      <c r="I639" s="7" t="n">
        <f aca="false">IF(F639&lt;0,A639,0)</f>
        <v>634</v>
      </c>
      <c r="J639" s="7" t="str">
        <f aca="false">IF(G639&gt;=0,A639,"")</f>
        <v/>
      </c>
      <c r="K639" s="7" t="n">
        <f aca="false">IF(G639&lt;0,A639,0)</f>
        <v>634</v>
      </c>
    </row>
    <row r="640" customFormat="false" ht="15" hidden="false" customHeight="false" outlineLevel="0" collapsed="false">
      <c r="A640" s="7" t="n">
        <f aca="false">A639+1</f>
        <v>635</v>
      </c>
      <c r="B640" s="7" t="n">
        <f aca="false">MAX('Giả định'!$B$9,ROUNDUP(A640/'Giả định'!$B$7,0)+'Giả định'!$B$8)</f>
        <v>65</v>
      </c>
      <c r="C640" s="25" t="n">
        <f aca="false">('Chi phí'!$C$76+'Chi phí'!$D$76*B640+'Chi phí'!$E$76*A640+'Giả định'!$B$15*('Chi phí'!$F$76+'Chi phí'!$G$76*B640+'Chi phí'!$H$76*A640))*(1+'Giả định'!$B$16)</f>
        <v>678324900</v>
      </c>
      <c r="D640" s="25" t="n">
        <f aca="false">('Chi phí'!$C$77+'Chi phí'!$D$77*B640+'Chi phí'!$E$77*A640+'Giả định'!$B$15*('Chi phí'!$F$77+'Chi phí'!$G$77*B640+'Chi phí'!$H$77*A640))*(1+'Giả định'!$B$16)</f>
        <v>821929900</v>
      </c>
      <c r="E640" s="25" t="n">
        <f aca="false">A640/'Giả định'!$B$19*'Giả định'!$B$20+A640*'Giả định'!$B$23+'Giả định'!$B$24</f>
        <v>236390756.302521</v>
      </c>
      <c r="F640" s="25" t="n">
        <f aca="false">E640-D640</f>
        <v>-585539143.697479</v>
      </c>
      <c r="G640" s="25" t="n">
        <f aca="false">E640-C640</f>
        <v>-441934143.697479</v>
      </c>
      <c r="H640" s="7" t="str">
        <f aca="false">IF(F640&gt;=0,A640,"")</f>
        <v/>
      </c>
      <c r="I640" s="7" t="n">
        <f aca="false">IF(F640&lt;0,A640,0)</f>
        <v>635</v>
      </c>
      <c r="J640" s="7" t="str">
        <f aca="false">IF(G640&gt;=0,A640,"")</f>
        <v/>
      </c>
      <c r="K640" s="7" t="n">
        <f aca="false">IF(G640&lt;0,A640,0)</f>
        <v>635</v>
      </c>
    </row>
    <row r="641" customFormat="false" ht="15" hidden="false" customHeight="false" outlineLevel="0" collapsed="false">
      <c r="A641" s="7" t="n">
        <f aca="false">A640+1</f>
        <v>636</v>
      </c>
      <c r="B641" s="7" t="n">
        <f aca="false">MAX('Giả định'!$B$9,ROUNDUP(A641/'Giả định'!$B$7,0)+'Giả định'!$B$8)</f>
        <v>65</v>
      </c>
      <c r="C641" s="25" t="n">
        <f aca="false">('Chi phí'!$C$76+'Chi phí'!$D$76*B641+'Chi phí'!$E$76*A641+'Giả định'!$B$15*('Chi phí'!$F$76+'Chi phí'!$G$76*B641+'Chi phí'!$H$76*A641))*(1+'Giả định'!$B$16)</f>
        <v>678361640</v>
      </c>
      <c r="D641" s="25" t="n">
        <f aca="false">('Chi phí'!$C$77+'Chi phí'!$D$77*B641+'Chi phí'!$E$77*A641+'Giả định'!$B$15*('Chi phí'!$F$77+'Chi phí'!$G$77*B641+'Chi phí'!$H$77*A641))*(1+'Giả định'!$B$16)</f>
        <v>821966640</v>
      </c>
      <c r="E641" s="25" t="n">
        <f aca="false">A641/'Giả định'!$B$19*'Giả định'!$B$20+A641*'Giả định'!$B$23+'Giả định'!$B$24</f>
        <v>236763025.210084</v>
      </c>
      <c r="F641" s="25" t="n">
        <f aca="false">E641-D641</f>
        <v>-585203614.789916</v>
      </c>
      <c r="G641" s="25" t="n">
        <f aca="false">E641-C641</f>
        <v>-441598614.789916</v>
      </c>
      <c r="H641" s="7" t="str">
        <f aca="false">IF(F641&gt;=0,A641,"")</f>
        <v/>
      </c>
      <c r="I641" s="7" t="n">
        <f aca="false">IF(F641&lt;0,A641,0)</f>
        <v>636</v>
      </c>
      <c r="J641" s="7" t="str">
        <f aca="false">IF(G641&gt;=0,A641,"")</f>
        <v/>
      </c>
      <c r="K641" s="7" t="n">
        <f aca="false">IF(G641&lt;0,A641,0)</f>
        <v>636</v>
      </c>
    </row>
    <row r="642" customFormat="false" ht="15" hidden="false" customHeight="false" outlineLevel="0" collapsed="false">
      <c r="A642" s="7" t="n">
        <f aca="false">A641+1</f>
        <v>637</v>
      </c>
      <c r="B642" s="7" t="n">
        <f aca="false">MAX('Giả định'!$B$9,ROUNDUP(A642/'Giả định'!$B$7,0)+'Giả định'!$B$8)</f>
        <v>65</v>
      </c>
      <c r="C642" s="25" t="n">
        <f aca="false">('Chi phí'!$C$76+'Chi phí'!$D$76*B642+'Chi phí'!$E$76*A642+'Giả định'!$B$15*('Chi phí'!$F$76+'Chi phí'!$G$76*B642+'Chi phí'!$H$76*A642))*(1+'Giả định'!$B$16)</f>
        <v>678398380</v>
      </c>
      <c r="D642" s="25" t="n">
        <f aca="false">('Chi phí'!$C$77+'Chi phí'!$D$77*B642+'Chi phí'!$E$77*A642+'Giả định'!$B$15*('Chi phí'!$F$77+'Chi phí'!$G$77*B642+'Chi phí'!$H$77*A642))*(1+'Giả định'!$B$16)</f>
        <v>822003380</v>
      </c>
      <c r="E642" s="25" t="n">
        <f aca="false">A642/'Giả định'!$B$19*'Giả định'!$B$20+A642*'Giả định'!$B$23+'Giả định'!$B$24</f>
        <v>237135294.117647</v>
      </c>
      <c r="F642" s="25" t="n">
        <f aca="false">E642-D642</f>
        <v>-584868085.882353</v>
      </c>
      <c r="G642" s="25" t="n">
        <f aca="false">E642-C642</f>
        <v>-441263085.882353</v>
      </c>
      <c r="H642" s="7" t="str">
        <f aca="false">IF(F642&gt;=0,A642,"")</f>
        <v/>
      </c>
      <c r="I642" s="7" t="n">
        <f aca="false">IF(F642&lt;0,A642,0)</f>
        <v>637</v>
      </c>
      <c r="J642" s="7" t="str">
        <f aca="false">IF(G642&gt;=0,A642,"")</f>
        <v/>
      </c>
      <c r="K642" s="7" t="n">
        <f aca="false">IF(G642&lt;0,A642,0)</f>
        <v>637</v>
      </c>
    </row>
    <row r="643" customFormat="false" ht="15" hidden="false" customHeight="false" outlineLevel="0" collapsed="false">
      <c r="A643" s="7" t="n">
        <f aca="false">A642+1</f>
        <v>638</v>
      </c>
      <c r="B643" s="7" t="n">
        <f aca="false">MAX('Giả định'!$B$9,ROUNDUP(A643/'Giả định'!$B$7,0)+'Giả định'!$B$8)</f>
        <v>65</v>
      </c>
      <c r="C643" s="25" t="n">
        <f aca="false">('Chi phí'!$C$76+'Chi phí'!$D$76*B643+'Chi phí'!$E$76*A643+'Giả định'!$B$15*('Chi phí'!$F$76+'Chi phí'!$G$76*B643+'Chi phí'!$H$76*A643))*(1+'Giả định'!$B$16)</f>
        <v>678435120</v>
      </c>
      <c r="D643" s="25" t="n">
        <f aca="false">('Chi phí'!$C$77+'Chi phí'!$D$77*B643+'Chi phí'!$E$77*A643+'Giả định'!$B$15*('Chi phí'!$F$77+'Chi phí'!$G$77*B643+'Chi phí'!$H$77*A643))*(1+'Giả định'!$B$16)</f>
        <v>822040120</v>
      </c>
      <c r="E643" s="25" t="n">
        <f aca="false">A643/'Giả định'!$B$19*'Giả định'!$B$20+A643*'Giả định'!$B$23+'Giả định'!$B$24</f>
        <v>237507563.02521</v>
      </c>
      <c r="F643" s="25" t="n">
        <f aca="false">E643-D643</f>
        <v>-584532556.97479</v>
      </c>
      <c r="G643" s="25" t="n">
        <f aca="false">E643-C643</f>
        <v>-440927556.97479</v>
      </c>
      <c r="H643" s="7" t="str">
        <f aca="false">IF(F643&gt;=0,A643,"")</f>
        <v/>
      </c>
      <c r="I643" s="7" t="n">
        <f aca="false">IF(F643&lt;0,A643,0)</f>
        <v>638</v>
      </c>
      <c r="J643" s="7" t="str">
        <f aca="false">IF(G643&gt;=0,A643,"")</f>
        <v/>
      </c>
      <c r="K643" s="7" t="n">
        <f aca="false">IF(G643&lt;0,A643,0)</f>
        <v>638</v>
      </c>
    </row>
    <row r="644" customFormat="false" ht="15" hidden="false" customHeight="false" outlineLevel="0" collapsed="false">
      <c r="A644" s="7" t="n">
        <f aca="false">A643+1</f>
        <v>639</v>
      </c>
      <c r="B644" s="7" t="n">
        <f aca="false">MAX('Giả định'!$B$9,ROUNDUP(A644/'Giả định'!$B$7,0)+'Giả định'!$B$8)</f>
        <v>65</v>
      </c>
      <c r="C644" s="25" t="n">
        <f aca="false">('Chi phí'!$C$76+'Chi phí'!$D$76*B644+'Chi phí'!$E$76*A644+'Giả định'!$B$15*('Chi phí'!$F$76+'Chi phí'!$G$76*B644+'Chi phí'!$H$76*A644))*(1+'Giả định'!$B$16)</f>
        <v>678471860</v>
      </c>
      <c r="D644" s="25" t="n">
        <f aca="false">('Chi phí'!$C$77+'Chi phí'!$D$77*B644+'Chi phí'!$E$77*A644+'Giả định'!$B$15*('Chi phí'!$F$77+'Chi phí'!$G$77*B644+'Chi phí'!$H$77*A644))*(1+'Giả định'!$B$16)</f>
        <v>822076860</v>
      </c>
      <c r="E644" s="25" t="n">
        <f aca="false">A644/'Giả định'!$B$19*'Giả định'!$B$20+A644*'Giả định'!$B$23+'Giả định'!$B$24</f>
        <v>237879831.932773</v>
      </c>
      <c r="F644" s="25" t="n">
        <f aca="false">E644-D644</f>
        <v>-584197028.067227</v>
      </c>
      <c r="G644" s="25" t="n">
        <f aca="false">E644-C644</f>
        <v>-440592028.067227</v>
      </c>
      <c r="H644" s="7" t="str">
        <f aca="false">IF(F644&gt;=0,A644,"")</f>
        <v/>
      </c>
      <c r="I644" s="7" t="n">
        <f aca="false">IF(F644&lt;0,A644,0)</f>
        <v>639</v>
      </c>
      <c r="J644" s="7" t="str">
        <f aca="false">IF(G644&gt;=0,A644,"")</f>
        <v/>
      </c>
      <c r="K644" s="7" t="n">
        <f aca="false">IF(G644&lt;0,A644,0)</f>
        <v>639</v>
      </c>
    </row>
    <row r="645" customFormat="false" ht="15" hidden="false" customHeight="false" outlineLevel="0" collapsed="false">
      <c r="A645" s="7" t="n">
        <f aca="false">A644+1</f>
        <v>640</v>
      </c>
      <c r="B645" s="7" t="n">
        <f aca="false">MAX('Giả định'!$B$9,ROUNDUP(A645/'Giả định'!$B$7,0)+'Giả định'!$B$8)</f>
        <v>65</v>
      </c>
      <c r="C645" s="25" t="n">
        <f aca="false">('Chi phí'!$C$76+'Chi phí'!$D$76*B645+'Chi phí'!$E$76*A645+'Giả định'!$B$15*('Chi phí'!$F$76+'Chi phí'!$G$76*B645+'Chi phí'!$H$76*A645))*(1+'Giả định'!$B$16)</f>
        <v>678508600</v>
      </c>
      <c r="D645" s="25" t="n">
        <f aca="false">('Chi phí'!$C$77+'Chi phí'!$D$77*B645+'Chi phí'!$E$77*A645+'Giả định'!$B$15*('Chi phí'!$F$77+'Chi phí'!$G$77*B645+'Chi phí'!$H$77*A645))*(1+'Giả định'!$B$16)</f>
        <v>822113600</v>
      </c>
      <c r="E645" s="25" t="n">
        <f aca="false">A645/'Giả định'!$B$19*'Giả định'!$B$20+A645*'Giả định'!$B$23+'Giả định'!$B$24</f>
        <v>238252100.840336</v>
      </c>
      <c r="F645" s="25" t="n">
        <f aca="false">E645-D645</f>
        <v>-583861499.159664</v>
      </c>
      <c r="G645" s="25" t="n">
        <f aca="false">E645-C645</f>
        <v>-440256499.159664</v>
      </c>
      <c r="H645" s="7" t="str">
        <f aca="false">IF(F645&gt;=0,A645,"")</f>
        <v/>
      </c>
      <c r="I645" s="7" t="n">
        <f aca="false">IF(F645&lt;0,A645,0)</f>
        <v>640</v>
      </c>
      <c r="J645" s="7" t="str">
        <f aca="false">IF(G645&gt;=0,A645,"")</f>
        <v/>
      </c>
      <c r="K645" s="7" t="n">
        <f aca="false">IF(G645&lt;0,A645,0)</f>
        <v>640</v>
      </c>
    </row>
    <row r="646" customFormat="false" ht="15" hidden="false" customHeight="false" outlineLevel="0" collapsed="false">
      <c r="A646" s="7" t="n">
        <f aca="false">A645+1</f>
        <v>641</v>
      </c>
      <c r="B646" s="7" t="n">
        <f aca="false">MAX('Giả định'!$B$9,ROUNDUP(A646/'Giả định'!$B$7,0)+'Giả định'!$B$8)</f>
        <v>66</v>
      </c>
      <c r="C646" s="25" t="n">
        <f aca="false">('Chi phí'!$C$76+'Chi phí'!$D$76*B646+'Chi phí'!$E$76*A646+'Giả định'!$B$15*('Chi phí'!$F$76+'Chi phí'!$G$76*B646+'Chi phí'!$H$76*A646))*(1+'Giả định'!$B$16)</f>
        <v>687719340</v>
      </c>
      <c r="D646" s="25" t="n">
        <f aca="false">('Chi phí'!$C$77+'Chi phí'!$D$77*B646+'Chi phí'!$E$77*A646+'Giả định'!$B$15*('Chi phí'!$F$77+'Chi phí'!$G$77*B646+'Chi phí'!$H$77*A646))*(1+'Giả định'!$B$16)</f>
        <v>831324340</v>
      </c>
      <c r="E646" s="25" t="n">
        <f aca="false">A646/'Giả định'!$B$19*'Giả định'!$B$20+A646*'Giả định'!$B$23+'Giả định'!$B$24</f>
        <v>238624369.747899</v>
      </c>
      <c r="F646" s="25" t="n">
        <f aca="false">E646-D646</f>
        <v>-592699970.252101</v>
      </c>
      <c r="G646" s="25" t="n">
        <f aca="false">E646-C646</f>
        <v>-449094970.252101</v>
      </c>
      <c r="H646" s="7" t="str">
        <f aca="false">IF(F646&gt;=0,A646,"")</f>
        <v/>
      </c>
      <c r="I646" s="7" t="n">
        <f aca="false">IF(F646&lt;0,A646,0)</f>
        <v>641</v>
      </c>
      <c r="J646" s="7" t="str">
        <f aca="false">IF(G646&gt;=0,A646,"")</f>
        <v/>
      </c>
      <c r="K646" s="7" t="n">
        <f aca="false">IF(G646&lt;0,A646,0)</f>
        <v>641</v>
      </c>
    </row>
    <row r="647" customFormat="false" ht="15" hidden="false" customHeight="false" outlineLevel="0" collapsed="false">
      <c r="A647" s="7" t="n">
        <f aca="false">A646+1</f>
        <v>642</v>
      </c>
      <c r="B647" s="7" t="n">
        <f aca="false">MAX('Giả định'!$B$9,ROUNDUP(A647/'Giả định'!$B$7,0)+'Giả định'!$B$8)</f>
        <v>66</v>
      </c>
      <c r="C647" s="25" t="n">
        <f aca="false">('Chi phí'!$C$76+'Chi phí'!$D$76*B647+'Chi phí'!$E$76*A647+'Giả định'!$B$15*('Chi phí'!$F$76+'Chi phí'!$G$76*B647+'Chi phí'!$H$76*A647))*(1+'Giả định'!$B$16)</f>
        <v>687756080</v>
      </c>
      <c r="D647" s="25" t="n">
        <f aca="false">('Chi phí'!$C$77+'Chi phí'!$D$77*B647+'Chi phí'!$E$77*A647+'Giả định'!$B$15*('Chi phí'!$F$77+'Chi phí'!$G$77*B647+'Chi phí'!$H$77*A647))*(1+'Giả định'!$B$16)</f>
        <v>831361080</v>
      </c>
      <c r="E647" s="25" t="n">
        <f aca="false">A647/'Giả định'!$B$19*'Giả định'!$B$20+A647*'Giả định'!$B$23+'Giả định'!$B$24</f>
        <v>238996638.655462</v>
      </c>
      <c r="F647" s="25" t="n">
        <f aca="false">E647-D647</f>
        <v>-592364441.344538</v>
      </c>
      <c r="G647" s="25" t="n">
        <f aca="false">E647-C647</f>
        <v>-448759441.344538</v>
      </c>
      <c r="H647" s="7" t="str">
        <f aca="false">IF(F647&gt;=0,A647,"")</f>
        <v/>
      </c>
      <c r="I647" s="7" t="n">
        <f aca="false">IF(F647&lt;0,A647,0)</f>
        <v>642</v>
      </c>
      <c r="J647" s="7" t="str">
        <f aca="false">IF(G647&gt;=0,A647,"")</f>
        <v/>
      </c>
      <c r="K647" s="7" t="n">
        <f aca="false">IF(G647&lt;0,A647,0)</f>
        <v>642</v>
      </c>
    </row>
    <row r="648" customFormat="false" ht="15" hidden="false" customHeight="false" outlineLevel="0" collapsed="false">
      <c r="A648" s="7" t="n">
        <f aca="false">A647+1</f>
        <v>643</v>
      </c>
      <c r="B648" s="7" t="n">
        <f aca="false">MAX('Giả định'!$B$9,ROUNDUP(A648/'Giả định'!$B$7,0)+'Giả định'!$B$8)</f>
        <v>66</v>
      </c>
      <c r="C648" s="25" t="n">
        <f aca="false">('Chi phí'!$C$76+'Chi phí'!$D$76*B648+'Chi phí'!$E$76*A648+'Giả định'!$B$15*('Chi phí'!$F$76+'Chi phí'!$G$76*B648+'Chi phí'!$H$76*A648))*(1+'Giả định'!$B$16)</f>
        <v>687792820</v>
      </c>
      <c r="D648" s="25" t="n">
        <f aca="false">('Chi phí'!$C$77+'Chi phí'!$D$77*B648+'Chi phí'!$E$77*A648+'Giả định'!$B$15*('Chi phí'!$F$77+'Chi phí'!$G$77*B648+'Chi phí'!$H$77*A648))*(1+'Giả định'!$B$16)</f>
        <v>831397820</v>
      </c>
      <c r="E648" s="25" t="n">
        <f aca="false">A648/'Giả định'!$B$19*'Giả định'!$B$20+A648*'Giả định'!$B$23+'Giả định'!$B$24</f>
        <v>239368907.563025</v>
      </c>
      <c r="F648" s="25" t="n">
        <f aca="false">E648-D648</f>
        <v>-592028912.436975</v>
      </c>
      <c r="G648" s="25" t="n">
        <f aca="false">E648-C648</f>
        <v>-448423912.436975</v>
      </c>
      <c r="H648" s="7" t="str">
        <f aca="false">IF(F648&gt;=0,A648,"")</f>
        <v/>
      </c>
      <c r="I648" s="7" t="n">
        <f aca="false">IF(F648&lt;0,A648,0)</f>
        <v>643</v>
      </c>
      <c r="J648" s="7" t="str">
        <f aca="false">IF(G648&gt;=0,A648,"")</f>
        <v/>
      </c>
      <c r="K648" s="7" t="n">
        <f aca="false">IF(G648&lt;0,A648,0)</f>
        <v>643</v>
      </c>
    </row>
    <row r="649" customFormat="false" ht="15" hidden="false" customHeight="false" outlineLevel="0" collapsed="false">
      <c r="A649" s="7" t="n">
        <f aca="false">A648+1</f>
        <v>644</v>
      </c>
      <c r="B649" s="7" t="n">
        <f aca="false">MAX('Giả định'!$B$9,ROUNDUP(A649/'Giả định'!$B$7,0)+'Giả định'!$B$8)</f>
        <v>66</v>
      </c>
      <c r="C649" s="25" t="n">
        <f aca="false">('Chi phí'!$C$76+'Chi phí'!$D$76*B649+'Chi phí'!$E$76*A649+'Giả định'!$B$15*('Chi phí'!$F$76+'Chi phí'!$G$76*B649+'Chi phí'!$H$76*A649))*(1+'Giả định'!$B$16)</f>
        <v>687829560</v>
      </c>
      <c r="D649" s="25" t="n">
        <f aca="false">('Chi phí'!$C$77+'Chi phí'!$D$77*B649+'Chi phí'!$E$77*A649+'Giả định'!$B$15*('Chi phí'!$F$77+'Chi phí'!$G$77*B649+'Chi phí'!$H$77*A649))*(1+'Giả định'!$B$16)</f>
        <v>831434560</v>
      </c>
      <c r="E649" s="25" t="n">
        <f aca="false">A649/'Giả định'!$B$19*'Giả định'!$B$20+A649*'Giả định'!$B$23+'Giả định'!$B$24</f>
        <v>239741176.470588</v>
      </c>
      <c r="F649" s="25" t="n">
        <f aca="false">E649-D649</f>
        <v>-591693383.529412</v>
      </c>
      <c r="G649" s="25" t="n">
        <f aca="false">E649-C649</f>
        <v>-448088383.529412</v>
      </c>
      <c r="H649" s="7" t="str">
        <f aca="false">IF(F649&gt;=0,A649,"")</f>
        <v/>
      </c>
      <c r="I649" s="7" t="n">
        <f aca="false">IF(F649&lt;0,A649,0)</f>
        <v>644</v>
      </c>
      <c r="J649" s="7" t="str">
        <f aca="false">IF(G649&gt;=0,A649,"")</f>
        <v/>
      </c>
      <c r="K649" s="7" t="n">
        <f aca="false">IF(G649&lt;0,A649,0)</f>
        <v>644</v>
      </c>
    </row>
    <row r="650" customFormat="false" ht="15" hidden="false" customHeight="false" outlineLevel="0" collapsed="false">
      <c r="A650" s="7" t="n">
        <f aca="false">A649+1</f>
        <v>645</v>
      </c>
      <c r="B650" s="7" t="n">
        <f aca="false">MAX('Giả định'!$B$9,ROUNDUP(A650/'Giả định'!$B$7,0)+'Giả định'!$B$8)</f>
        <v>66</v>
      </c>
      <c r="C650" s="25" t="n">
        <f aca="false">('Chi phí'!$C$76+'Chi phí'!$D$76*B650+'Chi phí'!$E$76*A650+'Giả định'!$B$15*('Chi phí'!$F$76+'Chi phí'!$G$76*B650+'Chi phí'!$H$76*A650))*(1+'Giả định'!$B$16)</f>
        <v>687866300</v>
      </c>
      <c r="D650" s="25" t="n">
        <f aca="false">('Chi phí'!$C$77+'Chi phí'!$D$77*B650+'Chi phí'!$E$77*A650+'Giả định'!$B$15*('Chi phí'!$F$77+'Chi phí'!$G$77*B650+'Chi phí'!$H$77*A650))*(1+'Giả định'!$B$16)</f>
        <v>831471300</v>
      </c>
      <c r="E650" s="25" t="n">
        <f aca="false">A650/'Giả định'!$B$19*'Giả định'!$B$20+A650*'Giả định'!$B$23+'Giả định'!$B$24</f>
        <v>240113445.378151</v>
      </c>
      <c r="F650" s="25" t="n">
        <f aca="false">E650-D650</f>
        <v>-591357854.621849</v>
      </c>
      <c r="G650" s="25" t="n">
        <f aca="false">E650-C650</f>
        <v>-447752854.621849</v>
      </c>
      <c r="H650" s="7" t="str">
        <f aca="false">IF(F650&gt;=0,A650,"")</f>
        <v/>
      </c>
      <c r="I650" s="7" t="n">
        <f aca="false">IF(F650&lt;0,A650,0)</f>
        <v>645</v>
      </c>
      <c r="J650" s="7" t="str">
        <f aca="false">IF(G650&gt;=0,A650,"")</f>
        <v/>
      </c>
      <c r="K650" s="7" t="n">
        <f aca="false">IF(G650&lt;0,A650,0)</f>
        <v>645</v>
      </c>
    </row>
    <row r="651" customFormat="false" ht="15" hidden="false" customHeight="false" outlineLevel="0" collapsed="false">
      <c r="A651" s="7" t="n">
        <f aca="false">A650+1</f>
        <v>646</v>
      </c>
      <c r="B651" s="7" t="n">
        <f aca="false">MAX('Giả định'!$B$9,ROUNDUP(A651/'Giả định'!$B$7,0)+'Giả định'!$B$8)</f>
        <v>66</v>
      </c>
      <c r="C651" s="25" t="n">
        <f aca="false">('Chi phí'!$C$76+'Chi phí'!$D$76*B651+'Chi phí'!$E$76*A651+'Giả định'!$B$15*('Chi phí'!$F$76+'Chi phí'!$G$76*B651+'Chi phí'!$H$76*A651))*(1+'Giả định'!$B$16)</f>
        <v>687903040</v>
      </c>
      <c r="D651" s="25" t="n">
        <f aca="false">('Chi phí'!$C$77+'Chi phí'!$D$77*B651+'Chi phí'!$E$77*A651+'Giả định'!$B$15*('Chi phí'!$F$77+'Chi phí'!$G$77*B651+'Chi phí'!$H$77*A651))*(1+'Giả định'!$B$16)</f>
        <v>831508040</v>
      </c>
      <c r="E651" s="25" t="n">
        <f aca="false">A651/'Giả định'!$B$19*'Giả định'!$B$20+A651*'Giả định'!$B$23+'Giả định'!$B$24</f>
        <v>240485714.285714</v>
      </c>
      <c r="F651" s="25" t="n">
        <f aca="false">E651-D651</f>
        <v>-591022325.714286</v>
      </c>
      <c r="G651" s="25" t="n">
        <f aca="false">E651-C651</f>
        <v>-447417325.714286</v>
      </c>
      <c r="H651" s="7" t="str">
        <f aca="false">IF(F651&gt;=0,A651,"")</f>
        <v/>
      </c>
      <c r="I651" s="7" t="n">
        <f aca="false">IF(F651&lt;0,A651,0)</f>
        <v>646</v>
      </c>
      <c r="J651" s="7" t="str">
        <f aca="false">IF(G651&gt;=0,A651,"")</f>
        <v/>
      </c>
      <c r="K651" s="7" t="n">
        <f aca="false">IF(G651&lt;0,A651,0)</f>
        <v>646</v>
      </c>
    </row>
    <row r="652" customFormat="false" ht="15" hidden="false" customHeight="false" outlineLevel="0" collapsed="false">
      <c r="A652" s="7" t="n">
        <f aca="false">A651+1</f>
        <v>647</v>
      </c>
      <c r="B652" s="7" t="n">
        <f aca="false">MAX('Giả định'!$B$9,ROUNDUP(A652/'Giả định'!$B$7,0)+'Giả định'!$B$8)</f>
        <v>66</v>
      </c>
      <c r="C652" s="25" t="n">
        <f aca="false">('Chi phí'!$C$76+'Chi phí'!$D$76*B652+'Chi phí'!$E$76*A652+'Giả định'!$B$15*('Chi phí'!$F$76+'Chi phí'!$G$76*B652+'Chi phí'!$H$76*A652))*(1+'Giả định'!$B$16)</f>
        <v>687939780</v>
      </c>
      <c r="D652" s="25" t="n">
        <f aca="false">('Chi phí'!$C$77+'Chi phí'!$D$77*B652+'Chi phí'!$E$77*A652+'Giả định'!$B$15*('Chi phí'!$F$77+'Chi phí'!$G$77*B652+'Chi phí'!$H$77*A652))*(1+'Giả định'!$B$16)</f>
        <v>831544780</v>
      </c>
      <c r="E652" s="25" t="n">
        <f aca="false">A652/'Giả định'!$B$19*'Giả định'!$B$20+A652*'Giả định'!$B$23+'Giả định'!$B$24</f>
        <v>240857983.193277</v>
      </c>
      <c r="F652" s="25" t="n">
        <f aca="false">E652-D652</f>
        <v>-590686796.806723</v>
      </c>
      <c r="G652" s="25" t="n">
        <f aca="false">E652-C652</f>
        <v>-447081796.806723</v>
      </c>
      <c r="H652" s="7" t="str">
        <f aca="false">IF(F652&gt;=0,A652,"")</f>
        <v/>
      </c>
      <c r="I652" s="7" t="n">
        <f aca="false">IF(F652&lt;0,A652,0)</f>
        <v>647</v>
      </c>
      <c r="J652" s="7" t="str">
        <f aca="false">IF(G652&gt;=0,A652,"")</f>
        <v/>
      </c>
      <c r="K652" s="7" t="n">
        <f aca="false">IF(G652&lt;0,A652,0)</f>
        <v>647</v>
      </c>
    </row>
    <row r="653" customFormat="false" ht="15" hidden="false" customHeight="false" outlineLevel="0" collapsed="false">
      <c r="A653" s="7" t="n">
        <f aca="false">A652+1</f>
        <v>648</v>
      </c>
      <c r="B653" s="7" t="n">
        <f aca="false">MAX('Giả định'!$B$9,ROUNDUP(A653/'Giả định'!$B$7,0)+'Giả định'!$B$8)</f>
        <v>66</v>
      </c>
      <c r="C653" s="25" t="n">
        <f aca="false">('Chi phí'!$C$76+'Chi phí'!$D$76*B653+'Chi phí'!$E$76*A653+'Giả định'!$B$15*('Chi phí'!$F$76+'Chi phí'!$G$76*B653+'Chi phí'!$H$76*A653))*(1+'Giả định'!$B$16)</f>
        <v>687976520</v>
      </c>
      <c r="D653" s="25" t="n">
        <f aca="false">('Chi phí'!$C$77+'Chi phí'!$D$77*B653+'Chi phí'!$E$77*A653+'Giả định'!$B$15*('Chi phí'!$F$77+'Chi phí'!$G$77*B653+'Chi phí'!$H$77*A653))*(1+'Giả định'!$B$16)</f>
        <v>831581520</v>
      </c>
      <c r="E653" s="25" t="n">
        <f aca="false">A653/'Giả định'!$B$19*'Giả định'!$B$20+A653*'Giả định'!$B$23+'Giả định'!$B$24</f>
        <v>241230252.10084</v>
      </c>
      <c r="F653" s="25" t="n">
        <f aca="false">E653-D653</f>
        <v>-590351267.89916</v>
      </c>
      <c r="G653" s="25" t="n">
        <f aca="false">E653-C653</f>
        <v>-446746267.89916</v>
      </c>
      <c r="H653" s="7" t="str">
        <f aca="false">IF(F653&gt;=0,A653,"")</f>
        <v/>
      </c>
      <c r="I653" s="7" t="n">
        <f aca="false">IF(F653&lt;0,A653,0)</f>
        <v>648</v>
      </c>
      <c r="J653" s="7" t="str">
        <f aca="false">IF(G653&gt;=0,A653,"")</f>
        <v/>
      </c>
      <c r="K653" s="7" t="n">
        <f aca="false">IF(G653&lt;0,A653,0)</f>
        <v>648</v>
      </c>
    </row>
    <row r="654" customFormat="false" ht="15" hidden="false" customHeight="false" outlineLevel="0" collapsed="false">
      <c r="A654" s="7" t="n">
        <f aca="false">A653+1</f>
        <v>649</v>
      </c>
      <c r="B654" s="7" t="n">
        <f aca="false">MAX('Giả định'!$B$9,ROUNDUP(A654/'Giả định'!$B$7,0)+'Giả định'!$B$8)</f>
        <v>66</v>
      </c>
      <c r="C654" s="25" t="n">
        <f aca="false">('Chi phí'!$C$76+'Chi phí'!$D$76*B654+'Chi phí'!$E$76*A654+'Giả định'!$B$15*('Chi phí'!$F$76+'Chi phí'!$G$76*B654+'Chi phí'!$H$76*A654))*(1+'Giả định'!$B$16)</f>
        <v>688013260</v>
      </c>
      <c r="D654" s="25" t="n">
        <f aca="false">('Chi phí'!$C$77+'Chi phí'!$D$77*B654+'Chi phí'!$E$77*A654+'Giả định'!$B$15*('Chi phí'!$F$77+'Chi phí'!$G$77*B654+'Chi phí'!$H$77*A654))*(1+'Giả định'!$B$16)</f>
        <v>831618260</v>
      </c>
      <c r="E654" s="25" t="n">
        <f aca="false">A654/'Giả định'!$B$19*'Giả định'!$B$20+A654*'Giả định'!$B$23+'Giả định'!$B$24</f>
        <v>241602521.008403</v>
      </c>
      <c r="F654" s="25" t="n">
        <f aca="false">E654-D654</f>
        <v>-590015738.991597</v>
      </c>
      <c r="G654" s="25" t="n">
        <f aca="false">E654-C654</f>
        <v>-446410738.991597</v>
      </c>
      <c r="H654" s="7" t="str">
        <f aca="false">IF(F654&gt;=0,A654,"")</f>
        <v/>
      </c>
      <c r="I654" s="7" t="n">
        <f aca="false">IF(F654&lt;0,A654,0)</f>
        <v>649</v>
      </c>
      <c r="J654" s="7" t="str">
        <f aca="false">IF(G654&gt;=0,A654,"")</f>
        <v/>
      </c>
      <c r="K654" s="7" t="n">
        <f aca="false">IF(G654&lt;0,A654,0)</f>
        <v>649</v>
      </c>
    </row>
    <row r="655" customFormat="false" ht="15" hidden="false" customHeight="false" outlineLevel="0" collapsed="false">
      <c r="A655" s="7" t="n">
        <f aca="false">A654+1</f>
        <v>650</v>
      </c>
      <c r="B655" s="7" t="n">
        <f aca="false">MAX('Giả định'!$B$9,ROUNDUP(A655/'Giả định'!$B$7,0)+'Giả định'!$B$8)</f>
        <v>66</v>
      </c>
      <c r="C655" s="25" t="n">
        <f aca="false">('Chi phí'!$C$76+'Chi phí'!$D$76*B655+'Chi phí'!$E$76*A655+'Giả định'!$B$15*('Chi phí'!$F$76+'Chi phí'!$G$76*B655+'Chi phí'!$H$76*A655))*(1+'Giả định'!$B$16)</f>
        <v>688050000</v>
      </c>
      <c r="D655" s="25" t="n">
        <f aca="false">('Chi phí'!$C$77+'Chi phí'!$D$77*B655+'Chi phí'!$E$77*A655+'Giả định'!$B$15*('Chi phí'!$F$77+'Chi phí'!$G$77*B655+'Chi phí'!$H$77*A655))*(1+'Giả định'!$B$16)</f>
        <v>831655000</v>
      </c>
      <c r="E655" s="25" t="n">
        <f aca="false">A655/'Giả định'!$B$19*'Giả định'!$B$20+A655*'Giả định'!$B$23+'Giả định'!$B$24</f>
        <v>241974789.915966</v>
      </c>
      <c r="F655" s="25" t="n">
        <f aca="false">E655-D655</f>
        <v>-589680210.084034</v>
      </c>
      <c r="G655" s="25" t="n">
        <f aca="false">E655-C655</f>
        <v>-446075210.084034</v>
      </c>
      <c r="H655" s="7" t="str">
        <f aca="false">IF(F655&gt;=0,A655,"")</f>
        <v/>
      </c>
      <c r="I655" s="7" t="n">
        <f aca="false">IF(F655&lt;0,A655,0)</f>
        <v>650</v>
      </c>
      <c r="J655" s="7" t="str">
        <f aca="false">IF(G655&gt;=0,A655,"")</f>
        <v/>
      </c>
      <c r="K655" s="7" t="n">
        <f aca="false">IF(G655&lt;0,A655,0)</f>
        <v>650</v>
      </c>
    </row>
    <row r="656" customFormat="false" ht="15" hidden="false" customHeight="false" outlineLevel="0" collapsed="false">
      <c r="A656" s="7" t="n">
        <f aca="false">A655+1</f>
        <v>651</v>
      </c>
      <c r="B656" s="7" t="n">
        <f aca="false">MAX('Giả định'!$B$9,ROUNDUP(A656/'Giả định'!$B$7,0)+'Giả định'!$B$8)</f>
        <v>67</v>
      </c>
      <c r="C656" s="25" t="n">
        <f aca="false">('Chi phí'!$C$76+'Chi phí'!$D$76*B656+'Chi phí'!$E$76*A656+'Giả định'!$B$15*('Chi phí'!$F$76+'Chi phí'!$G$76*B656+'Chi phí'!$H$76*A656))*(1+'Giả định'!$B$16)</f>
        <v>697260740</v>
      </c>
      <c r="D656" s="25" t="n">
        <f aca="false">('Chi phí'!$C$77+'Chi phí'!$D$77*B656+'Chi phí'!$E$77*A656+'Giả định'!$B$15*('Chi phí'!$F$77+'Chi phí'!$G$77*B656+'Chi phí'!$H$77*A656))*(1+'Giả định'!$B$16)</f>
        <v>840865740</v>
      </c>
      <c r="E656" s="25" t="n">
        <f aca="false">A656/'Giả định'!$B$19*'Giả định'!$B$20+A656*'Giả định'!$B$23+'Giả định'!$B$24</f>
        <v>242347058.823529</v>
      </c>
      <c r="F656" s="25" t="n">
        <f aca="false">E656-D656</f>
        <v>-598518681.176471</v>
      </c>
      <c r="G656" s="25" t="n">
        <f aca="false">E656-C656</f>
        <v>-454913681.176471</v>
      </c>
      <c r="H656" s="7" t="str">
        <f aca="false">IF(F656&gt;=0,A656,"")</f>
        <v/>
      </c>
      <c r="I656" s="7" t="n">
        <f aca="false">IF(F656&lt;0,A656,0)</f>
        <v>651</v>
      </c>
      <c r="J656" s="7" t="str">
        <f aca="false">IF(G656&gt;=0,A656,"")</f>
        <v/>
      </c>
      <c r="K656" s="7" t="n">
        <f aca="false">IF(G656&lt;0,A656,0)</f>
        <v>651</v>
      </c>
    </row>
    <row r="657" customFormat="false" ht="15" hidden="false" customHeight="false" outlineLevel="0" collapsed="false">
      <c r="A657" s="7" t="n">
        <f aca="false">A656+1</f>
        <v>652</v>
      </c>
      <c r="B657" s="7" t="n">
        <f aca="false">MAX('Giả định'!$B$9,ROUNDUP(A657/'Giả định'!$B$7,0)+'Giả định'!$B$8)</f>
        <v>67</v>
      </c>
      <c r="C657" s="25" t="n">
        <f aca="false">('Chi phí'!$C$76+'Chi phí'!$D$76*B657+'Chi phí'!$E$76*A657+'Giả định'!$B$15*('Chi phí'!$F$76+'Chi phí'!$G$76*B657+'Chi phí'!$H$76*A657))*(1+'Giả định'!$B$16)</f>
        <v>697297480</v>
      </c>
      <c r="D657" s="25" t="n">
        <f aca="false">('Chi phí'!$C$77+'Chi phí'!$D$77*B657+'Chi phí'!$E$77*A657+'Giả định'!$B$15*('Chi phí'!$F$77+'Chi phí'!$G$77*B657+'Chi phí'!$H$77*A657))*(1+'Giả định'!$B$16)</f>
        <v>840902480</v>
      </c>
      <c r="E657" s="25" t="n">
        <f aca="false">A657/'Giả định'!$B$19*'Giả định'!$B$20+A657*'Giả định'!$B$23+'Giả định'!$B$24</f>
        <v>242719327.731092</v>
      </c>
      <c r="F657" s="25" t="n">
        <f aca="false">E657-D657</f>
        <v>-598183152.268908</v>
      </c>
      <c r="G657" s="25" t="n">
        <f aca="false">E657-C657</f>
        <v>-454578152.268908</v>
      </c>
      <c r="H657" s="7" t="str">
        <f aca="false">IF(F657&gt;=0,A657,"")</f>
        <v/>
      </c>
      <c r="I657" s="7" t="n">
        <f aca="false">IF(F657&lt;0,A657,0)</f>
        <v>652</v>
      </c>
      <c r="J657" s="7" t="str">
        <f aca="false">IF(G657&gt;=0,A657,"")</f>
        <v/>
      </c>
      <c r="K657" s="7" t="n">
        <f aca="false">IF(G657&lt;0,A657,0)</f>
        <v>652</v>
      </c>
    </row>
    <row r="658" customFormat="false" ht="15" hidden="false" customHeight="false" outlineLevel="0" collapsed="false">
      <c r="A658" s="7" t="n">
        <f aca="false">A657+1</f>
        <v>653</v>
      </c>
      <c r="B658" s="7" t="n">
        <f aca="false">MAX('Giả định'!$B$9,ROUNDUP(A658/'Giả định'!$B$7,0)+'Giả định'!$B$8)</f>
        <v>67</v>
      </c>
      <c r="C658" s="25" t="n">
        <f aca="false">('Chi phí'!$C$76+'Chi phí'!$D$76*B658+'Chi phí'!$E$76*A658+'Giả định'!$B$15*('Chi phí'!$F$76+'Chi phí'!$G$76*B658+'Chi phí'!$H$76*A658))*(1+'Giả định'!$B$16)</f>
        <v>697334220</v>
      </c>
      <c r="D658" s="25" t="n">
        <f aca="false">('Chi phí'!$C$77+'Chi phí'!$D$77*B658+'Chi phí'!$E$77*A658+'Giả định'!$B$15*('Chi phí'!$F$77+'Chi phí'!$G$77*B658+'Chi phí'!$H$77*A658))*(1+'Giả định'!$B$16)</f>
        <v>840939220</v>
      </c>
      <c r="E658" s="25" t="n">
        <f aca="false">A658/'Giả định'!$B$19*'Giả định'!$B$20+A658*'Giả định'!$B$23+'Giả định'!$B$24</f>
        <v>243091596.638655</v>
      </c>
      <c r="F658" s="25" t="n">
        <f aca="false">E658-D658</f>
        <v>-597847623.361345</v>
      </c>
      <c r="G658" s="25" t="n">
        <f aca="false">E658-C658</f>
        <v>-454242623.361345</v>
      </c>
      <c r="H658" s="7" t="str">
        <f aca="false">IF(F658&gt;=0,A658,"")</f>
        <v/>
      </c>
      <c r="I658" s="7" t="n">
        <f aca="false">IF(F658&lt;0,A658,0)</f>
        <v>653</v>
      </c>
      <c r="J658" s="7" t="str">
        <f aca="false">IF(G658&gt;=0,A658,"")</f>
        <v/>
      </c>
      <c r="K658" s="7" t="n">
        <f aca="false">IF(G658&lt;0,A658,0)</f>
        <v>653</v>
      </c>
    </row>
    <row r="659" customFormat="false" ht="15" hidden="false" customHeight="false" outlineLevel="0" collapsed="false">
      <c r="A659" s="7" t="n">
        <f aca="false">A658+1</f>
        <v>654</v>
      </c>
      <c r="B659" s="7" t="n">
        <f aca="false">MAX('Giả định'!$B$9,ROUNDUP(A659/'Giả định'!$B$7,0)+'Giả định'!$B$8)</f>
        <v>67</v>
      </c>
      <c r="C659" s="25" t="n">
        <f aca="false">('Chi phí'!$C$76+'Chi phí'!$D$76*B659+'Chi phí'!$E$76*A659+'Giả định'!$B$15*('Chi phí'!$F$76+'Chi phí'!$G$76*B659+'Chi phí'!$H$76*A659))*(1+'Giả định'!$B$16)</f>
        <v>697370960</v>
      </c>
      <c r="D659" s="25" t="n">
        <f aca="false">('Chi phí'!$C$77+'Chi phí'!$D$77*B659+'Chi phí'!$E$77*A659+'Giả định'!$B$15*('Chi phí'!$F$77+'Chi phí'!$G$77*B659+'Chi phí'!$H$77*A659))*(1+'Giả định'!$B$16)</f>
        <v>840975960</v>
      </c>
      <c r="E659" s="25" t="n">
        <f aca="false">A659/'Giả định'!$B$19*'Giả định'!$B$20+A659*'Giả định'!$B$23+'Giả định'!$B$24</f>
        <v>243463865.546219</v>
      </c>
      <c r="F659" s="25" t="n">
        <f aca="false">E659-D659</f>
        <v>-597512094.453782</v>
      </c>
      <c r="G659" s="25" t="n">
        <f aca="false">E659-C659</f>
        <v>-453907094.453782</v>
      </c>
      <c r="H659" s="7" t="str">
        <f aca="false">IF(F659&gt;=0,A659,"")</f>
        <v/>
      </c>
      <c r="I659" s="7" t="n">
        <f aca="false">IF(F659&lt;0,A659,0)</f>
        <v>654</v>
      </c>
      <c r="J659" s="7" t="str">
        <f aca="false">IF(G659&gt;=0,A659,"")</f>
        <v/>
      </c>
      <c r="K659" s="7" t="n">
        <f aca="false">IF(G659&lt;0,A659,0)</f>
        <v>654</v>
      </c>
    </row>
    <row r="660" customFormat="false" ht="15" hidden="false" customHeight="false" outlineLevel="0" collapsed="false">
      <c r="A660" s="7" t="n">
        <f aca="false">A659+1</f>
        <v>655</v>
      </c>
      <c r="B660" s="7" t="n">
        <f aca="false">MAX('Giả định'!$B$9,ROUNDUP(A660/'Giả định'!$B$7,0)+'Giả định'!$B$8)</f>
        <v>67</v>
      </c>
      <c r="C660" s="25" t="n">
        <f aca="false">('Chi phí'!$C$76+'Chi phí'!$D$76*B660+'Chi phí'!$E$76*A660+'Giả định'!$B$15*('Chi phí'!$F$76+'Chi phí'!$G$76*B660+'Chi phí'!$H$76*A660))*(1+'Giả định'!$B$16)</f>
        <v>697407700</v>
      </c>
      <c r="D660" s="25" t="n">
        <f aca="false">('Chi phí'!$C$77+'Chi phí'!$D$77*B660+'Chi phí'!$E$77*A660+'Giả định'!$B$15*('Chi phí'!$F$77+'Chi phí'!$G$77*B660+'Chi phí'!$H$77*A660))*(1+'Giả định'!$B$16)</f>
        <v>841012700</v>
      </c>
      <c r="E660" s="25" t="n">
        <f aca="false">A660/'Giả định'!$B$19*'Giả định'!$B$20+A660*'Giả định'!$B$23+'Giả định'!$B$24</f>
        <v>243836134.453782</v>
      </c>
      <c r="F660" s="25" t="n">
        <f aca="false">E660-D660</f>
        <v>-597176565.546219</v>
      </c>
      <c r="G660" s="25" t="n">
        <f aca="false">E660-C660</f>
        <v>-453571565.546219</v>
      </c>
      <c r="H660" s="7" t="str">
        <f aca="false">IF(F660&gt;=0,A660,"")</f>
        <v/>
      </c>
      <c r="I660" s="7" t="n">
        <f aca="false">IF(F660&lt;0,A660,0)</f>
        <v>655</v>
      </c>
      <c r="J660" s="7" t="str">
        <f aca="false">IF(G660&gt;=0,A660,"")</f>
        <v/>
      </c>
      <c r="K660" s="7" t="n">
        <f aca="false">IF(G660&lt;0,A660,0)</f>
        <v>655</v>
      </c>
    </row>
    <row r="661" customFormat="false" ht="15" hidden="false" customHeight="false" outlineLevel="0" collapsed="false">
      <c r="A661" s="7" t="n">
        <f aca="false">A660+1</f>
        <v>656</v>
      </c>
      <c r="B661" s="7" t="n">
        <f aca="false">MAX('Giả định'!$B$9,ROUNDUP(A661/'Giả định'!$B$7,0)+'Giả định'!$B$8)</f>
        <v>67</v>
      </c>
      <c r="C661" s="25" t="n">
        <f aca="false">('Chi phí'!$C$76+'Chi phí'!$D$76*B661+'Chi phí'!$E$76*A661+'Giả định'!$B$15*('Chi phí'!$F$76+'Chi phí'!$G$76*B661+'Chi phí'!$H$76*A661))*(1+'Giả định'!$B$16)</f>
        <v>697444440</v>
      </c>
      <c r="D661" s="25" t="n">
        <f aca="false">('Chi phí'!$C$77+'Chi phí'!$D$77*B661+'Chi phí'!$E$77*A661+'Giả định'!$B$15*('Chi phí'!$F$77+'Chi phí'!$G$77*B661+'Chi phí'!$H$77*A661))*(1+'Giả định'!$B$16)</f>
        <v>841049440</v>
      </c>
      <c r="E661" s="25" t="n">
        <f aca="false">A661/'Giả định'!$B$19*'Giả định'!$B$20+A661*'Giả định'!$B$23+'Giả định'!$B$24</f>
        <v>244208403.361345</v>
      </c>
      <c r="F661" s="25" t="n">
        <f aca="false">E661-D661</f>
        <v>-596841036.638656</v>
      </c>
      <c r="G661" s="25" t="n">
        <f aca="false">E661-C661</f>
        <v>-453236036.638655</v>
      </c>
      <c r="H661" s="7" t="str">
        <f aca="false">IF(F661&gt;=0,A661,"")</f>
        <v/>
      </c>
      <c r="I661" s="7" t="n">
        <f aca="false">IF(F661&lt;0,A661,0)</f>
        <v>656</v>
      </c>
      <c r="J661" s="7" t="str">
        <f aca="false">IF(G661&gt;=0,A661,"")</f>
        <v/>
      </c>
      <c r="K661" s="7" t="n">
        <f aca="false">IF(G661&lt;0,A661,0)</f>
        <v>656</v>
      </c>
    </row>
    <row r="662" customFormat="false" ht="15" hidden="false" customHeight="false" outlineLevel="0" collapsed="false">
      <c r="A662" s="7" t="n">
        <f aca="false">A661+1</f>
        <v>657</v>
      </c>
      <c r="B662" s="7" t="n">
        <f aca="false">MAX('Giả định'!$B$9,ROUNDUP(A662/'Giả định'!$B$7,0)+'Giả định'!$B$8)</f>
        <v>67</v>
      </c>
      <c r="C662" s="25" t="n">
        <f aca="false">('Chi phí'!$C$76+'Chi phí'!$D$76*B662+'Chi phí'!$E$76*A662+'Giả định'!$B$15*('Chi phí'!$F$76+'Chi phí'!$G$76*B662+'Chi phí'!$H$76*A662))*(1+'Giả định'!$B$16)</f>
        <v>697481180</v>
      </c>
      <c r="D662" s="25" t="n">
        <f aca="false">('Chi phí'!$C$77+'Chi phí'!$D$77*B662+'Chi phí'!$E$77*A662+'Giả định'!$B$15*('Chi phí'!$F$77+'Chi phí'!$G$77*B662+'Chi phí'!$H$77*A662))*(1+'Giả định'!$B$16)</f>
        <v>841086180</v>
      </c>
      <c r="E662" s="25" t="n">
        <f aca="false">A662/'Giả định'!$B$19*'Giả định'!$B$20+A662*'Giả định'!$B$23+'Giả định'!$B$24</f>
        <v>244580672.268908</v>
      </c>
      <c r="F662" s="25" t="n">
        <f aca="false">E662-D662</f>
        <v>-596505507.731093</v>
      </c>
      <c r="G662" s="25" t="n">
        <f aca="false">E662-C662</f>
        <v>-452900507.731092</v>
      </c>
      <c r="H662" s="7" t="str">
        <f aca="false">IF(F662&gt;=0,A662,"")</f>
        <v/>
      </c>
      <c r="I662" s="7" t="n">
        <f aca="false">IF(F662&lt;0,A662,0)</f>
        <v>657</v>
      </c>
      <c r="J662" s="7" t="str">
        <f aca="false">IF(G662&gt;=0,A662,"")</f>
        <v/>
      </c>
      <c r="K662" s="7" t="n">
        <f aca="false">IF(G662&lt;0,A662,0)</f>
        <v>657</v>
      </c>
    </row>
    <row r="663" customFormat="false" ht="15" hidden="false" customHeight="false" outlineLevel="0" collapsed="false">
      <c r="A663" s="7" t="n">
        <f aca="false">A662+1</f>
        <v>658</v>
      </c>
      <c r="B663" s="7" t="n">
        <f aca="false">MAX('Giả định'!$B$9,ROUNDUP(A663/'Giả định'!$B$7,0)+'Giả định'!$B$8)</f>
        <v>67</v>
      </c>
      <c r="C663" s="25" t="n">
        <f aca="false">('Chi phí'!$C$76+'Chi phí'!$D$76*B663+'Chi phí'!$E$76*A663+'Giả định'!$B$15*('Chi phí'!$F$76+'Chi phí'!$G$76*B663+'Chi phí'!$H$76*A663))*(1+'Giả định'!$B$16)</f>
        <v>697517920</v>
      </c>
      <c r="D663" s="25" t="n">
        <f aca="false">('Chi phí'!$C$77+'Chi phí'!$D$77*B663+'Chi phí'!$E$77*A663+'Giả định'!$B$15*('Chi phí'!$F$77+'Chi phí'!$G$77*B663+'Chi phí'!$H$77*A663))*(1+'Giả định'!$B$16)</f>
        <v>841122920</v>
      </c>
      <c r="E663" s="25" t="n">
        <f aca="false">A663/'Giả định'!$B$19*'Giả định'!$B$20+A663*'Giả định'!$B$23+'Giả định'!$B$24</f>
        <v>244952941.176471</v>
      </c>
      <c r="F663" s="25" t="n">
        <f aca="false">E663-D663</f>
        <v>-596169978.82353</v>
      </c>
      <c r="G663" s="25" t="n">
        <f aca="false">E663-C663</f>
        <v>-452564978.823529</v>
      </c>
      <c r="H663" s="7" t="str">
        <f aca="false">IF(F663&gt;=0,A663,"")</f>
        <v/>
      </c>
      <c r="I663" s="7" t="n">
        <f aca="false">IF(F663&lt;0,A663,0)</f>
        <v>658</v>
      </c>
      <c r="J663" s="7" t="str">
        <f aca="false">IF(G663&gt;=0,A663,"")</f>
        <v/>
      </c>
      <c r="K663" s="7" t="n">
        <f aca="false">IF(G663&lt;0,A663,0)</f>
        <v>658</v>
      </c>
    </row>
    <row r="664" customFormat="false" ht="15" hidden="false" customHeight="false" outlineLevel="0" collapsed="false">
      <c r="A664" s="7" t="n">
        <f aca="false">A663+1</f>
        <v>659</v>
      </c>
      <c r="B664" s="7" t="n">
        <f aca="false">MAX('Giả định'!$B$9,ROUNDUP(A664/'Giả định'!$B$7,0)+'Giả định'!$B$8)</f>
        <v>67</v>
      </c>
      <c r="C664" s="25" t="n">
        <f aca="false">('Chi phí'!$C$76+'Chi phí'!$D$76*B664+'Chi phí'!$E$76*A664+'Giả định'!$B$15*('Chi phí'!$F$76+'Chi phí'!$G$76*B664+'Chi phí'!$H$76*A664))*(1+'Giả định'!$B$16)</f>
        <v>697554660</v>
      </c>
      <c r="D664" s="25" t="n">
        <f aca="false">('Chi phí'!$C$77+'Chi phí'!$D$77*B664+'Chi phí'!$E$77*A664+'Giả định'!$B$15*('Chi phí'!$F$77+'Chi phí'!$G$77*B664+'Chi phí'!$H$77*A664))*(1+'Giả định'!$B$16)</f>
        <v>841159660</v>
      </c>
      <c r="E664" s="25" t="n">
        <f aca="false">A664/'Giả định'!$B$19*'Giả định'!$B$20+A664*'Giả định'!$B$23+'Giả định'!$B$24</f>
        <v>245325210.084034</v>
      </c>
      <c r="F664" s="25" t="n">
        <f aca="false">E664-D664</f>
        <v>-595834449.915967</v>
      </c>
      <c r="G664" s="25" t="n">
        <f aca="false">E664-C664</f>
        <v>-452229449.915966</v>
      </c>
      <c r="H664" s="7" t="str">
        <f aca="false">IF(F664&gt;=0,A664,"")</f>
        <v/>
      </c>
      <c r="I664" s="7" t="n">
        <f aca="false">IF(F664&lt;0,A664,0)</f>
        <v>659</v>
      </c>
      <c r="J664" s="7" t="str">
        <f aca="false">IF(G664&gt;=0,A664,"")</f>
        <v/>
      </c>
      <c r="K664" s="7" t="n">
        <f aca="false">IF(G664&lt;0,A664,0)</f>
        <v>659</v>
      </c>
    </row>
    <row r="665" customFormat="false" ht="15" hidden="false" customHeight="false" outlineLevel="0" collapsed="false">
      <c r="A665" s="7" t="n">
        <f aca="false">A664+1</f>
        <v>660</v>
      </c>
      <c r="B665" s="7" t="n">
        <f aca="false">MAX('Giả định'!$B$9,ROUNDUP(A665/'Giả định'!$B$7,0)+'Giả định'!$B$8)</f>
        <v>67</v>
      </c>
      <c r="C665" s="25" t="n">
        <f aca="false">('Chi phí'!$C$76+'Chi phí'!$D$76*B665+'Chi phí'!$E$76*A665+'Giả định'!$B$15*('Chi phí'!$F$76+'Chi phí'!$G$76*B665+'Chi phí'!$H$76*A665))*(1+'Giả định'!$B$16)</f>
        <v>697591400</v>
      </c>
      <c r="D665" s="25" t="n">
        <f aca="false">('Chi phí'!$C$77+'Chi phí'!$D$77*B665+'Chi phí'!$E$77*A665+'Giả định'!$B$15*('Chi phí'!$F$77+'Chi phí'!$G$77*B665+'Chi phí'!$H$77*A665))*(1+'Giả định'!$B$16)</f>
        <v>841196400</v>
      </c>
      <c r="E665" s="25" t="n">
        <f aca="false">A665/'Giả định'!$B$19*'Giả định'!$B$20+A665*'Giả định'!$B$23+'Giả định'!$B$24</f>
        <v>245697478.991597</v>
      </c>
      <c r="F665" s="25" t="n">
        <f aca="false">E665-D665</f>
        <v>-595498921.008403</v>
      </c>
      <c r="G665" s="25" t="n">
        <f aca="false">E665-C665</f>
        <v>-451893921.008403</v>
      </c>
      <c r="H665" s="7" t="str">
        <f aca="false">IF(F665&gt;=0,A665,"")</f>
        <v/>
      </c>
      <c r="I665" s="7" t="n">
        <f aca="false">IF(F665&lt;0,A665,0)</f>
        <v>660</v>
      </c>
      <c r="J665" s="7" t="str">
        <f aca="false">IF(G665&gt;=0,A665,"")</f>
        <v/>
      </c>
      <c r="K665" s="7" t="n">
        <f aca="false">IF(G665&lt;0,A665,0)</f>
        <v>660</v>
      </c>
    </row>
    <row r="666" customFormat="false" ht="15" hidden="false" customHeight="false" outlineLevel="0" collapsed="false">
      <c r="A666" s="7" t="n">
        <f aca="false">A665+1</f>
        <v>661</v>
      </c>
      <c r="B666" s="7" t="n">
        <f aca="false">MAX('Giả định'!$B$9,ROUNDUP(A666/'Giả định'!$B$7,0)+'Giả định'!$B$8)</f>
        <v>68</v>
      </c>
      <c r="C666" s="25" t="n">
        <f aca="false">('Chi phí'!$C$76+'Chi phí'!$D$76*B666+'Chi phí'!$E$76*A666+'Giả định'!$B$15*('Chi phí'!$F$76+'Chi phí'!$G$76*B666+'Chi phí'!$H$76*A666))*(1+'Giả định'!$B$16)</f>
        <v>706802140</v>
      </c>
      <c r="D666" s="25" t="n">
        <f aca="false">('Chi phí'!$C$77+'Chi phí'!$D$77*B666+'Chi phí'!$E$77*A666+'Giả định'!$B$15*('Chi phí'!$F$77+'Chi phí'!$G$77*B666+'Chi phí'!$H$77*A666))*(1+'Giả định'!$B$16)</f>
        <v>850407140</v>
      </c>
      <c r="E666" s="25" t="n">
        <f aca="false">A666/'Giả định'!$B$19*'Giả định'!$B$20+A666*'Giả định'!$B$23+'Giả định'!$B$24</f>
        <v>246069747.89916</v>
      </c>
      <c r="F666" s="25" t="n">
        <f aca="false">E666-D666</f>
        <v>-604337392.10084</v>
      </c>
      <c r="G666" s="25" t="n">
        <f aca="false">E666-C666</f>
        <v>-460732392.10084</v>
      </c>
      <c r="H666" s="7" t="str">
        <f aca="false">IF(F666&gt;=0,A666,"")</f>
        <v/>
      </c>
      <c r="I666" s="7" t="n">
        <f aca="false">IF(F666&lt;0,A666,0)</f>
        <v>661</v>
      </c>
      <c r="J666" s="7" t="str">
        <f aca="false">IF(G666&gt;=0,A666,"")</f>
        <v/>
      </c>
      <c r="K666" s="7" t="n">
        <f aca="false">IF(G666&lt;0,A666,0)</f>
        <v>661</v>
      </c>
    </row>
    <row r="667" customFormat="false" ht="15" hidden="false" customHeight="false" outlineLevel="0" collapsed="false">
      <c r="A667" s="7" t="n">
        <f aca="false">A666+1</f>
        <v>662</v>
      </c>
      <c r="B667" s="7" t="n">
        <f aca="false">MAX('Giả định'!$B$9,ROUNDUP(A667/'Giả định'!$B$7,0)+'Giả định'!$B$8)</f>
        <v>68</v>
      </c>
      <c r="C667" s="25" t="n">
        <f aca="false">('Chi phí'!$C$76+'Chi phí'!$D$76*B667+'Chi phí'!$E$76*A667+'Giả định'!$B$15*('Chi phí'!$F$76+'Chi phí'!$G$76*B667+'Chi phí'!$H$76*A667))*(1+'Giả định'!$B$16)</f>
        <v>706838880</v>
      </c>
      <c r="D667" s="25" t="n">
        <f aca="false">('Chi phí'!$C$77+'Chi phí'!$D$77*B667+'Chi phí'!$E$77*A667+'Giả định'!$B$15*('Chi phí'!$F$77+'Chi phí'!$G$77*B667+'Chi phí'!$H$77*A667))*(1+'Giả định'!$B$16)</f>
        <v>850443880</v>
      </c>
      <c r="E667" s="25" t="n">
        <f aca="false">A667/'Giả định'!$B$19*'Giả định'!$B$20+A667*'Giả định'!$B$23+'Giả định'!$B$24</f>
        <v>246442016.806723</v>
      </c>
      <c r="F667" s="25" t="n">
        <f aca="false">E667-D667</f>
        <v>-604001863.193277</v>
      </c>
      <c r="G667" s="25" t="n">
        <f aca="false">E667-C667</f>
        <v>-460396863.193277</v>
      </c>
      <c r="H667" s="7" t="str">
        <f aca="false">IF(F667&gt;=0,A667,"")</f>
        <v/>
      </c>
      <c r="I667" s="7" t="n">
        <f aca="false">IF(F667&lt;0,A667,0)</f>
        <v>662</v>
      </c>
      <c r="J667" s="7" t="str">
        <f aca="false">IF(G667&gt;=0,A667,"")</f>
        <v/>
      </c>
      <c r="K667" s="7" t="n">
        <f aca="false">IF(G667&lt;0,A667,0)</f>
        <v>662</v>
      </c>
    </row>
    <row r="668" customFormat="false" ht="15" hidden="false" customHeight="false" outlineLevel="0" collapsed="false">
      <c r="A668" s="7" t="n">
        <f aca="false">A667+1</f>
        <v>663</v>
      </c>
      <c r="B668" s="7" t="n">
        <f aca="false">MAX('Giả định'!$B$9,ROUNDUP(A668/'Giả định'!$B$7,0)+'Giả định'!$B$8)</f>
        <v>68</v>
      </c>
      <c r="C668" s="25" t="n">
        <f aca="false">('Chi phí'!$C$76+'Chi phí'!$D$76*B668+'Chi phí'!$E$76*A668+'Giả định'!$B$15*('Chi phí'!$F$76+'Chi phí'!$G$76*B668+'Chi phí'!$H$76*A668))*(1+'Giả định'!$B$16)</f>
        <v>706875620</v>
      </c>
      <c r="D668" s="25" t="n">
        <f aca="false">('Chi phí'!$C$77+'Chi phí'!$D$77*B668+'Chi phí'!$E$77*A668+'Giả định'!$B$15*('Chi phí'!$F$77+'Chi phí'!$G$77*B668+'Chi phí'!$H$77*A668))*(1+'Giả định'!$B$16)</f>
        <v>850480620</v>
      </c>
      <c r="E668" s="25" t="n">
        <f aca="false">A668/'Giả định'!$B$19*'Giả định'!$B$20+A668*'Giả định'!$B$23+'Giả định'!$B$24</f>
        <v>246814285.714286</v>
      </c>
      <c r="F668" s="25" t="n">
        <f aca="false">E668-D668</f>
        <v>-603666334.285714</v>
      </c>
      <c r="G668" s="25" t="n">
        <f aca="false">E668-C668</f>
        <v>-460061334.285714</v>
      </c>
      <c r="H668" s="7" t="str">
        <f aca="false">IF(F668&gt;=0,A668,"")</f>
        <v/>
      </c>
      <c r="I668" s="7" t="n">
        <f aca="false">IF(F668&lt;0,A668,0)</f>
        <v>663</v>
      </c>
      <c r="J668" s="7" t="str">
        <f aca="false">IF(G668&gt;=0,A668,"")</f>
        <v/>
      </c>
      <c r="K668" s="7" t="n">
        <f aca="false">IF(G668&lt;0,A668,0)</f>
        <v>663</v>
      </c>
    </row>
    <row r="669" customFormat="false" ht="15" hidden="false" customHeight="false" outlineLevel="0" collapsed="false">
      <c r="A669" s="7" t="n">
        <f aca="false">A668+1</f>
        <v>664</v>
      </c>
      <c r="B669" s="7" t="n">
        <f aca="false">MAX('Giả định'!$B$9,ROUNDUP(A669/'Giả định'!$B$7,0)+'Giả định'!$B$8)</f>
        <v>68</v>
      </c>
      <c r="C669" s="25" t="n">
        <f aca="false">('Chi phí'!$C$76+'Chi phí'!$D$76*B669+'Chi phí'!$E$76*A669+'Giả định'!$B$15*('Chi phí'!$F$76+'Chi phí'!$G$76*B669+'Chi phí'!$H$76*A669))*(1+'Giả định'!$B$16)</f>
        <v>706912360</v>
      </c>
      <c r="D669" s="25" t="n">
        <f aca="false">('Chi phí'!$C$77+'Chi phí'!$D$77*B669+'Chi phí'!$E$77*A669+'Giả định'!$B$15*('Chi phí'!$F$77+'Chi phí'!$G$77*B669+'Chi phí'!$H$77*A669))*(1+'Giả định'!$B$16)</f>
        <v>850517360</v>
      </c>
      <c r="E669" s="25" t="n">
        <f aca="false">A669/'Giả định'!$B$19*'Giả định'!$B$20+A669*'Giả định'!$B$23+'Giả định'!$B$24</f>
        <v>247186554.621849</v>
      </c>
      <c r="F669" s="25" t="n">
        <f aca="false">E669-D669</f>
        <v>-603330805.378151</v>
      </c>
      <c r="G669" s="25" t="n">
        <f aca="false">E669-C669</f>
        <v>-459725805.378151</v>
      </c>
      <c r="H669" s="7" t="str">
        <f aca="false">IF(F669&gt;=0,A669,"")</f>
        <v/>
      </c>
      <c r="I669" s="7" t="n">
        <f aca="false">IF(F669&lt;0,A669,0)</f>
        <v>664</v>
      </c>
      <c r="J669" s="7" t="str">
        <f aca="false">IF(G669&gt;=0,A669,"")</f>
        <v/>
      </c>
      <c r="K669" s="7" t="n">
        <f aca="false">IF(G669&lt;0,A669,0)</f>
        <v>664</v>
      </c>
    </row>
    <row r="670" customFormat="false" ht="15" hidden="false" customHeight="false" outlineLevel="0" collapsed="false">
      <c r="A670" s="7" t="n">
        <f aca="false">A669+1</f>
        <v>665</v>
      </c>
      <c r="B670" s="7" t="n">
        <f aca="false">MAX('Giả định'!$B$9,ROUNDUP(A670/'Giả định'!$B$7,0)+'Giả định'!$B$8)</f>
        <v>68</v>
      </c>
      <c r="C670" s="25" t="n">
        <f aca="false">('Chi phí'!$C$76+'Chi phí'!$D$76*B670+'Chi phí'!$E$76*A670+'Giả định'!$B$15*('Chi phí'!$F$76+'Chi phí'!$G$76*B670+'Chi phí'!$H$76*A670))*(1+'Giả định'!$B$16)</f>
        <v>706949100</v>
      </c>
      <c r="D670" s="25" t="n">
        <f aca="false">('Chi phí'!$C$77+'Chi phí'!$D$77*B670+'Chi phí'!$E$77*A670+'Giả định'!$B$15*('Chi phí'!$F$77+'Chi phí'!$G$77*B670+'Chi phí'!$H$77*A670))*(1+'Giả định'!$B$16)</f>
        <v>850554100</v>
      </c>
      <c r="E670" s="25" t="n">
        <f aca="false">A670/'Giả định'!$B$19*'Giả định'!$B$20+A670*'Giả định'!$B$23+'Giả định'!$B$24</f>
        <v>247558823.529412</v>
      </c>
      <c r="F670" s="25" t="n">
        <f aca="false">E670-D670</f>
        <v>-602995276.470588</v>
      </c>
      <c r="G670" s="25" t="n">
        <f aca="false">E670-C670</f>
        <v>-459390276.470588</v>
      </c>
      <c r="H670" s="7" t="str">
        <f aca="false">IF(F670&gt;=0,A670,"")</f>
        <v/>
      </c>
      <c r="I670" s="7" t="n">
        <f aca="false">IF(F670&lt;0,A670,0)</f>
        <v>665</v>
      </c>
      <c r="J670" s="7" t="str">
        <f aca="false">IF(G670&gt;=0,A670,"")</f>
        <v/>
      </c>
      <c r="K670" s="7" t="n">
        <f aca="false">IF(G670&lt;0,A670,0)</f>
        <v>665</v>
      </c>
    </row>
    <row r="671" customFormat="false" ht="15" hidden="false" customHeight="false" outlineLevel="0" collapsed="false">
      <c r="A671" s="7" t="n">
        <f aca="false">A670+1</f>
        <v>666</v>
      </c>
      <c r="B671" s="7" t="n">
        <f aca="false">MAX('Giả định'!$B$9,ROUNDUP(A671/'Giả định'!$B$7,0)+'Giả định'!$B$8)</f>
        <v>68</v>
      </c>
      <c r="C671" s="25" t="n">
        <f aca="false">('Chi phí'!$C$76+'Chi phí'!$D$76*B671+'Chi phí'!$E$76*A671+'Giả định'!$B$15*('Chi phí'!$F$76+'Chi phí'!$G$76*B671+'Chi phí'!$H$76*A671))*(1+'Giả định'!$B$16)</f>
        <v>706985840</v>
      </c>
      <c r="D671" s="25" t="n">
        <f aca="false">('Chi phí'!$C$77+'Chi phí'!$D$77*B671+'Chi phí'!$E$77*A671+'Giả định'!$B$15*('Chi phí'!$F$77+'Chi phí'!$G$77*B671+'Chi phí'!$H$77*A671))*(1+'Giả định'!$B$16)</f>
        <v>850590840</v>
      </c>
      <c r="E671" s="25" t="n">
        <f aca="false">A671/'Giả định'!$B$19*'Giả định'!$B$20+A671*'Giả định'!$B$23+'Giả định'!$B$24</f>
        <v>247931092.436975</v>
      </c>
      <c r="F671" s="25" t="n">
        <f aca="false">E671-D671</f>
        <v>-602659747.563025</v>
      </c>
      <c r="G671" s="25" t="n">
        <f aca="false">E671-C671</f>
        <v>-459054747.563025</v>
      </c>
      <c r="H671" s="7" t="str">
        <f aca="false">IF(F671&gt;=0,A671,"")</f>
        <v/>
      </c>
      <c r="I671" s="7" t="n">
        <f aca="false">IF(F671&lt;0,A671,0)</f>
        <v>666</v>
      </c>
      <c r="J671" s="7" t="str">
        <f aca="false">IF(G671&gt;=0,A671,"")</f>
        <v/>
      </c>
      <c r="K671" s="7" t="n">
        <f aca="false">IF(G671&lt;0,A671,0)</f>
        <v>666</v>
      </c>
    </row>
    <row r="672" customFormat="false" ht="15" hidden="false" customHeight="false" outlineLevel="0" collapsed="false">
      <c r="A672" s="7" t="n">
        <f aca="false">A671+1</f>
        <v>667</v>
      </c>
      <c r="B672" s="7" t="n">
        <f aca="false">MAX('Giả định'!$B$9,ROUNDUP(A672/'Giả định'!$B$7,0)+'Giả định'!$B$8)</f>
        <v>68</v>
      </c>
      <c r="C672" s="25" t="n">
        <f aca="false">('Chi phí'!$C$76+'Chi phí'!$D$76*B672+'Chi phí'!$E$76*A672+'Giả định'!$B$15*('Chi phí'!$F$76+'Chi phí'!$G$76*B672+'Chi phí'!$H$76*A672))*(1+'Giả định'!$B$16)</f>
        <v>707022580</v>
      </c>
      <c r="D672" s="25" t="n">
        <f aca="false">('Chi phí'!$C$77+'Chi phí'!$D$77*B672+'Chi phí'!$E$77*A672+'Giả định'!$B$15*('Chi phí'!$F$77+'Chi phí'!$G$77*B672+'Chi phí'!$H$77*A672))*(1+'Giả định'!$B$16)</f>
        <v>850627580</v>
      </c>
      <c r="E672" s="25" t="n">
        <f aca="false">A672/'Giả định'!$B$19*'Giả định'!$B$20+A672*'Giả định'!$B$23+'Giả định'!$B$24</f>
        <v>248303361.344538</v>
      </c>
      <c r="F672" s="25" t="n">
        <f aca="false">E672-D672</f>
        <v>-602324218.655462</v>
      </c>
      <c r="G672" s="25" t="n">
        <f aca="false">E672-C672</f>
        <v>-458719218.655462</v>
      </c>
      <c r="H672" s="7" t="str">
        <f aca="false">IF(F672&gt;=0,A672,"")</f>
        <v/>
      </c>
      <c r="I672" s="7" t="n">
        <f aca="false">IF(F672&lt;0,A672,0)</f>
        <v>667</v>
      </c>
      <c r="J672" s="7" t="str">
        <f aca="false">IF(G672&gt;=0,A672,"")</f>
        <v/>
      </c>
      <c r="K672" s="7" t="n">
        <f aca="false">IF(G672&lt;0,A672,0)</f>
        <v>667</v>
      </c>
    </row>
    <row r="673" customFormat="false" ht="15" hidden="false" customHeight="false" outlineLevel="0" collapsed="false">
      <c r="A673" s="7" t="n">
        <f aca="false">A672+1</f>
        <v>668</v>
      </c>
      <c r="B673" s="7" t="n">
        <f aca="false">MAX('Giả định'!$B$9,ROUNDUP(A673/'Giả định'!$B$7,0)+'Giả định'!$B$8)</f>
        <v>68</v>
      </c>
      <c r="C673" s="25" t="n">
        <f aca="false">('Chi phí'!$C$76+'Chi phí'!$D$76*B673+'Chi phí'!$E$76*A673+'Giả định'!$B$15*('Chi phí'!$F$76+'Chi phí'!$G$76*B673+'Chi phí'!$H$76*A673))*(1+'Giả định'!$B$16)</f>
        <v>707059320</v>
      </c>
      <c r="D673" s="25" t="n">
        <f aca="false">('Chi phí'!$C$77+'Chi phí'!$D$77*B673+'Chi phí'!$E$77*A673+'Giả định'!$B$15*('Chi phí'!$F$77+'Chi phí'!$G$77*B673+'Chi phí'!$H$77*A673))*(1+'Giả định'!$B$16)</f>
        <v>850664320</v>
      </c>
      <c r="E673" s="25" t="n">
        <f aca="false">A673/'Giả định'!$B$19*'Giả định'!$B$20+A673*'Giả định'!$B$23+'Giả định'!$B$24</f>
        <v>248675630.252101</v>
      </c>
      <c r="F673" s="25" t="n">
        <f aca="false">E673-D673</f>
        <v>-601988689.747899</v>
      </c>
      <c r="G673" s="25" t="n">
        <f aca="false">E673-C673</f>
        <v>-458383689.747899</v>
      </c>
      <c r="H673" s="7" t="str">
        <f aca="false">IF(F673&gt;=0,A673,"")</f>
        <v/>
      </c>
      <c r="I673" s="7" t="n">
        <f aca="false">IF(F673&lt;0,A673,0)</f>
        <v>668</v>
      </c>
      <c r="J673" s="7" t="str">
        <f aca="false">IF(G673&gt;=0,A673,"")</f>
        <v/>
      </c>
      <c r="K673" s="7" t="n">
        <f aca="false">IF(G673&lt;0,A673,0)</f>
        <v>668</v>
      </c>
    </row>
    <row r="674" customFormat="false" ht="15" hidden="false" customHeight="false" outlineLevel="0" collapsed="false">
      <c r="A674" s="7" t="n">
        <f aca="false">A673+1</f>
        <v>669</v>
      </c>
      <c r="B674" s="7" t="n">
        <f aca="false">MAX('Giả định'!$B$9,ROUNDUP(A674/'Giả định'!$B$7,0)+'Giả định'!$B$8)</f>
        <v>68</v>
      </c>
      <c r="C674" s="25" t="n">
        <f aca="false">('Chi phí'!$C$76+'Chi phí'!$D$76*B674+'Chi phí'!$E$76*A674+'Giả định'!$B$15*('Chi phí'!$F$76+'Chi phí'!$G$76*B674+'Chi phí'!$H$76*A674))*(1+'Giả định'!$B$16)</f>
        <v>707096060</v>
      </c>
      <c r="D674" s="25" t="n">
        <f aca="false">('Chi phí'!$C$77+'Chi phí'!$D$77*B674+'Chi phí'!$E$77*A674+'Giả định'!$B$15*('Chi phí'!$F$77+'Chi phí'!$G$77*B674+'Chi phí'!$H$77*A674))*(1+'Giả định'!$B$16)</f>
        <v>850701060</v>
      </c>
      <c r="E674" s="25" t="n">
        <f aca="false">A674/'Giả định'!$B$19*'Giả định'!$B$20+A674*'Giả định'!$B$23+'Giả định'!$B$24</f>
        <v>249047899.159664</v>
      </c>
      <c r="F674" s="25" t="n">
        <f aca="false">E674-D674</f>
        <v>-601653160.840336</v>
      </c>
      <c r="G674" s="25" t="n">
        <f aca="false">E674-C674</f>
        <v>-458048160.840336</v>
      </c>
      <c r="H674" s="7" t="str">
        <f aca="false">IF(F674&gt;=0,A674,"")</f>
        <v/>
      </c>
      <c r="I674" s="7" t="n">
        <f aca="false">IF(F674&lt;0,A674,0)</f>
        <v>669</v>
      </c>
      <c r="J674" s="7" t="str">
        <f aca="false">IF(G674&gt;=0,A674,"")</f>
        <v/>
      </c>
      <c r="K674" s="7" t="n">
        <f aca="false">IF(G674&lt;0,A674,0)</f>
        <v>669</v>
      </c>
    </row>
    <row r="675" customFormat="false" ht="15" hidden="false" customHeight="false" outlineLevel="0" collapsed="false">
      <c r="A675" s="7" t="n">
        <f aca="false">A674+1</f>
        <v>670</v>
      </c>
      <c r="B675" s="7" t="n">
        <f aca="false">MAX('Giả định'!$B$9,ROUNDUP(A675/'Giả định'!$B$7,0)+'Giả định'!$B$8)</f>
        <v>68</v>
      </c>
      <c r="C675" s="25" t="n">
        <f aca="false">('Chi phí'!$C$76+'Chi phí'!$D$76*B675+'Chi phí'!$E$76*A675+'Giả định'!$B$15*('Chi phí'!$F$76+'Chi phí'!$G$76*B675+'Chi phí'!$H$76*A675))*(1+'Giả định'!$B$16)</f>
        <v>707132800</v>
      </c>
      <c r="D675" s="25" t="n">
        <f aca="false">('Chi phí'!$C$77+'Chi phí'!$D$77*B675+'Chi phí'!$E$77*A675+'Giả định'!$B$15*('Chi phí'!$F$77+'Chi phí'!$G$77*B675+'Chi phí'!$H$77*A675))*(1+'Giả định'!$B$16)</f>
        <v>850737800</v>
      </c>
      <c r="E675" s="25" t="n">
        <f aca="false">A675/'Giả định'!$B$19*'Giả định'!$B$20+A675*'Giả định'!$B$23+'Giả định'!$B$24</f>
        <v>249420168.067227</v>
      </c>
      <c r="F675" s="25" t="n">
        <f aca="false">E675-D675</f>
        <v>-601317631.932773</v>
      </c>
      <c r="G675" s="25" t="n">
        <f aca="false">E675-C675</f>
        <v>-457712631.932773</v>
      </c>
      <c r="H675" s="7" t="str">
        <f aca="false">IF(F675&gt;=0,A675,"")</f>
        <v/>
      </c>
      <c r="I675" s="7" t="n">
        <f aca="false">IF(F675&lt;0,A675,0)</f>
        <v>670</v>
      </c>
      <c r="J675" s="7" t="str">
        <f aca="false">IF(G675&gt;=0,A675,"")</f>
        <v/>
      </c>
      <c r="K675" s="7" t="n">
        <f aca="false">IF(G675&lt;0,A675,0)</f>
        <v>670</v>
      </c>
    </row>
    <row r="676" customFormat="false" ht="15" hidden="false" customHeight="false" outlineLevel="0" collapsed="false">
      <c r="A676" s="7" t="n">
        <f aca="false">A675+1</f>
        <v>671</v>
      </c>
      <c r="B676" s="7" t="n">
        <f aca="false">MAX('Giả định'!$B$9,ROUNDUP(A676/'Giả định'!$B$7,0)+'Giả định'!$B$8)</f>
        <v>69</v>
      </c>
      <c r="C676" s="25" t="n">
        <f aca="false">('Chi phí'!$C$76+'Chi phí'!$D$76*B676+'Chi phí'!$E$76*A676+'Giả định'!$B$15*('Chi phí'!$F$76+'Chi phí'!$G$76*B676+'Chi phí'!$H$76*A676))*(1+'Giả định'!$B$16)</f>
        <v>716343540</v>
      </c>
      <c r="D676" s="25" t="n">
        <f aca="false">('Chi phí'!$C$77+'Chi phí'!$D$77*B676+'Chi phí'!$E$77*A676+'Giả định'!$B$15*('Chi phí'!$F$77+'Chi phí'!$G$77*B676+'Chi phí'!$H$77*A676))*(1+'Giả định'!$B$16)</f>
        <v>859948540</v>
      </c>
      <c r="E676" s="25" t="n">
        <f aca="false">A676/'Giả định'!$B$19*'Giả định'!$B$20+A676*'Giả định'!$B$23+'Giả định'!$B$24</f>
        <v>249792436.97479</v>
      </c>
      <c r="F676" s="25" t="n">
        <f aca="false">E676-D676</f>
        <v>-610156103.02521</v>
      </c>
      <c r="G676" s="25" t="n">
        <f aca="false">E676-C676</f>
        <v>-466551103.02521</v>
      </c>
      <c r="H676" s="7" t="str">
        <f aca="false">IF(F676&gt;=0,A676,"")</f>
        <v/>
      </c>
      <c r="I676" s="7" t="n">
        <f aca="false">IF(F676&lt;0,A676,0)</f>
        <v>671</v>
      </c>
      <c r="J676" s="7" t="str">
        <f aca="false">IF(G676&gt;=0,A676,"")</f>
        <v/>
      </c>
      <c r="K676" s="7" t="n">
        <f aca="false">IF(G676&lt;0,A676,0)</f>
        <v>671</v>
      </c>
    </row>
    <row r="677" customFormat="false" ht="15" hidden="false" customHeight="false" outlineLevel="0" collapsed="false">
      <c r="A677" s="7" t="n">
        <f aca="false">A676+1</f>
        <v>672</v>
      </c>
      <c r="B677" s="7" t="n">
        <f aca="false">MAX('Giả định'!$B$9,ROUNDUP(A677/'Giả định'!$B$7,0)+'Giả định'!$B$8)</f>
        <v>69</v>
      </c>
      <c r="C677" s="25" t="n">
        <f aca="false">('Chi phí'!$C$76+'Chi phí'!$D$76*B677+'Chi phí'!$E$76*A677+'Giả định'!$B$15*('Chi phí'!$F$76+'Chi phí'!$G$76*B677+'Chi phí'!$H$76*A677))*(1+'Giả định'!$B$16)</f>
        <v>716380280</v>
      </c>
      <c r="D677" s="25" t="n">
        <f aca="false">('Chi phí'!$C$77+'Chi phí'!$D$77*B677+'Chi phí'!$E$77*A677+'Giả định'!$B$15*('Chi phí'!$F$77+'Chi phí'!$G$77*B677+'Chi phí'!$H$77*A677))*(1+'Giả định'!$B$16)</f>
        <v>859985280</v>
      </c>
      <c r="E677" s="25" t="n">
        <f aca="false">A677/'Giả định'!$B$19*'Giả định'!$B$20+A677*'Giả định'!$B$23+'Giả định'!$B$24</f>
        <v>250164705.882353</v>
      </c>
      <c r="F677" s="25" t="n">
        <f aca="false">E677-D677</f>
        <v>-609820574.117647</v>
      </c>
      <c r="G677" s="25" t="n">
        <f aca="false">E677-C677</f>
        <v>-466215574.117647</v>
      </c>
      <c r="H677" s="7" t="str">
        <f aca="false">IF(F677&gt;=0,A677,"")</f>
        <v/>
      </c>
      <c r="I677" s="7" t="n">
        <f aca="false">IF(F677&lt;0,A677,0)</f>
        <v>672</v>
      </c>
      <c r="J677" s="7" t="str">
        <f aca="false">IF(G677&gt;=0,A677,"")</f>
        <v/>
      </c>
      <c r="K677" s="7" t="n">
        <f aca="false">IF(G677&lt;0,A677,0)</f>
        <v>672</v>
      </c>
    </row>
    <row r="678" customFormat="false" ht="15" hidden="false" customHeight="false" outlineLevel="0" collapsed="false">
      <c r="A678" s="7" t="n">
        <f aca="false">A677+1</f>
        <v>673</v>
      </c>
      <c r="B678" s="7" t="n">
        <f aca="false">MAX('Giả định'!$B$9,ROUNDUP(A678/'Giả định'!$B$7,0)+'Giả định'!$B$8)</f>
        <v>69</v>
      </c>
      <c r="C678" s="25" t="n">
        <f aca="false">('Chi phí'!$C$76+'Chi phí'!$D$76*B678+'Chi phí'!$E$76*A678+'Giả định'!$B$15*('Chi phí'!$F$76+'Chi phí'!$G$76*B678+'Chi phí'!$H$76*A678))*(1+'Giả định'!$B$16)</f>
        <v>716417020</v>
      </c>
      <c r="D678" s="25" t="n">
        <f aca="false">('Chi phí'!$C$77+'Chi phí'!$D$77*B678+'Chi phí'!$E$77*A678+'Giả định'!$B$15*('Chi phí'!$F$77+'Chi phí'!$G$77*B678+'Chi phí'!$H$77*A678))*(1+'Giả định'!$B$16)</f>
        <v>860022020</v>
      </c>
      <c r="E678" s="25" t="n">
        <f aca="false">A678/'Giả định'!$B$19*'Giả định'!$B$20+A678*'Giả định'!$B$23+'Giả định'!$B$24</f>
        <v>250536974.789916</v>
      </c>
      <c r="F678" s="25" t="n">
        <f aca="false">E678-D678</f>
        <v>-609485045.210084</v>
      </c>
      <c r="G678" s="25" t="n">
        <f aca="false">E678-C678</f>
        <v>-465880045.210084</v>
      </c>
      <c r="H678" s="7" t="str">
        <f aca="false">IF(F678&gt;=0,A678,"")</f>
        <v/>
      </c>
      <c r="I678" s="7" t="n">
        <f aca="false">IF(F678&lt;0,A678,0)</f>
        <v>673</v>
      </c>
      <c r="J678" s="7" t="str">
        <f aca="false">IF(G678&gt;=0,A678,"")</f>
        <v/>
      </c>
      <c r="K678" s="7" t="n">
        <f aca="false">IF(G678&lt;0,A678,0)</f>
        <v>673</v>
      </c>
    </row>
    <row r="679" customFormat="false" ht="15" hidden="false" customHeight="false" outlineLevel="0" collapsed="false">
      <c r="A679" s="7" t="n">
        <f aca="false">A678+1</f>
        <v>674</v>
      </c>
      <c r="B679" s="7" t="n">
        <f aca="false">MAX('Giả định'!$B$9,ROUNDUP(A679/'Giả định'!$B$7,0)+'Giả định'!$B$8)</f>
        <v>69</v>
      </c>
      <c r="C679" s="25" t="n">
        <f aca="false">('Chi phí'!$C$76+'Chi phí'!$D$76*B679+'Chi phí'!$E$76*A679+'Giả định'!$B$15*('Chi phí'!$F$76+'Chi phí'!$G$76*B679+'Chi phí'!$H$76*A679))*(1+'Giả định'!$B$16)</f>
        <v>716453760</v>
      </c>
      <c r="D679" s="25" t="n">
        <f aca="false">('Chi phí'!$C$77+'Chi phí'!$D$77*B679+'Chi phí'!$E$77*A679+'Giả định'!$B$15*('Chi phí'!$F$77+'Chi phí'!$G$77*B679+'Chi phí'!$H$77*A679))*(1+'Giả định'!$B$16)</f>
        <v>860058760</v>
      </c>
      <c r="E679" s="25" t="n">
        <f aca="false">A679/'Giả định'!$B$19*'Giả định'!$B$20+A679*'Giả định'!$B$23+'Giả định'!$B$24</f>
        <v>250909243.697479</v>
      </c>
      <c r="F679" s="25" t="n">
        <f aca="false">E679-D679</f>
        <v>-609149516.302521</v>
      </c>
      <c r="G679" s="25" t="n">
        <f aca="false">E679-C679</f>
        <v>-465544516.302521</v>
      </c>
      <c r="H679" s="7" t="str">
        <f aca="false">IF(F679&gt;=0,A679,"")</f>
        <v/>
      </c>
      <c r="I679" s="7" t="n">
        <f aca="false">IF(F679&lt;0,A679,0)</f>
        <v>674</v>
      </c>
      <c r="J679" s="7" t="str">
        <f aca="false">IF(G679&gt;=0,A679,"")</f>
        <v/>
      </c>
      <c r="K679" s="7" t="n">
        <f aca="false">IF(G679&lt;0,A679,0)</f>
        <v>674</v>
      </c>
    </row>
    <row r="680" customFormat="false" ht="15" hidden="false" customHeight="false" outlineLevel="0" collapsed="false">
      <c r="A680" s="7" t="n">
        <f aca="false">A679+1</f>
        <v>675</v>
      </c>
      <c r="B680" s="7" t="n">
        <f aca="false">MAX('Giả định'!$B$9,ROUNDUP(A680/'Giả định'!$B$7,0)+'Giả định'!$B$8)</f>
        <v>69</v>
      </c>
      <c r="C680" s="25" t="n">
        <f aca="false">('Chi phí'!$C$76+'Chi phí'!$D$76*B680+'Chi phí'!$E$76*A680+'Giả định'!$B$15*('Chi phí'!$F$76+'Chi phí'!$G$76*B680+'Chi phí'!$H$76*A680))*(1+'Giả định'!$B$16)</f>
        <v>716490500</v>
      </c>
      <c r="D680" s="25" t="n">
        <f aca="false">('Chi phí'!$C$77+'Chi phí'!$D$77*B680+'Chi phí'!$E$77*A680+'Giả định'!$B$15*('Chi phí'!$F$77+'Chi phí'!$G$77*B680+'Chi phí'!$H$77*A680))*(1+'Giả định'!$B$16)</f>
        <v>860095500</v>
      </c>
      <c r="E680" s="25" t="n">
        <f aca="false">A680/'Giả định'!$B$19*'Giả định'!$B$20+A680*'Giả định'!$B$23+'Giả định'!$B$24</f>
        <v>251281512.605042</v>
      </c>
      <c r="F680" s="25" t="n">
        <f aca="false">E680-D680</f>
        <v>-608813987.394958</v>
      </c>
      <c r="G680" s="25" t="n">
        <f aca="false">E680-C680</f>
        <v>-465208987.394958</v>
      </c>
      <c r="H680" s="7" t="str">
        <f aca="false">IF(F680&gt;=0,A680,"")</f>
        <v/>
      </c>
      <c r="I680" s="7" t="n">
        <f aca="false">IF(F680&lt;0,A680,0)</f>
        <v>675</v>
      </c>
      <c r="J680" s="7" t="str">
        <f aca="false">IF(G680&gt;=0,A680,"")</f>
        <v/>
      </c>
      <c r="K680" s="7" t="n">
        <f aca="false">IF(G680&lt;0,A680,0)</f>
        <v>675</v>
      </c>
    </row>
    <row r="681" customFormat="false" ht="15" hidden="false" customHeight="false" outlineLevel="0" collapsed="false">
      <c r="A681" s="7" t="n">
        <f aca="false">A680+1</f>
        <v>676</v>
      </c>
      <c r="B681" s="7" t="n">
        <f aca="false">MAX('Giả định'!$B$9,ROUNDUP(A681/'Giả định'!$B$7,0)+'Giả định'!$B$8)</f>
        <v>69</v>
      </c>
      <c r="C681" s="25" t="n">
        <f aca="false">('Chi phí'!$C$76+'Chi phí'!$D$76*B681+'Chi phí'!$E$76*A681+'Giả định'!$B$15*('Chi phí'!$F$76+'Chi phí'!$G$76*B681+'Chi phí'!$H$76*A681))*(1+'Giả định'!$B$16)</f>
        <v>716527240</v>
      </c>
      <c r="D681" s="25" t="n">
        <f aca="false">('Chi phí'!$C$77+'Chi phí'!$D$77*B681+'Chi phí'!$E$77*A681+'Giả định'!$B$15*('Chi phí'!$F$77+'Chi phí'!$G$77*B681+'Chi phí'!$H$77*A681))*(1+'Giả định'!$B$16)</f>
        <v>860132240</v>
      </c>
      <c r="E681" s="25" t="n">
        <f aca="false">A681/'Giả định'!$B$19*'Giả định'!$B$20+A681*'Giả định'!$B$23+'Giả định'!$B$24</f>
        <v>251653781.512605</v>
      </c>
      <c r="F681" s="25" t="n">
        <f aca="false">E681-D681</f>
        <v>-608478458.487395</v>
      </c>
      <c r="G681" s="25" t="n">
        <f aca="false">E681-C681</f>
        <v>-464873458.487395</v>
      </c>
      <c r="H681" s="7" t="str">
        <f aca="false">IF(F681&gt;=0,A681,"")</f>
        <v/>
      </c>
      <c r="I681" s="7" t="n">
        <f aca="false">IF(F681&lt;0,A681,0)</f>
        <v>676</v>
      </c>
      <c r="J681" s="7" t="str">
        <f aca="false">IF(G681&gt;=0,A681,"")</f>
        <v/>
      </c>
      <c r="K681" s="7" t="n">
        <f aca="false">IF(G681&lt;0,A681,0)</f>
        <v>676</v>
      </c>
    </row>
    <row r="682" customFormat="false" ht="15" hidden="false" customHeight="false" outlineLevel="0" collapsed="false">
      <c r="A682" s="7" t="n">
        <f aca="false">A681+1</f>
        <v>677</v>
      </c>
      <c r="B682" s="7" t="n">
        <f aca="false">MAX('Giả định'!$B$9,ROUNDUP(A682/'Giả định'!$B$7,0)+'Giả định'!$B$8)</f>
        <v>69</v>
      </c>
      <c r="C682" s="25" t="n">
        <f aca="false">('Chi phí'!$C$76+'Chi phí'!$D$76*B682+'Chi phí'!$E$76*A682+'Giả định'!$B$15*('Chi phí'!$F$76+'Chi phí'!$G$76*B682+'Chi phí'!$H$76*A682))*(1+'Giả định'!$B$16)</f>
        <v>716563980</v>
      </c>
      <c r="D682" s="25" t="n">
        <f aca="false">('Chi phí'!$C$77+'Chi phí'!$D$77*B682+'Chi phí'!$E$77*A682+'Giả định'!$B$15*('Chi phí'!$F$77+'Chi phí'!$G$77*B682+'Chi phí'!$H$77*A682))*(1+'Giả định'!$B$16)</f>
        <v>860168980</v>
      </c>
      <c r="E682" s="25" t="n">
        <f aca="false">A682/'Giả định'!$B$19*'Giả định'!$B$20+A682*'Giả định'!$B$23+'Giả định'!$B$24</f>
        <v>252026050.420168</v>
      </c>
      <c r="F682" s="25" t="n">
        <f aca="false">E682-D682</f>
        <v>-608142929.579832</v>
      </c>
      <c r="G682" s="25" t="n">
        <f aca="false">E682-C682</f>
        <v>-464537929.579832</v>
      </c>
      <c r="H682" s="7" t="str">
        <f aca="false">IF(F682&gt;=0,A682,"")</f>
        <v/>
      </c>
      <c r="I682" s="7" t="n">
        <f aca="false">IF(F682&lt;0,A682,0)</f>
        <v>677</v>
      </c>
      <c r="J682" s="7" t="str">
        <f aca="false">IF(G682&gt;=0,A682,"")</f>
        <v/>
      </c>
      <c r="K682" s="7" t="n">
        <f aca="false">IF(G682&lt;0,A682,0)</f>
        <v>677</v>
      </c>
    </row>
    <row r="683" customFormat="false" ht="15" hidden="false" customHeight="false" outlineLevel="0" collapsed="false">
      <c r="A683" s="7" t="n">
        <f aca="false">A682+1</f>
        <v>678</v>
      </c>
      <c r="B683" s="7" t="n">
        <f aca="false">MAX('Giả định'!$B$9,ROUNDUP(A683/'Giả định'!$B$7,0)+'Giả định'!$B$8)</f>
        <v>69</v>
      </c>
      <c r="C683" s="25" t="n">
        <f aca="false">('Chi phí'!$C$76+'Chi phí'!$D$76*B683+'Chi phí'!$E$76*A683+'Giả định'!$B$15*('Chi phí'!$F$76+'Chi phí'!$G$76*B683+'Chi phí'!$H$76*A683))*(1+'Giả định'!$B$16)</f>
        <v>716600720</v>
      </c>
      <c r="D683" s="25" t="n">
        <f aca="false">('Chi phí'!$C$77+'Chi phí'!$D$77*B683+'Chi phí'!$E$77*A683+'Giả định'!$B$15*('Chi phí'!$F$77+'Chi phí'!$G$77*B683+'Chi phí'!$H$77*A683))*(1+'Giả định'!$B$16)</f>
        <v>860205720</v>
      </c>
      <c r="E683" s="25" t="n">
        <f aca="false">A683/'Giả định'!$B$19*'Giả định'!$B$20+A683*'Giả định'!$B$23+'Giả định'!$B$24</f>
        <v>252398319.327731</v>
      </c>
      <c r="F683" s="25" t="n">
        <f aca="false">E683-D683</f>
        <v>-607807400.672269</v>
      </c>
      <c r="G683" s="25" t="n">
        <f aca="false">E683-C683</f>
        <v>-464202400.672269</v>
      </c>
      <c r="H683" s="7" t="str">
        <f aca="false">IF(F683&gt;=0,A683,"")</f>
        <v/>
      </c>
      <c r="I683" s="7" t="n">
        <f aca="false">IF(F683&lt;0,A683,0)</f>
        <v>678</v>
      </c>
      <c r="J683" s="7" t="str">
        <f aca="false">IF(G683&gt;=0,A683,"")</f>
        <v/>
      </c>
      <c r="K683" s="7" t="n">
        <f aca="false">IF(G683&lt;0,A683,0)</f>
        <v>678</v>
      </c>
    </row>
    <row r="684" customFormat="false" ht="15" hidden="false" customHeight="false" outlineLevel="0" collapsed="false">
      <c r="A684" s="7" t="n">
        <f aca="false">A683+1</f>
        <v>679</v>
      </c>
      <c r="B684" s="7" t="n">
        <f aca="false">MAX('Giả định'!$B$9,ROUNDUP(A684/'Giả định'!$B$7,0)+'Giả định'!$B$8)</f>
        <v>69</v>
      </c>
      <c r="C684" s="25" t="n">
        <f aca="false">('Chi phí'!$C$76+'Chi phí'!$D$76*B684+'Chi phí'!$E$76*A684+'Giả định'!$B$15*('Chi phí'!$F$76+'Chi phí'!$G$76*B684+'Chi phí'!$H$76*A684))*(1+'Giả định'!$B$16)</f>
        <v>716637460</v>
      </c>
      <c r="D684" s="25" t="n">
        <f aca="false">('Chi phí'!$C$77+'Chi phí'!$D$77*B684+'Chi phí'!$E$77*A684+'Giả định'!$B$15*('Chi phí'!$F$77+'Chi phí'!$G$77*B684+'Chi phí'!$H$77*A684))*(1+'Giả định'!$B$16)</f>
        <v>860242460</v>
      </c>
      <c r="E684" s="25" t="n">
        <f aca="false">A684/'Giả định'!$B$19*'Giả định'!$B$20+A684*'Giả định'!$B$23+'Giả định'!$B$24</f>
        <v>252770588.235294</v>
      </c>
      <c r="F684" s="25" t="n">
        <f aca="false">E684-D684</f>
        <v>-607471871.764706</v>
      </c>
      <c r="G684" s="25" t="n">
        <f aca="false">E684-C684</f>
        <v>-463866871.764706</v>
      </c>
      <c r="H684" s="7" t="str">
        <f aca="false">IF(F684&gt;=0,A684,"")</f>
        <v/>
      </c>
      <c r="I684" s="7" t="n">
        <f aca="false">IF(F684&lt;0,A684,0)</f>
        <v>679</v>
      </c>
      <c r="J684" s="7" t="str">
        <f aca="false">IF(G684&gt;=0,A684,"")</f>
        <v/>
      </c>
      <c r="K684" s="7" t="n">
        <f aca="false">IF(G684&lt;0,A684,0)</f>
        <v>679</v>
      </c>
    </row>
    <row r="685" customFormat="false" ht="15" hidden="false" customHeight="false" outlineLevel="0" collapsed="false">
      <c r="A685" s="7" t="n">
        <f aca="false">A684+1</f>
        <v>680</v>
      </c>
      <c r="B685" s="7" t="n">
        <f aca="false">MAX('Giả định'!$B$9,ROUNDUP(A685/'Giả định'!$B$7,0)+'Giả định'!$B$8)</f>
        <v>69</v>
      </c>
      <c r="C685" s="25" t="n">
        <f aca="false">('Chi phí'!$C$76+'Chi phí'!$D$76*B685+'Chi phí'!$E$76*A685+'Giả định'!$B$15*('Chi phí'!$F$76+'Chi phí'!$G$76*B685+'Chi phí'!$H$76*A685))*(1+'Giả định'!$B$16)</f>
        <v>716674200</v>
      </c>
      <c r="D685" s="25" t="n">
        <f aca="false">('Chi phí'!$C$77+'Chi phí'!$D$77*B685+'Chi phí'!$E$77*A685+'Giả định'!$B$15*('Chi phí'!$F$77+'Chi phí'!$G$77*B685+'Chi phí'!$H$77*A685))*(1+'Giả định'!$B$16)</f>
        <v>860279200</v>
      </c>
      <c r="E685" s="25" t="n">
        <f aca="false">A685/'Giả định'!$B$19*'Giả định'!$B$20+A685*'Giả định'!$B$23+'Giả định'!$B$24</f>
        <v>253142857.142857</v>
      </c>
      <c r="F685" s="25" t="n">
        <f aca="false">E685-D685</f>
        <v>-607136342.857143</v>
      </c>
      <c r="G685" s="25" t="n">
        <f aca="false">E685-C685</f>
        <v>-463531342.857143</v>
      </c>
      <c r="H685" s="7" t="str">
        <f aca="false">IF(F685&gt;=0,A685,"")</f>
        <v/>
      </c>
      <c r="I685" s="7" t="n">
        <f aca="false">IF(F685&lt;0,A685,0)</f>
        <v>680</v>
      </c>
      <c r="J685" s="7" t="str">
        <f aca="false">IF(G685&gt;=0,A685,"")</f>
        <v/>
      </c>
      <c r="K685" s="7" t="n">
        <f aca="false">IF(G685&lt;0,A685,0)</f>
        <v>680</v>
      </c>
    </row>
    <row r="686" customFormat="false" ht="15" hidden="false" customHeight="false" outlineLevel="0" collapsed="false">
      <c r="A686" s="7" t="n">
        <f aca="false">A685+1</f>
        <v>681</v>
      </c>
      <c r="B686" s="7" t="n">
        <f aca="false">MAX('Giả định'!$B$9,ROUNDUP(A686/'Giả định'!$B$7,0)+'Giả định'!$B$8)</f>
        <v>70</v>
      </c>
      <c r="C686" s="25" t="n">
        <f aca="false">('Chi phí'!$C$76+'Chi phí'!$D$76*B686+'Chi phí'!$E$76*A686+'Giả định'!$B$15*('Chi phí'!$F$76+'Chi phí'!$G$76*B686+'Chi phí'!$H$76*A686))*(1+'Giả định'!$B$16)</f>
        <v>725884940</v>
      </c>
      <c r="D686" s="25" t="n">
        <f aca="false">('Chi phí'!$C$77+'Chi phí'!$D$77*B686+'Chi phí'!$E$77*A686+'Giả định'!$B$15*('Chi phí'!$F$77+'Chi phí'!$G$77*B686+'Chi phí'!$H$77*A686))*(1+'Giả định'!$B$16)</f>
        <v>869489940</v>
      </c>
      <c r="E686" s="25" t="n">
        <f aca="false">A686/'Giả định'!$B$19*'Giả định'!$B$20+A686*'Giả định'!$B$23+'Giả định'!$B$24</f>
        <v>253515126.05042</v>
      </c>
      <c r="F686" s="25" t="n">
        <f aca="false">E686-D686</f>
        <v>-615974813.94958</v>
      </c>
      <c r="G686" s="25" t="n">
        <f aca="false">E686-C686</f>
        <v>-472369813.94958</v>
      </c>
      <c r="H686" s="7" t="str">
        <f aca="false">IF(F686&gt;=0,A686,"")</f>
        <v/>
      </c>
      <c r="I686" s="7" t="n">
        <f aca="false">IF(F686&lt;0,A686,0)</f>
        <v>681</v>
      </c>
      <c r="J686" s="7" t="str">
        <f aca="false">IF(G686&gt;=0,A686,"")</f>
        <v/>
      </c>
      <c r="K686" s="7" t="n">
        <f aca="false">IF(G686&lt;0,A686,0)</f>
        <v>681</v>
      </c>
    </row>
    <row r="687" customFormat="false" ht="15" hidden="false" customHeight="false" outlineLevel="0" collapsed="false">
      <c r="A687" s="7" t="n">
        <f aca="false">A686+1</f>
        <v>682</v>
      </c>
      <c r="B687" s="7" t="n">
        <f aca="false">MAX('Giả định'!$B$9,ROUNDUP(A687/'Giả định'!$B$7,0)+'Giả định'!$B$8)</f>
        <v>70</v>
      </c>
      <c r="C687" s="25" t="n">
        <f aca="false">('Chi phí'!$C$76+'Chi phí'!$D$76*B687+'Chi phí'!$E$76*A687+'Giả định'!$B$15*('Chi phí'!$F$76+'Chi phí'!$G$76*B687+'Chi phí'!$H$76*A687))*(1+'Giả định'!$B$16)</f>
        <v>725921680</v>
      </c>
      <c r="D687" s="25" t="n">
        <f aca="false">('Chi phí'!$C$77+'Chi phí'!$D$77*B687+'Chi phí'!$E$77*A687+'Giả định'!$B$15*('Chi phí'!$F$77+'Chi phí'!$G$77*B687+'Chi phí'!$H$77*A687))*(1+'Giả định'!$B$16)</f>
        <v>869526680</v>
      </c>
      <c r="E687" s="25" t="n">
        <f aca="false">A687/'Giả định'!$B$19*'Giả định'!$B$20+A687*'Giả định'!$B$23+'Giả định'!$B$24</f>
        <v>253887394.957983</v>
      </c>
      <c r="F687" s="25" t="n">
        <f aca="false">E687-D687</f>
        <v>-615639285.042017</v>
      </c>
      <c r="G687" s="25" t="n">
        <f aca="false">E687-C687</f>
        <v>-472034285.042017</v>
      </c>
      <c r="H687" s="7" t="str">
        <f aca="false">IF(F687&gt;=0,A687,"")</f>
        <v/>
      </c>
      <c r="I687" s="7" t="n">
        <f aca="false">IF(F687&lt;0,A687,0)</f>
        <v>682</v>
      </c>
      <c r="J687" s="7" t="str">
        <f aca="false">IF(G687&gt;=0,A687,"")</f>
        <v/>
      </c>
      <c r="K687" s="7" t="n">
        <f aca="false">IF(G687&lt;0,A687,0)</f>
        <v>682</v>
      </c>
    </row>
    <row r="688" customFormat="false" ht="15" hidden="false" customHeight="false" outlineLevel="0" collapsed="false">
      <c r="A688" s="7" t="n">
        <f aca="false">A687+1</f>
        <v>683</v>
      </c>
      <c r="B688" s="7" t="n">
        <f aca="false">MAX('Giả định'!$B$9,ROUNDUP(A688/'Giả định'!$B$7,0)+'Giả định'!$B$8)</f>
        <v>70</v>
      </c>
      <c r="C688" s="25" t="n">
        <f aca="false">('Chi phí'!$C$76+'Chi phí'!$D$76*B688+'Chi phí'!$E$76*A688+'Giả định'!$B$15*('Chi phí'!$F$76+'Chi phí'!$G$76*B688+'Chi phí'!$H$76*A688))*(1+'Giả định'!$B$16)</f>
        <v>725958420</v>
      </c>
      <c r="D688" s="25" t="n">
        <f aca="false">('Chi phí'!$C$77+'Chi phí'!$D$77*B688+'Chi phí'!$E$77*A688+'Giả định'!$B$15*('Chi phí'!$F$77+'Chi phí'!$G$77*B688+'Chi phí'!$H$77*A688))*(1+'Giả định'!$B$16)</f>
        <v>869563420</v>
      </c>
      <c r="E688" s="25" t="n">
        <f aca="false">A688/'Giả định'!$B$19*'Giả định'!$B$20+A688*'Giả định'!$B$23+'Giả định'!$B$24</f>
        <v>254259663.865546</v>
      </c>
      <c r="F688" s="25" t="n">
        <f aca="false">E688-D688</f>
        <v>-615303756.134454</v>
      </c>
      <c r="G688" s="25" t="n">
        <f aca="false">E688-C688</f>
        <v>-471698756.134454</v>
      </c>
      <c r="H688" s="7" t="str">
        <f aca="false">IF(F688&gt;=0,A688,"")</f>
        <v/>
      </c>
      <c r="I688" s="7" t="n">
        <f aca="false">IF(F688&lt;0,A688,0)</f>
        <v>683</v>
      </c>
      <c r="J688" s="7" t="str">
        <f aca="false">IF(G688&gt;=0,A688,"")</f>
        <v/>
      </c>
      <c r="K688" s="7" t="n">
        <f aca="false">IF(G688&lt;0,A688,0)</f>
        <v>683</v>
      </c>
    </row>
    <row r="689" customFormat="false" ht="15" hidden="false" customHeight="false" outlineLevel="0" collapsed="false">
      <c r="A689" s="7" t="n">
        <f aca="false">A688+1</f>
        <v>684</v>
      </c>
      <c r="B689" s="7" t="n">
        <f aca="false">MAX('Giả định'!$B$9,ROUNDUP(A689/'Giả định'!$B$7,0)+'Giả định'!$B$8)</f>
        <v>70</v>
      </c>
      <c r="C689" s="25" t="n">
        <f aca="false">('Chi phí'!$C$76+'Chi phí'!$D$76*B689+'Chi phí'!$E$76*A689+'Giả định'!$B$15*('Chi phí'!$F$76+'Chi phí'!$G$76*B689+'Chi phí'!$H$76*A689))*(1+'Giả định'!$B$16)</f>
        <v>725995160</v>
      </c>
      <c r="D689" s="25" t="n">
        <f aca="false">('Chi phí'!$C$77+'Chi phí'!$D$77*B689+'Chi phí'!$E$77*A689+'Giả định'!$B$15*('Chi phí'!$F$77+'Chi phí'!$G$77*B689+'Chi phí'!$H$77*A689))*(1+'Giả định'!$B$16)</f>
        <v>869600160</v>
      </c>
      <c r="E689" s="25" t="n">
        <f aca="false">A689/'Giả định'!$B$19*'Giả định'!$B$20+A689*'Giả định'!$B$23+'Giả định'!$B$24</f>
        <v>254631932.773109</v>
      </c>
      <c r="F689" s="25" t="n">
        <f aca="false">E689-D689</f>
        <v>-614968227.226891</v>
      </c>
      <c r="G689" s="25" t="n">
        <f aca="false">E689-C689</f>
        <v>-471363227.226891</v>
      </c>
      <c r="H689" s="7" t="str">
        <f aca="false">IF(F689&gt;=0,A689,"")</f>
        <v/>
      </c>
      <c r="I689" s="7" t="n">
        <f aca="false">IF(F689&lt;0,A689,0)</f>
        <v>684</v>
      </c>
      <c r="J689" s="7" t="str">
        <f aca="false">IF(G689&gt;=0,A689,"")</f>
        <v/>
      </c>
      <c r="K689" s="7" t="n">
        <f aca="false">IF(G689&lt;0,A689,0)</f>
        <v>684</v>
      </c>
    </row>
    <row r="690" customFormat="false" ht="15" hidden="false" customHeight="false" outlineLevel="0" collapsed="false">
      <c r="A690" s="7" t="n">
        <f aca="false">A689+1</f>
        <v>685</v>
      </c>
      <c r="B690" s="7" t="n">
        <f aca="false">MAX('Giả định'!$B$9,ROUNDUP(A690/'Giả định'!$B$7,0)+'Giả định'!$B$8)</f>
        <v>70</v>
      </c>
      <c r="C690" s="25" t="n">
        <f aca="false">('Chi phí'!$C$76+'Chi phí'!$D$76*B690+'Chi phí'!$E$76*A690+'Giả định'!$B$15*('Chi phí'!$F$76+'Chi phí'!$G$76*B690+'Chi phí'!$H$76*A690))*(1+'Giả định'!$B$16)</f>
        <v>726031900</v>
      </c>
      <c r="D690" s="25" t="n">
        <f aca="false">('Chi phí'!$C$77+'Chi phí'!$D$77*B690+'Chi phí'!$E$77*A690+'Giả định'!$B$15*('Chi phí'!$F$77+'Chi phí'!$G$77*B690+'Chi phí'!$H$77*A690))*(1+'Giả định'!$B$16)</f>
        <v>869636900</v>
      </c>
      <c r="E690" s="25" t="n">
        <f aca="false">A690/'Giả định'!$B$19*'Giả định'!$B$20+A690*'Giả định'!$B$23+'Giả định'!$B$24</f>
        <v>255004201.680672</v>
      </c>
      <c r="F690" s="25" t="n">
        <f aca="false">E690-D690</f>
        <v>-614632698.319328</v>
      </c>
      <c r="G690" s="25" t="n">
        <f aca="false">E690-C690</f>
        <v>-471027698.319328</v>
      </c>
      <c r="H690" s="7" t="str">
        <f aca="false">IF(F690&gt;=0,A690,"")</f>
        <v/>
      </c>
      <c r="I690" s="7" t="n">
        <f aca="false">IF(F690&lt;0,A690,0)</f>
        <v>685</v>
      </c>
      <c r="J690" s="7" t="str">
        <f aca="false">IF(G690&gt;=0,A690,"")</f>
        <v/>
      </c>
      <c r="K690" s="7" t="n">
        <f aca="false">IF(G690&lt;0,A690,0)</f>
        <v>685</v>
      </c>
    </row>
    <row r="691" customFormat="false" ht="15" hidden="false" customHeight="false" outlineLevel="0" collapsed="false">
      <c r="A691" s="7" t="n">
        <f aca="false">A690+1</f>
        <v>686</v>
      </c>
      <c r="B691" s="7" t="n">
        <f aca="false">MAX('Giả định'!$B$9,ROUNDUP(A691/'Giả định'!$B$7,0)+'Giả định'!$B$8)</f>
        <v>70</v>
      </c>
      <c r="C691" s="25" t="n">
        <f aca="false">('Chi phí'!$C$76+'Chi phí'!$D$76*B691+'Chi phí'!$E$76*A691+'Giả định'!$B$15*('Chi phí'!$F$76+'Chi phí'!$G$76*B691+'Chi phí'!$H$76*A691))*(1+'Giả định'!$B$16)</f>
        <v>726068640</v>
      </c>
      <c r="D691" s="25" t="n">
        <f aca="false">('Chi phí'!$C$77+'Chi phí'!$D$77*B691+'Chi phí'!$E$77*A691+'Giả định'!$B$15*('Chi phí'!$F$77+'Chi phí'!$G$77*B691+'Chi phí'!$H$77*A691))*(1+'Giả định'!$B$16)</f>
        <v>869673640</v>
      </c>
      <c r="E691" s="25" t="n">
        <f aca="false">A691/'Giả định'!$B$19*'Giả định'!$B$20+A691*'Giả định'!$B$23+'Giả định'!$B$24</f>
        <v>255376470.588235</v>
      </c>
      <c r="F691" s="25" t="n">
        <f aca="false">E691-D691</f>
        <v>-614297169.411765</v>
      </c>
      <c r="G691" s="25" t="n">
        <f aca="false">E691-C691</f>
        <v>-470692169.411765</v>
      </c>
      <c r="H691" s="7" t="str">
        <f aca="false">IF(F691&gt;=0,A691,"")</f>
        <v/>
      </c>
      <c r="I691" s="7" t="n">
        <f aca="false">IF(F691&lt;0,A691,0)</f>
        <v>686</v>
      </c>
      <c r="J691" s="7" t="str">
        <f aca="false">IF(G691&gt;=0,A691,"")</f>
        <v/>
      </c>
      <c r="K691" s="7" t="n">
        <f aca="false">IF(G691&lt;0,A691,0)</f>
        <v>686</v>
      </c>
    </row>
    <row r="692" customFormat="false" ht="15" hidden="false" customHeight="false" outlineLevel="0" collapsed="false">
      <c r="A692" s="7" t="n">
        <f aca="false">A691+1</f>
        <v>687</v>
      </c>
      <c r="B692" s="7" t="n">
        <f aca="false">MAX('Giả định'!$B$9,ROUNDUP(A692/'Giả định'!$B$7,0)+'Giả định'!$B$8)</f>
        <v>70</v>
      </c>
      <c r="C692" s="25" t="n">
        <f aca="false">('Chi phí'!$C$76+'Chi phí'!$D$76*B692+'Chi phí'!$E$76*A692+'Giả định'!$B$15*('Chi phí'!$F$76+'Chi phí'!$G$76*B692+'Chi phí'!$H$76*A692))*(1+'Giả định'!$B$16)</f>
        <v>726105380</v>
      </c>
      <c r="D692" s="25" t="n">
        <f aca="false">('Chi phí'!$C$77+'Chi phí'!$D$77*B692+'Chi phí'!$E$77*A692+'Giả định'!$B$15*('Chi phí'!$F$77+'Chi phí'!$G$77*B692+'Chi phí'!$H$77*A692))*(1+'Giả định'!$B$16)</f>
        <v>869710380</v>
      </c>
      <c r="E692" s="25" t="n">
        <f aca="false">A692/'Giả định'!$B$19*'Giả định'!$B$20+A692*'Giả định'!$B$23+'Giả định'!$B$24</f>
        <v>255748739.495798</v>
      </c>
      <c r="F692" s="25" t="n">
        <f aca="false">E692-D692</f>
        <v>-613961640.504202</v>
      </c>
      <c r="G692" s="25" t="n">
        <f aca="false">E692-C692</f>
        <v>-470356640.504202</v>
      </c>
      <c r="H692" s="7" t="str">
        <f aca="false">IF(F692&gt;=0,A692,"")</f>
        <v/>
      </c>
      <c r="I692" s="7" t="n">
        <f aca="false">IF(F692&lt;0,A692,0)</f>
        <v>687</v>
      </c>
      <c r="J692" s="7" t="str">
        <f aca="false">IF(G692&gt;=0,A692,"")</f>
        <v/>
      </c>
      <c r="K692" s="7" t="n">
        <f aca="false">IF(G692&lt;0,A692,0)</f>
        <v>687</v>
      </c>
    </row>
    <row r="693" customFormat="false" ht="15" hidden="false" customHeight="false" outlineLevel="0" collapsed="false">
      <c r="A693" s="7" t="n">
        <f aca="false">A692+1</f>
        <v>688</v>
      </c>
      <c r="B693" s="7" t="n">
        <f aca="false">MAX('Giả định'!$B$9,ROUNDUP(A693/'Giả định'!$B$7,0)+'Giả định'!$B$8)</f>
        <v>70</v>
      </c>
      <c r="C693" s="25" t="n">
        <f aca="false">('Chi phí'!$C$76+'Chi phí'!$D$76*B693+'Chi phí'!$E$76*A693+'Giả định'!$B$15*('Chi phí'!$F$76+'Chi phí'!$G$76*B693+'Chi phí'!$H$76*A693))*(1+'Giả định'!$B$16)</f>
        <v>726142120</v>
      </c>
      <c r="D693" s="25" t="n">
        <f aca="false">('Chi phí'!$C$77+'Chi phí'!$D$77*B693+'Chi phí'!$E$77*A693+'Giả định'!$B$15*('Chi phí'!$F$77+'Chi phí'!$G$77*B693+'Chi phí'!$H$77*A693))*(1+'Giả định'!$B$16)</f>
        <v>869747120</v>
      </c>
      <c r="E693" s="25" t="n">
        <f aca="false">A693/'Giả định'!$B$19*'Giả định'!$B$20+A693*'Giả định'!$B$23+'Giả định'!$B$24</f>
        <v>256121008.403361</v>
      </c>
      <c r="F693" s="25" t="n">
        <f aca="false">E693-D693</f>
        <v>-613626111.596639</v>
      </c>
      <c r="G693" s="25" t="n">
        <f aca="false">E693-C693</f>
        <v>-470021111.596639</v>
      </c>
      <c r="H693" s="7" t="str">
        <f aca="false">IF(F693&gt;=0,A693,"")</f>
        <v/>
      </c>
      <c r="I693" s="7" t="n">
        <f aca="false">IF(F693&lt;0,A693,0)</f>
        <v>688</v>
      </c>
      <c r="J693" s="7" t="str">
        <f aca="false">IF(G693&gt;=0,A693,"")</f>
        <v/>
      </c>
      <c r="K693" s="7" t="n">
        <f aca="false">IF(G693&lt;0,A693,0)</f>
        <v>688</v>
      </c>
    </row>
    <row r="694" customFormat="false" ht="15" hidden="false" customHeight="false" outlineLevel="0" collapsed="false">
      <c r="A694" s="7" t="n">
        <f aca="false">A693+1</f>
        <v>689</v>
      </c>
      <c r="B694" s="7" t="n">
        <f aca="false">MAX('Giả định'!$B$9,ROUNDUP(A694/'Giả định'!$B$7,0)+'Giả định'!$B$8)</f>
        <v>70</v>
      </c>
      <c r="C694" s="25" t="n">
        <f aca="false">('Chi phí'!$C$76+'Chi phí'!$D$76*B694+'Chi phí'!$E$76*A694+'Giả định'!$B$15*('Chi phí'!$F$76+'Chi phí'!$G$76*B694+'Chi phí'!$H$76*A694))*(1+'Giả định'!$B$16)</f>
        <v>726178860</v>
      </c>
      <c r="D694" s="25" t="n">
        <f aca="false">('Chi phí'!$C$77+'Chi phí'!$D$77*B694+'Chi phí'!$E$77*A694+'Giả định'!$B$15*('Chi phí'!$F$77+'Chi phí'!$G$77*B694+'Chi phí'!$H$77*A694))*(1+'Giả định'!$B$16)</f>
        <v>869783860</v>
      </c>
      <c r="E694" s="25" t="n">
        <f aca="false">A694/'Giả định'!$B$19*'Giả định'!$B$20+A694*'Giả định'!$B$23+'Giả định'!$B$24</f>
        <v>256493277.310924</v>
      </c>
      <c r="F694" s="25" t="n">
        <f aca="false">E694-D694</f>
        <v>-613290582.689076</v>
      </c>
      <c r="G694" s="25" t="n">
        <f aca="false">E694-C694</f>
        <v>-469685582.689076</v>
      </c>
      <c r="H694" s="7" t="str">
        <f aca="false">IF(F694&gt;=0,A694,"")</f>
        <v/>
      </c>
      <c r="I694" s="7" t="n">
        <f aca="false">IF(F694&lt;0,A694,0)</f>
        <v>689</v>
      </c>
      <c r="J694" s="7" t="str">
        <f aca="false">IF(G694&gt;=0,A694,"")</f>
        <v/>
      </c>
      <c r="K694" s="7" t="n">
        <f aca="false">IF(G694&lt;0,A694,0)</f>
        <v>689</v>
      </c>
    </row>
    <row r="695" customFormat="false" ht="15" hidden="false" customHeight="false" outlineLevel="0" collapsed="false">
      <c r="A695" s="7" t="n">
        <f aca="false">A694+1</f>
        <v>690</v>
      </c>
      <c r="B695" s="7" t="n">
        <f aca="false">MAX('Giả định'!$B$9,ROUNDUP(A695/'Giả định'!$B$7,0)+'Giả định'!$B$8)</f>
        <v>70</v>
      </c>
      <c r="C695" s="25" t="n">
        <f aca="false">('Chi phí'!$C$76+'Chi phí'!$D$76*B695+'Chi phí'!$E$76*A695+'Giả định'!$B$15*('Chi phí'!$F$76+'Chi phí'!$G$76*B695+'Chi phí'!$H$76*A695))*(1+'Giả định'!$B$16)</f>
        <v>726215600</v>
      </c>
      <c r="D695" s="25" t="n">
        <f aca="false">('Chi phí'!$C$77+'Chi phí'!$D$77*B695+'Chi phí'!$E$77*A695+'Giả định'!$B$15*('Chi phí'!$F$77+'Chi phí'!$G$77*B695+'Chi phí'!$H$77*A695))*(1+'Giả định'!$B$16)</f>
        <v>869820600</v>
      </c>
      <c r="E695" s="25" t="n">
        <f aca="false">A695/'Giả định'!$B$19*'Giả định'!$B$20+A695*'Giả định'!$B$23+'Giả định'!$B$24</f>
        <v>256865546.218487</v>
      </c>
      <c r="F695" s="25" t="n">
        <f aca="false">E695-D695</f>
        <v>-612955053.781513</v>
      </c>
      <c r="G695" s="25" t="n">
        <f aca="false">E695-C695</f>
        <v>-469350053.781513</v>
      </c>
      <c r="H695" s="7" t="str">
        <f aca="false">IF(F695&gt;=0,A695,"")</f>
        <v/>
      </c>
      <c r="I695" s="7" t="n">
        <f aca="false">IF(F695&lt;0,A695,0)</f>
        <v>690</v>
      </c>
      <c r="J695" s="7" t="str">
        <f aca="false">IF(G695&gt;=0,A695,"")</f>
        <v/>
      </c>
      <c r="K695" s="7" t="n">
        <f aca="false">IF(G695&lt;0,A695,0)</f>
        <v>690</v>
      </c>
    </row>
    <row r="696" customFormat="false" ht="15" hidden="false" customHeight="false" outlineLevel="0" collapsed="false">
      <c r="A696" s="7" t="n">
        <f aca="false">A695+1</f>
        <v>691</v>
      </c>
      <c r="B696" s="7" t="n">
        <f aca="false">MAX('Giả định'!$B$9,ROUNDUP(A696/'Giả định'!$B$7,0)+'Giả định'!$B$8)</f>
        <v>71</v>
      </c>
      <c r="C696" s="25" t="n">
        <f aca="false">('Chi phí'!$C$76+'Chi phí'!$D$76*B696+'Chi phí'!$E$76*A696+'Giả định'!$B$15*('Chi phí'!$F$76+'Chi phí'!$G$76*B696+'Chi phí'!$H$76*A696))*(1+'Giả định'!$B$16)</f>
        <v>735426340</v>
      </c>
      <c r="D696" s="25" t="n">
        <f aca="false">('Chi phí'!$C$77+'Chi phí'!$D$77*B696+'Chi phí'!$E$77*A696+'Giả định'!$B$15*('Chi phí'!$F$77+'Chi phí'!$G$77*B696+'Chi phí'!$H$77*A696))*(1+'Giả định'!$B$16)</f>
        <v>879031340</v>
      </c>
      <c r="E696" s="25" t="n">
        <f aca="false">A696/'Giả định'!$B$19*'Giả định'!$B$20+A696*'Giả định'!$B$23+'Giả định'!$B$24</f>
        <v>257237815.12605</v>
      </c>
      <c r="F696" s="25" t="n">
        <f aca="false">E696-D696</f>
        <v>-621793524.87395</v>
      </c>
      <c r="G696" s="25" t="n">
        <f aca="false">E696-C696</f>
        <v>-478188524.87395</v>
      </c>
      <c r="H696" s="7" t="str">
        <f aca="false">IF(F696&gt;=0,A696,"")</f>
        <v/>
      </c>
      <c r="I696" s="7" t="n">
        <f aca="false">IF(F696&lt;0,A696,0)</f>
        <v>691</v>
      </c>
      <c r="J696" s="7" t="str">
        <f aca="false">IF(G696&gt;=0,A696,"")</f>
        <v/>
      </c>
      <c r="K696" s="7" t="n">
        <f aca="false">IF(G696&lt;0,A696,0)</f>
        <v>691</v>
      </c>
    </row>
    <row r="697" customFormat="false" ht="15" hidden="false" customHeight="false" outlineLevel="0" collapsed="false">
      <c r="A697" s="7" t="n">
        <f aca="false">A696+1</f>
        <v>692</v>
      </c>
      <c r="B697" s="7" t="n">
        <f aca="false">MAX('Giả định'!$B$9,ROUNDUP(A697/'Giả định'!$B$7,0)+'Giả định'!$B$8)</f>
        <v>71</v>
      </c>
      <c r="C697" s="25" t="n">
        <f aca="false">('Chi phí'!$C$76+'Chi phí'!$D$76*B697+'Chi phí'!$E$76*A697+'Giả định'!$B$15*('Chi phí'!$F$76+'Chi phí'!$G$76*B697+'Chi phí'!$H$76*A697))*(1+'Giả định'!$B$16)</f>
        <v>735463080</v>
      </c>
      <c r="D697" s="25" t="n">
        <f aca="false">('Chi phí'!$C$77+'Chi phí'!$D$77*B697+'Chi phí'!$E$77*A697+'Giả định'!$B$15*('Chi phí'!$F$77+'Chi phí'!$G$77*B697+'Chi phí'!$H$77*A697))*(1+'Giả định'!$B$16)</f>
        <v>879068080</v>
      </c>
      <c r="E697" s="25" t="n">
        <f aca="false">A697/'Giả định'!$B$19*'Giả định'!$B$20+A697*'Giả định'!$B$23+'Giả định'!$B$24</f>
        <v>257610084.033613</v>
      </c>
      <c r="F697" s="25" t="n">
        <f aca="false">E697-D697</f>
        <v>-621457995.966387</v>
      </c>
      <c r="G697" s="25" t="n">
        <f aca="false">E697-C697</f>
        <v>-477852995.966387</v>
      </c>
      <c r="H697" s="7" t="str">
        <f aca="false">IF(F697&gt;=0,A697,"")</f>
        <v/>
      </c>
      <c r="I697" s="7" t="n">
        <f aca="false">IF(F697&lt;0,A697,0)</f>
        <v>692</v>
      </c>
      <c r="J697" s="7" t="str">
        <f aca="false">IF(G697&gt;=0,A697,"")</f>
        <v/>
      </c>
      <c r="K697" s="7" t="n">
        <f aca="false">IF(G697&lt;0,A697,0)</f>
        <v>692</v>
      </c>
    </row>
    <row r="698" customFormat="false" ht="15" hidden="false" customHeight="false" outlineLevel="0" collapsed="false">
      <c r="A698" s="7" t="n">
        <f aca="false">A697+1</f>
        <v>693</v>
      </c>
      <c r="B698" s="7" t="n">
        <f aca="false">MAX('Giả định'!$B$9,ROUNDUP(A698/'Giả định'!$B$7,0)+'Giả định'!$B$8)</f>
        <v>71</v>
      </c>
      <c r="C698" s="25" t="n">
        <f aca="false">('Chi phí'!$C$76+'Chi phí'!$D$76*B698+'Chi phí'!$E$76*A698+'Giả định'!$B$15*('Chi phí'!$F$76+'Chi phí'!$G$76*B698+'Chi phí'!$H$76*A698))*(1+'Giả định'!$B$16)</f>
        <v>735499820</v>
      </c>
      <c r="D698" s="25" t="n">
        <f aca="false">('Chi phí'!$C$77+'Chi phí'!$D$77*B698+'Chi phí'!$E$77*A698+'Giả định'!$B$15*('Chi phí'!$F$77+'Chi phí'!$G$77*B698+'Chi phí'!$H$77*A698))*(1+'Giả định'!$B$16)</f>
        <v>879104820</v>
      </c>
      <c r="E698" s="25" t="n">
        <f aca="false">A698/'Giả định'!$B$19*'Giả định'!$B$20+A698*'Giả định'!$B$23+'Giả định'!$B$24</f>
        <v>257982352.941177</v>
      </c>
      <c r="F698" s="25" t="n">
        <f aca="false">E698-D698</f>
        <v>-621122467.058824</v>
      </c>
      <c r="G698" s="25" t="n">
        <f aca="false">E698-C698</f>
        <v>-477517467.058823</v>
      </c>
      <c r="H698" s="7" t="str">
        <f aca="false">IF(F698&gt;=0,A698,"")</f>
        <v/>
      </c>
      <c r="I698" s="7" t="n">
        <f aca="false">IF(F698&lt;0,A698,0)</f>
        <v>693</v>
      </c>
      <c r="J698" s="7" t="str">
        <f aca="false">IF(G698&gt;=0,A698,"")</f>
        <v/>
      </c>
      <c r="K698" s="7" t="n">
        <f aca="false">IF(G698&lt;0,A698,0)</f>
        <v>693</v>
      </c>
    </row>
    <row r="699" customFormat="false" ht="15" hidden="false" customHeight="false" outlineLevel="0" collapsed="false">
      <c r="A699" s="7" t="n">
        <f aca="false">A698+1</f>
        <v>694</v>
      </c>
      <c r="B699" s="7" t="n">
        <f aca="false">MAX('Giả định'!$B$9,ROUNDUP(A699/'Giả định'!$B$7,0)+'Giả định'!$B$8)</f>
        <v>71</v>
      </c>
      <c r="C699" s="25" t="n">
        <f aca="false">('Chi phí'!$C$76+'Chi phí'!$D$76*B699+'Chi phí'!$E$76*A699+'Giả định'!$B$15*('Chi phí'!$F$76+'Chi phí'!$G$76*B699+'Chi phí'!$H$76*A699))*(1+'Giả định'!$B$16)</f>
        <v>735536560</v>
      </c>
      <c r="D699" s="25" t="n">
        <f aca="false">('Chi phí'!$C$77+'Chi phí'!$D$77*B699+'Chi phí'!$E$77*A699+'Giả định'!$B$15*('Chi phí'!$F$77+'Chi phí'!$G$77*B699+'Chi phí'!$H$77*A699))*(1+'Giả định'!$B$16)</f>
        <v>879141560</v>
      </c>
      <c r="E699" s="25" t="n">
        <f aca="false">A699/'Giả định'!$B$19*'Giả định'!$B$20+A699*'Giả định'!$B$23+'Giả định'!$B$24</f>
        <v>258354621.84874</v>
      </c>
      <c r="F699" s="25" t="n">
        <f aca="false">E699-D699</f>
        <v>-620786938.151261</v>
      </c>
      <c r="G699" s="25" t="n">
        <f aca="false">E699-C699</f>
        <v>-477181938.151261</v>
      </c>
      <c r="H699" s="7" t="str">
        <f aca="false">IF(F699&gt;=0,A699,"")</f>
        <v/>
      </c>
      <c r="I699" s="7" t="n">
        <f aca="false">IF(F699&lt;0,A699,0)</f>
        <v>694</v>
      </c>
      <c r="J699" s="7" t="str">
        <f aca="false">IF(G699&gt;=0,A699,"")</f>
        <v/>
      </c>
      <c r="K699" s="7" t="n">
        <f aca="false">IF(G699&lt;0,A699,0)</f>
        <v>694</v>
      </c>
    </row>
    <row r="700" customFormat="false" ht="15" hidden="false" customHeight="false" outlineLevel="0" collapsed="false">
      <c r="A700" s="7" t="n">
        <f aca="false">A699+1</f>
        <v>695</v>
      </c>
      <c r="B700" s="7" t="n">
        <f aca="false">MAX('Giả định'!$B$9,ROUNDUP(A700/'Giả định'!$B$7,0)+'Giả định'!$B$8)</f>
        <v>71</v>
      </c>
      <c r="C700" s="25" t="n">
        <f aca="false">('Chi phí'!$C$76+'Chi phí'!$D$76*B700+'Chi phí'!$E$76*A700+'Giả định'!$B$15*('Chi phí'!$F$76+'Chi phí'!$G$76*B700+'Chi phí'!$H$76*A700))*(1+'Giả định'!$B$16)</f>
        <v>735573300</v>
      </c>
      <c r="D700" s="25" t="n">
        <f aca="false">('Chi phí'!$C$77+'Chi phí'!$D$77*B700+'Chi phí'!$E$77*A700+'Giả định'!$B$15*('Chi phí'!$F$77+'Chi phí'!$G$77*B700+'Chi phí'!$H$77*A700))*(1+'Giả định'!$B$16)</f>
        <v>879178300</v>
      </c>
      <c r="E700" s="25" t="n">
        <f aca="false">A700/'Giả định'!$B$19*'Giả định'!$B$20+A700*'Giả định'!$B$23+'Giả định'!$B$24</f>
        <v>258726890.756303</v>
      </c>
      <c r="F700" s="25" t="n">
        <f aca="false">E700-D700</f>
        <v>-620451409.243698</v>
      </c>
      <c r="G700" s="25" t="n">
        <f aca="false">E700-C700</f>
        <v>-476846409.243697</v>
      </c>
      <c r="H700" s="7" t="str">
        <f aca="false">IF(F700&gt;=0,A700,"")</f>
        <v/>
      </c>
      <c r="I700" s="7" t="n">
        <f aca="false">IF(F700&lt;0,A700,0)</f>
        <v>695</v>
      </c>
      <c r="J700" s="7" t="str">
        <f aca="false">IF(G700&gt;=0,A700,"")</f>
        <v/>
      </c>
      <c r="K700" s="7" t="n">
        <f aca="false">IF(G700&lt;0,A700,0)</f>
        <v>695</v>
      </c>
    </row>
    <row r="701" customFormat="false" ht="15" hidden="false" customHeight="false" outlineLevel="0" collapsed="false">
      <c r="A701" s="7" t="n">
        <f aca="false">A700+1</f>
        <v>696</v>
      </c>
      <c r="B701" s="7" t="n">
        <f aca="false">MAX('Giả định'!$B$9,ROUNDUP(A701/'Giả định'!$B$7,0)+'Giả định'!$B$8)</f>
        <v>71</v>
      </c>
      <c r="C701" s="25" t="n">
        <f aca="false">('Chi phí'!$C$76+'Chi phí'!$D$76*B701+'Chi phí'!$E$76*A701+'Giả định'!$B$15*('Chi phí'!$F$76+'Chi phí'!$G$76*B701+'Chi phí'!$H$76*A701))*(1+'Giả định'!$B$16)</f>
        <v>735610040</v>
      </c>
      <c r="D701" s="25" t="n">
        <f aca="false">('Chi phí'!$C$77+'Chi phí'!$D$77*B701+'Chi phí'!$E$77*A701+'Giả định'!$B$15*('Chi phí'!$F$77+'Chi phí'!$G$77*B701+'Chi phí'!$H$77*A701))*(1+'Giả định'!$B$16)</f>
        <v>879215040</v>
      </c>
      <c r="E701" s="25" t="n">
        <f aca="false">A701/'Giả định'!$B$19*'Giả định'!$B$20+A701*'Giả định'!$B$23+'Giả định'!$B$24</f>
        <v>259099159.663866</v>
      </c>
      <c r="F701" s="25" t="n">
        <f aca="false">E701-D701</f>
        <v>-620115880.336135</v>
      </c>
      <c r="G701" s="25" t="n">
        <f aca="false">E701-C701</f>
        <v>-476510880.336134</v>
      </c>
      <c r="H701" s="7" t="str">
        <f aca="false">IF(F701&gt;=0,A701,"")</f>
        <v/>
      </c>
      <c r="I701" s="7" t="n">
        <f aca="false">IF(F701&lt;0,A701,0)</f>
        <v>696</v>
      </c>
      <c r="J701" s="7" t="str">
        <f aca="false">IF(G701&gt;=0,A701,"")</f>
        <v/>
      </c>
      <c r="K701" s="7" t="n">
        <f aca="false">IF(G701&lt;0,A701,0)</f>
        <v>696</v>
      </c>
    </row>
    <row r="702" customFormat="false" ht="15" hidden="false" customHeight="false" outlineLevel="0" collapsed="false">
      <c r="A702" s="7" t="n">
        <f aca="false">A701+1</f>
        <v>697</v>
      </c>
      <c r="B702" s="7" t="n">
        <f aca="false">MAX('Giả định'!$B$9,ROUNDUP(A702/'Giả định'!$B$7,0)+'Giả định'!$B$8)</f>
        <v>71</v>
      </c>
      <c r="C702" s="25" t="n">
        <f aca="false">('Chi phí'!$C$76+'Chi phí'!$D$76*B702+'Chi phí'!$E$76*A702+'Giả định'!$B$15*('Chi phí'!$F$76+'Chi phí'!$G$76*B702+'Chi phí'!$H$76*A702))*(1+'Giả định'!$B$16)</f>
        <v>735646780</v>
      </c>
      <c r="D702" s="25" t="n">
        <f aca="false">('Chi phí'!$C$77+'Chi phí'!$D$77*B702+'Chi phí'!$E$77*A702+'Giả định'!$B$15*('Chi phí'!$F$77+'Chi phí'!$G$77*B702+'Chi phí'!$H$77*A702))*(1+'Giả định'!$B$16)</f>
        <v>879251780</v>
      </c>
      <c r="E702" s="25" t="n">
        <f aca="false">A702/'Giả định'!$B$19*'Giả định'!$B$20+A702*'Giả định'!$B$23+'Giả định'!$B$24</f>
        <v>259471428.571429</v>
      </c>
      <c r="F702" s="25" t="n">
        <f aca="false">E702-D702</f>
        <v>-619780351.428572</v>
      </c>
      <c r="G702" s="25" t="n">
        <f aca="false">E702-C702</f>
        <v>-476175351.428571</v>
      </c>
      <c r="H702" s="7" t="str">
        <f aca="false">IF(F702&gt;=0,A702,"")</f>
        <v/>
      </c>
      <c r="I702" s="7" t="n">
        <f aca="false">IF(F702&lt;0,A702,0)</f>
        <v>697</v>
      </c>
      <c r="J702" s="7" t="str">
        <f aca="false">IF(G702&gt;=0,A702,"")</f>
        <v/>
      </c>
      <c r="K702" s="7" t="n">
        <f aca="false">IF(G702&lt;0,A702,0)</f>
        <v>697</v>
      </c>
    </row>
    <row r="703" customFormat="false" ht="15" hidden="false" customHeight="false" outlineLevel="0" collapsed="false">
      <c r="A703" s="7" t="n">
        <f aca="false">A702+1</f>
        <v>698</v>
      </c>
      <c r="B703" s="7" t="n">
        <f aca="false">MAX('Giả định'!$B$9,ROUNDUP(A703/'Giả định'!$B$7,0)+'Giả định'!$B$8)</f>
        <v>71</v>
      </c>
      <c r="C703" s="25" t="n">
        <f aca="false">('Chi phí'!$C$76+'Chi phí'!$D$76*B703+'Chi phí'!$E$76*A703+'Giả định'!$B$15*('Chi phí'!$F$76+'Chi phí'!$G$76*B703+'Chi phí'!$H$76*A703))*(1+'Giả định'!$B$16)</f>
        <v>735683520</v>
      </c>
      <c r="D703" s="25" t="n">
        <f aca="false">('Chi phí'!$C$77+'Chi phí'!$D$77*B703+'Chi phí'!$E$77*A703+'Giả định'!$B$15*('Chi phí'!$F$77+'Chi phí'!$G$77*B703+'Chi phí'!$H$77*A703))*(1+'Giả định'!$B$16)</f>
        <v>879288520</v>
      </c>
      <c r="E703" s="25" t="n">
        <f aca="false">A703/'Giả định'!$B$19*'Giả định'!$B$20+A703*'Giả định'!$B$23+'Giả định'!$B$24</f>
        <v>259843697.478992</v>
      </c>
      <c r="F703" s="25" t="n">
        <f aca="false">E703-D703</f>
        <v>-619444822.521009</v>
      </c>
      <c r="G703" s="25" t="n">
        <f aca="false">E703-C703</f>
        <v>-475839822.521008</v>
      </c>
      <c r="H703" s="7" t="str">
        <f aca="false">IF(F703&gt;=0,A703,"")</f>
        <v/>
      </c>
      <c r="I703" s="7" t="n">
        <f aca="false">IF(F703&lt;0,A703,0)</f>
        <v>698</v>
      </c>
      <c r="J703" s="7" t="str">
        <f aca="false">IF(G703&gt;=0,A703,"")</f>
        <v/>
      </c>
      <c r="K703" s="7" t="n">
        <f aca="false">IF(G703&lt;0,A703,0)</f>
        <v>698</v>
      </c>
    </row>
    <row r="704" customFormat="false" ht="15" hidden="false" customHeight="false" outlineLevel="0" collapsed="false">
      <c r="A704" s="7" t="n">
        <f aca="false">A703+1</f>
        <v>699</v>
      </c>
      <c r="B704" s="7" t="n">
        <f aca="false">MAX('Giả định'!$B$9,ROUNDUP(A704/'Giả định'!$B$7,0)+'Giả định'!$B$8)</f>
        <v>71</v>
      </c>
      <c r="C704" s="25" t="n">
        <f aca="false">('Chi phí'!$C$76+'Chi phí'!$D$76*B704+'Chi phí'!$E$76*A704+'Giả định'!$B$15*('Chi phí'!$F$76+'Chi phí'!$G$76*B704+'Chi phí'!$H$76*A704))*(1+'Giả định'!$B$16)</f>
        <v>735720260</v>
      </c>
      <c r="D704" s="25" t="n">
        <f aca="false">('Chi phí'!$C$77+'Chi phí'!$D$77*B704+'Chi phí'!$E$77*A704+'Giả định'!$B$15*('Chi phí'!$F$77+'Chi phí'!$G$77*B704+'Chi phí'!$H$77*A704))*(1+'Giả định'!$B$16)</f>
        <v>879325260</v>
      </c>
      <c r="E704" s="25" t="n">
        <f aca="false">A704/'Giả định'!$B$19*'Giả định'!$B$20+A704*'Giả định'!$B$23+'Giả định'!$B$24</f>
        <v>260215966.386555</v>
      </c>
      <c r="F704" s="25" t="n">
        <f aca="false">E704-D704</f>
        <v>-619109293.613446</v>
      </c>
      <c r="G704" s="25" t="n">
        <f aca="false">E704-C704</f>
        <v>-475504293.613445</v>
      </c>
      <c r="H704" s="7" t="str">
        <f aca="false">IF(F704&gt;=0,A704,"")</f>
        <v/>
      </c>
      <c r="I704" s="7" t="n">
        <f aca="false">IF(F704&lt;0,A704,0)</f>
        <v>699</v>
      </c>
      <c r="J704" s="7" t="str">
        <f aca="false">IF(G704&gt;=0,A704,"")</f>
        <v/>
      </c>
      <c r="K704" s="7" t="n">
        <f aca="false">IF(G704&lt;0,A704,0)</f>
        <v>699</v>
      </c>
    </row>
    <row r="705" customFormat="false" ht="15" hidden="false" customHeight="false" outlineLevel="0" collapsed="false">
      <c r="A705" s="7" t="n">
        <f aca="false">A704+1</f>
        <v>700</v>
      </c>
      <c r="B705" s="7" t="n">
        <f aca="false">MAX('Giả định'!$B$9,ROUNDUP(A705/'Giả định'!$B$7,0)+'Giả định'!$B$8)</f>
        <v>71</v>
      </c>
      <c r="C705" s="25" t="n">
        <f aca="false">('Chi phí'!$C$76+'Chi phí'!$D$76*B705+'Chi phí'!$E$76*A705+'Giả định'!$B$15*('Chi phí'!$F$76+'Chi phí'!$G$76*B705+'Chi phí'!$H$76*A705))*(1+'Giả định'!$B$16)</f>
        <v>735757000</v>
      </c>
      <c r="D705" s="25" t="n">
        <f aca="false">('Chi phí'!$C$77+'Chi phí'!$D$77*B705+'Chi phí'!$E$77*A705+'Giả định'!$B$15*('Chi phí'!$F$77+'Chi phí'!$G$77*B705+'Chi phí'!$H$77*A705))*(1+'Giả định'!$B$16)</f>
        <v>879362000</v>
      </c>
      <c r="E705" s="25" t="n">
        <f aca="false">A705/'Giả định'!$B$19*'Giả định'!$B$20+A705*'Giả định'!$B$23+'Giả định'!$B$24</f>
        <v>260588235.294118</v>
      </c>
      <c r="F705" s="25" t="n">
        <f aca="false">E705-D705</f>
        <v>-618773764.705882</v>
      </c>
      <c r="G705" s="25" t="n">
        <f aca="false">E705-C705</f>
        <v>-475168764.705882</v>
      </c>
      <c r="H705" s="7" t="str">
        <f aca="false">IF(F705&gt;=0,A705,"")</f>
        <v/>
      </c>
      <c r="I705" s="7" t="n">
        <f aca="false">IF(F705&lt;0,A705,0)</f>
        <v>700</v>
      </c>
      <c r="J705" s="7" t="str">
        <f aca="false">IF(G705&gt;=0,A705,"")</f>
        <v/>
      </c>
      <c r="K705" s="7" t="n">
        <f aca="false">IF(G705&lt;0,A705,0)</f>
        <v>700</v>
      </c>
    </row>
    <row r="706" customFormat="false" ht="15" hidden="false" customHeight="false" outlineLevel="0" collapsed="false">
      <c r="A706" s="7" t="n">
        <f aca="false">A705+1</f>
        <v>701</v>
      </c>
      <c r="B706" s="7" t="n">
        <f aca="false">MAX('Giả định'!$B$9,ROUNDUP(A706/'Giả định'!$B$7,0)+'Giả định'!$B$8)</f>
        <v>72</v>
      </c>
      <c r="C706" s="25" t="n">
        <f aca="false">('Chi phí'!$C$76+'Chi phí'!$D$76*B706+'Chi phí'!$E$76*A706+'Giả định'!$B$15*('Chi phí'!$F$76+'Chi phí'!$G$76*B706+'Chi phí'!$H$76*A706))*(1+'Giả định'!$B$16)</f>
        <v>744967740</v>
      </c>
      <c r="D706" s="25" t="n">
        <f aca="false">('Chi phí'!$C$77+'Chi phí'!$D$77*B706+'Chi phí'!$E$77*A706+'Giả định'!$B$15*('Chi phí'!$F$77+'Chi phí'!$G$77*B706+'Chi phí'!$H$77*A706))*(1+'Giả định'!$B$16)</f>
        <v>888572740</v>
      </c>
      <c r="E706" s="25" t="n">
        <f aca="false">A706/'Giả định'!$B$19*'Giả định'!$B$20+A706*'Giả định'!$B$23+'Giả định'!$B$24</f>
        <v>260960504.201681</v>
      </c>
      <c r="F706" s="25" t="n">
        <f aca="false">E706-D706</f>
        <v>-627612235.79832</v>
      </c>
      <c r="G706" s="25" t="n">
        <f aca="false">E706-C706</f>
        <v>-484007235.798319</v>
      </c>
      <c r="H706" s="7" t="str">
        <f aca="false">IF(F706&gt;=0,A706,"")</f>
        <v/>
      </c>
      <c r="I706" s="7" t="n">
        <f aca="false">IF(F706&lt;0,A706,0)</f>
        <v>701</v>
      </c>
      <c r="J706" s="7" t="str">
        <f aca="false">IF(G706&gt;=0,A706,"")</f>
        <v/>
      </c>
      <c r="K706" s="7" t="n">
        <f aca="false">IF(G706&lt;0,A706,0)</f>
        <v>701</v>
      </c>
    </row>
    <row r="707" customFormat="false" ht="15" hidden="false" customHeight="false" outlineLevel="0" collapsed="false">
      <c r="A707" s="7" t="n">
        <f aca="false">A706+1</f>
        <v>702</v>
      </c>
      <c r="B707" s="7" t="n">
        <f aca="false">MAX('Giả định'!$B$9,ROUNDUP(A707/'Giả định'!$B$7,0)+'Giả định'!$B$8)</f>
        <v>72</v>
      </c>
      <c r="C707" s="25" t="n">
        <f aca="false">('Chi phí'!$C$76+'Chi phí'!$D$76*B707+'Chi phí'!$E$76*A707+'Giả định'!$B$15*('Chi phí'!$F$76+'Chi phí'!$G$76*B707+'Chi phí'!$H$76*A707))*(1+'Giả định'!$B$16)</f>
        <v>745004480</v>
      </c>
      <c r="D707" s="25" t="n">
        <f aca="false">('Chi phí'!$C$77+'Chi phí'!$D$77*B707+'Chi phí'!$E$77*A707+'Giả định'!$B$15*('Chi phí'!$F$77+'Chi phí'!$G$77*B707+'Chi phí'!$H$77*A707))*(1+'Giả định'!$B$16)</f>
        <v>888609480</v>
      </c>
      <c r="E707" s="25" t="n">
        <f aca="false">A707/'Giả định'!$B$19*'Giả định'!$B$20+A707*'Giả định'!$B$23+'Giả định'!$B$24</f>
        <v>261332773.109244</v>
      </c>
      <c r="F707" s="25" t="n">
        <f aca="false">E707-D707</f>
        <v>-627276706.890756</v>
      </c>
      <c r="G707" s="25" t="n">
        <f aca="false">E707-C707</f>
        <v>-483671706.890756</v>
      </c>
      <c r="H707" s="7" t="str">
        <f aca="false">IF(F707&gt;=0,A707,"")</f>
        <v/>
      </c>
      <c r="I707" s="7" t="n">
        <f aca="false">IF(F707&lt;0,A707,0)</f>
        <v>702</v>
      </c>
      <c r="J707" s="7" t="str">
        <f aca="false">IF(G707&gt;=0,A707,"")</f>
        <v/>
      </c>
      <c r="K707" s="7" t="n">
        <f aca="false">IF(G707&lt;0,A707,0)</f>
        <v>702</v>
      </c>
    </row>
    <row r="708" customFormat="false" ht="15" hidden="false" customHeight="false" outlineLevel="0" collapsed="false">
      <c r="A708" s="7" t="n">
        <f aca="false">A707+1</f>
        <v>703</v>
      </c>
      <c r="B708" s="7" t="n">
        <f aca="false">MAX('Giả định'!$B$9,ROUNDUP(A708/'Giả định'!$B$7,0)+'Giả định'!$B$8)</f>
        <v>72</v>
      </c>
      <c r="C708" s="25" t="n">
        <f aca="false">('Chi phí'!$C$76+'Chi phí'!$D$76*B708+'Chi phí'!$E$76*A708+'Giả định'!$B$15*('Chi phí'!$F$76+'Chi phí'!$G$76*B708+'Chi phí'!$H$76*A708))*(1+'Giả định'!$B$16)</f>
        <v>745041220</v>
      </c>
      <c r="D708" s="25" t="n">
        <f aca="false">('Chi phí'!$C$77+'Chi phí'!$D$77*B708+'Chi phí'!$E$77*A708+'Giả định'!$B$15*('Chi phí'!$F$77+'Chi phí'!$G$77*B708+'Chi phí'!$H$77*A708))*(1+'Giả định'!$B$16)</f>
        <v>888646220</v>
      </c>
      <c r="E708" s="25" t="n">
        <f aca="false">A708/'Giả định'!$B$19*'Giả định'!$B$20+A708*'Giả định'!$B$23+'Giả định'!$B$24</f>
        <v>261705042.016807</v>
      </c>
      <c r="F708" s="25" t="n">
        <f aca="false">E708-D708</f>
        <v>-626941177.983193</v>
      </c>
      <c r="G708" s="25" t="n">
        <f aca="false">E708-C708</f>
        <v>-483336177.983193</v>
      </c>
      <c r="H708" s="7" t="str">
        <f aca="false">IF(F708&gt;=0,A708,"")</f>
        <v/>
      </c>
      <c r="I708" s="7" t="n">
        <f aca="false">IF(F708&lt;0,A708,0)</f>
        <v>703</v>
      </c>
      <c r="J708" s="7" t="str">
        <f aca="false">IF(G708&gt;=0,A708,"")</f>
        <v/>
      </c>
      <c r="K708" s="7" t="n">
        <f aca="false">IF(G708&lt;0,A708,0)</f>
        <v>703</v>
      </c>
    </row>
    <row r="709" customFormat="false" ht="15" hidden="false" customHeight="false" outlineLevel="0" collapsed="false">
      <c r="A709" s="7" t="n">
        <f aca="false">A708+1</f>
        <v>704</v>
      </c>
      <c r="B709" s="7" t="n">
        <f aca="false">MAX('Giả định'!$B$9,ROUNDUP(A709/'Giả định'!$B$7,0)+'Giả định'!$B$8)</f>
        <v>72</v>
      </c>
      <c r="C709" s="25" t="n">
        <f aca="false">('Chi phí'!$C$76+'Chi phí'!$D$76*B709+'Chi phí'!$E$76*A709+'Giả định'!$B$15*('Chi phí'!$F$76+'Chi phí'!$G$76*B709+'Chi phí'!$H$76*A709))*(1+'Giả định'!$B$16)</f>
        <v>745077960</v>
      </c>
      <c r="D709" s="25" t="n">
        <f aca="false">('Chi phí'!$C$77+'Chi phí'!$D$77*B709+'Chi phí'!$E$77*A709+'Giả định'!$B$15*('Chi phí'!$F$77+'Chi phí'!$G$77*B709+'Chi phí'!$H$77*A709))*(1+'Giả định'!$B$16)</f>
        <v>888682960</v>
      </c>
      <c r="E709" s="25" t="n">
        <f aca="false">A709/'Giả định'!$B$19*'Giả định'!$B$20+A709*'Giả định'!$B$23+'Giả định'!$B$24</f>
        <v>262077310.92437</v>
      </c>
      <c r="F709" s="25" t="n">
        <f aca="false">E709-D709</f>
        <v>-626605649.07563</v>
      </c>
      <c r="G709" s="25" t="n">
        <f aca="false">E709-C709</f>
        <v>-483000649.07563</v>
      </c>
      <c r="H709" s="7" t="str">
        <f aca="false">IF(F709&gt;=0,A709,"")</f>
        <v/>
      </c>
      <c r="I709" s="7" t="n">
        <f aca="false">IF(F709&lt;0,A709,0)</f>
        <v>704</v>
      </c>
      <c r="J709" s="7" t="str">
        <f aca="false">IF(G709&gt;=0,A709,"")</f>
        <v/>
      </c>
      <c r="K709" s="7" t="n">
        <f aca="false">IF(G709&lt;0,A709,0)</f>
        <v>704</v>
      </c>
    </row>
    <row r="710" customFormat="false" ht="15" hidden="false" customHeight="false" outlineLevel="0" collapsed="false">
      <c r="A710" s="7" t="n">
        <f aca="false">A709+1</f>
        <v>705</v>
      </c>
      <c r="B710" s="7" t="n">
        <f aca="false">MAX('Giả định'!$B$9,ROUNDUP(A710/'Giả định'!$B$7,0)+'Giả định'!$B$8)</f>
        <v>72</v>
      </c>
      <c r="C710" s="25" t="n">
        <f aca="false">('Chi phí'!$C$76+'Chi phí'!$D$76*B710+'Chi phí'!$E$76*A710+'Giả định'!$B$15*('Chi phí'!$F$76+'Chi phí'!$G$76*B710+'Chi phí'!$H$76*A710))*(1+'Giả định'!$B$16)</f>
        <v>745114700</v>
      </c>
      <c r="D710" s="25" t="n">
        <f aca="false">('Chi phí'!$C$77+'Chi phí'!$D$77*B710+'Chi phí'!$E$77*A710+'Giả định'!$B$15*('Chi phí'!$F$77+'Chi phí'!$G$77*B710+'Chi phí'!$H$77*A710))*(1+'Giả định'!$B$16)</f>
        <v>888719700</v>
      </c>
      <c r="E710" s="25" t="n">
        <f aca="false">A710/'Giả định'!$B$19*'Giả định'!$B$20+A710*'Giả định'!$B$23+'Giả định'!$B$24</f>
        <v>262449579.831933</v>
      </c>
      <c r="F710" s="25" t="n">
        <f aca="false">E710-D710</f>
        <v>-626270120.168067</v>
      </c>
      <c r="G710" s="25" t="n">
        <f aca="false">E710-C710</f>
        <v>-482665120.168067</v>
      </c>
      <c r="H710" s="7" t="str">
        <f aca="false">IF(F710&gt;=0,A710,"")</f>
        <v/>
      </c>
      <c r="I710" s="7" t="n">
        <f aca="false">IF(F710&lt;0,A710,0)</f>
        <v>705</v>
      </c>
      <c r="J710" s="7" t="str">
        <f aca="false">IF(G710&gt;=0,A710,"")</f>
        <v/>
      </c>
      <c r="K710" s="7" t="n">
        <f aca="false">IF(G710&lt;0,A710,0)</f>
        <v>705</v>
      </c>
    </row>
    <row r="711" customFormat="false" ht="15" hidden="false" customHeight="false" outlineLevel="0" collapsed="false">
      <c r="A711" s="7" t="n">
        <f aca="false">A710+1</f>
        <v>706</v>
      </c>
      <c r="B711" s="7" t="n">
        <f aca="false">MAX('Giả định'!$B$9,ROUNDUP(A711/'Giả định'!$B$7,0)+'Giả định'!$B$8)</f>
        <v>72</v>
      </c>
      <c r="C711" s="25" t="n">
        <f aca="false">('Chi phí'!$C$76+'Chi phí'!$D$76*B711+'Chi phí'!$E$76*A711+'Giả định'!$B$15*('Chi phí'!$F$76+'Chi phí'!$G$76*B711+'Chi phí'!$H$76*A711))*(1+'Giả định'!$B$16)</f>
        <v>745151440</v>
      </c>
      <c r="D711" s="25" t="n">
        <f aca="false">('Chi phí'!$C$77+'Chi phí'!$D$77*B711+'Chi phí'!$E$77*A711+'Giả định'!$B$15*('Chi phí'!$F$77+'Chi phí'!$G$77*B711+'Chi phí'!$H$77*A711))*(1+'Giả định'!$B$16)</f>
        <v>888756440</v>
      </c>
      <c r="E711" s="25" t="n">
        <f aca="false">A711/'Giả định'!$B$19*'Giả định'!$B$20+A711*'Giả định'!$B$23+'Giả định'!$B$24</f>
        <v>262821848.739496</v>
      </c>
      <c r="F711" s="25" t="n">
        <f aca="false">E711-D711</f>
        <v>-625934591.260504</v>
      </c>
      <c r="G711" s="25" t="n">
        <f aca="false">E711-C711</f>
        <v>-482329591.260504</v>
      </c>
      <c r="H711" s="7" t="str">
        <f aca="false">IF(F711&gt;=0,A711,"")</f>
        <v/>
      </c>
      <c r="I711" s="7" t="n">
        <f aca="false">IF(F711&lt;0,A711,0)</f>
        <v>706</v>
      </c>
      <c r="J711" s="7" t="str">
        <f aca="false">IF(G711&gt;=0,A711,"")</f>
        <v/>
      </c>
      <c r="K711" s="7" t="n">
        <f aca="false">IF(G711&lt;0,A711,0)</f>
        <v>706</v>
      </c>
    </row>
    <row r="712" customFormat="false" ht="15" hidden="false" customHeight="false" outlineLevel="0" collapsed="false">
      <c r="A712" s="7" t="n">
        <f aca="false">A711+1</f>
        <v>707</v>
      </c>
      <c r="B712" s="7" t="n">
        <f aca="false">MAX('Giả định'!$B$9,ROUNDUP(A712/'Giả định'!$B$7,0)+'Giả định'!$B$8)</f>
        <v>72</v>
      </c>
      <c r="C712" s="25" t="n">
        <f aca="false">('Chi phí'!$C$76+'Chi phí'!$D$76*B712+'Chi phí'!$E$76*A712+'Giả định'!$B$15*('Chi phí'!$F$76+'Chi phí'!$G$76*B712+'Chi phí'!$H$76*A712))*(1+'Giả định'!$B$16)</f>
        <v>745188180</v>
      </c>
      <c r="D712" s="25" t="n">
        <f aca="false">('Chi phí'!$C$77+'Chi phí'!$D$77*B712+'Chi phí'!$E$77*A712+'Giả định'!$B$15*('Chi phí'!$F$77+'Chi phí'!$G$77*B712+'Chi phí'!$H$77*A712))*(1+'Giả định'!$B$16)</f>
        <v>888793180</v>
      </c>
      <c r="E712" s="25" t="n">
        <f aca="false">A712/'Giả định'!$B$19*'Giả định'!$B$20+A712*'Giả định'!$B$23+'Giả định'!$B$24</f>
        <v>263194117.647059</v>
      </c>
      <c r="F712" s="25" t="n">
        <f aca="false">E712-D712</f>
        <v>-625599062.352941</v>
      </c>
      <c r="G712" s="25" t="n">
        <f aca="false">E712-C712</f>
        <v>-481994062.352941</v>
      </c>
      <c r="H712" s="7" t="str">
        <f aca="false">IF(F712&gt;=0,A712,"")</f>
        <v/>
      </c>
      <c r="I712" s="7" t="n">
        <f aca="false">IF(F712&lt;0,A712,0)</f>
        <v>707</v>
      </c>
      <c r="J712" s="7" t="str">
        <f aca="false">IF(G712&gt;=0,A712,"")</f>
        <v/>
      </c>
      <c r="K712" s="7" t="n">
        <f aca="false">IF(G712&lt;0,A712,0)</f>
        <v>707</v>
      </c>
    </row>
    <row r="713" customFormat="false" ht="15" hidden="false" customHeight="false" outlineLevel="0" collapsed="false">
      <c r="A713" s="7" t="n">
        <f aca="false">A712+1</f>
        <v>708</v>
      </c>
      <c r="B713" s="7" t="n">
        <f aca="false">MAX('Giả định'!$B$9,ROUNDUP(A713/'Giả định'!$B$7,0)+'Giả định'!$B$8)</f>
        <v>72</v>
      </c>
      <c r="C713" s="25" t="n">
        <f aca="false">('Chi phí'!$C$76+'Chi phí'!$D$76*B713+'Chi phí'!$E$76*A713+'Giả định'!$B$15*('Chi phí'!$F$76+'Chi phí'!$G$76*B713+'Chi phí'!$H$76*A713))*(1+'Giả định'!$B$16)</f>
        <v>745224920</v>
      </c>
      <c r="D713" s="25" t="n">
        <f aca="false">('Chi phí'!$C$77+'Chi phí'!$D$77*B713+'Chi phí'!$E$77*A713+'Giả định'!$B$15*('Chi phí'!$F$77+'Chi phí'!$G$77*B713+'Chi phí'!$H$77*A713))*(1+'Giả định'!$B$16)</f>
        <v>888829920</v>
      </c>
      <c r="E713" s="25" t="n">
        <f aca="false">A713/'Giả định'!$B$19*'Giả định'!$B$20+A713*'Giả định'!$B$23+'Giả định'!$B$24</f>
        <v>263566386.554622</v>
      </c>
      <c r="F713" s="25" t="n">
        <f aca="false">E713-D713</f>
        <v>-625263533.445378</v>
      </c>
      <c r="G713" s="25" t="n">
        <f aca="false">E713-C713</f>
        <v>-481658533.445378</v>
      </c>
      <c r="H713" s="7" t="str">
        <f aca="false">IF(F713&gt;=0,A713,"")</f>
        <v/>
      </c>
      <c r="I713" s="7" t="n">
        <f aca="false">IF(F713&lt;0,A713,0)</f>
        <v>708</v>
      </c>
      <c r="J713" s="7" t="str">
        <f aca="false">IF(G713&gt;=0,A713,"")</f>
        <v/>
      </c>
      <c r="K713" s="7" t="n">
        <f aca="false">IF(G713&lt;0,A713,0)</f>
        <v>708</v>
      </c>
    </row>
    <row r="714" customFormat="false" ht="15" hidden="false" customHeight="false" outlineLevel="0" collapsed="false">
      <c r="A714" s="7" t="n">
        <f aca="false">A713+1</f>
        <v>709</v>
      </c>
      <c r="B714" s="7" t="n">
        <f aca="false">MAX('Giả định'!$B$9,ROUNDUP(A714/'Giả định'!$B$7,0)+'Giả định'!$B$8)</f>
        <v>72</v>
      </c>
      <c r="C714" s="25" t="n">
        <f aca="false">('Chi phí'!$C$76+'Chi phí'!$D$76*B714+'Chi phí'!$E$76*A714+'Giả định'!$B$15*('Chi phí'!$F$76+'Chi phí'!$G$76*B714+'Chi phí'!$H$76*A714))*(1+'Giả định'!$B$16)</f>
        <v>745261660</v>
      </c>
      <c r="D714" s="25" t="n">
        <f aca="false">('Chi phí'!$C$77+'Chi phí'!$D$77*B714+'Chi phí'!$E$77*A714+'Giả định'!$B$15*('Chi phí'!$F$77+'Chi phí'!$G$77*B714+'Chi phí'!$H$77*A714))*(1+'Giả định'!$B$16)</f>
        <v>888866660</v>
      </c>
      <c r="E714" s="25" t="n">
        <f aca="false">A714/'Giả định'!$B$19*'Giả định'!$B$20+A714*'Giả định'!$B$23+'Giả định'!$B$24</f>
        <v>263938655.462185</v>
      </c>
      <c r="F714" s="25" t="n">
        <f aca="false">E714-D714</f>
        <v>-624928004.537815</v>
      </c>
      <c r="G714" s="25" t="n">
        <f aca="false">E714-C714</f>
        <v>-481323004.537815</v>
      </c>
      <c r="H714" s="7" t="str">
        <f aca="false">IF(F714&gt;=0,A714,"")</f>
        <v/>
      </c>
      <c r="I714" s="7" t="n">
        <f aca="false">IF(F714&lt;0,A714,0)</f>
        <v>709</v>
      </c>
      <c r="J714" s="7" t="str">
        <f aca="false">IF(G714&gt;=0,A714,"")</f>
        <v/>
      </c>
      <c r="K714" s="7" t="n">
        <f aca="false">IF(G714&lt;0,A714,0)</f>
        <v>709</v>
      </c>
    </row>
    <row r="715" customFormat="false" ht="15" hidden="false" customHeight="false" outlineLevel="0" collapsed="false">
      <c r="A715" s="7" t="n">
        <f aca="false">A714+1</f>
        <v>710</v>
      </c>
      <c r="B715" s="7" t="n">
        <f aca="false">MAX('Giả định'!$B$9,ROUNDUP(A715/'Giả định'!$B$7,0)+'Giả định'!$B$8)</f>
        <v>72</v>
      </c>
      <c r="C715" s="25" t="n">
        <f aca="false">('Chi phí'!$C$76+'Chi phí'!$D$76*B715+'Chi phí'!$E$76*A715+'Giả định'!$B$15*('Chi phí'!$F$76+'Chi phí'!$G$76*B715+'Chi phí'!$H$76*A715))*(1+'Giả định'!$B$16)</f>
        <v>745298400</v>
      </c>
      <c r="D715" s="25" t="n">
        <f aca="false">('Chi phí'!$C$77+'Chi phí'!$D$77*B715+'Chi phí'!$E$77*A715+'Giả định'!$B$15*('Chi phí'!$F$77+'Chi phí'!$G$77*B715+'Chi phí'!$H$77*A715))*(1+'Giả định'!$B$16)</f>
        <v>888903400</v>
      </c>
      <c r="E715" s="25" t="n">
        <f aca="false">A715/'Giả định'!$B$19*'Giả định'!$B$20+A715*'Giả định'!$B$23+'Giả định'!$B$24</f>
        <v>264310924.369748</v>
      </c>
      <c r="F715" s="25" t="n">
        <f aca="false">E715-D715</f>
        <v>-624592475.630252</v>
      </c>
      <c r="G715" s="25" t="n">
        <f aca="false">E715-C715</f>
        <v>-480987475.630252</v>
      </c>
      <c r="H715" s="7" t="str">
        <f aca="false">IF(F715&gt;=0,A715,"")</f>
        <v/>
      </c>
      <c r="I715" s="7" t="n">
        <f aca="false">IF(F715&lt;0,A715,0)</f>
        <v>710</v>
      </c>
      <c r="J715" s="7" t="str">
        <f aca="false">IF(G715&gt;=0,A715,"")</f>
        <v/>
      </c>
      <c r="K715" s="7" t="n">
        <f aca="false">IF(G715&lt;0,A715,0)</f>
        <v>710</v>
      </c>
    </row>
    <row r="716" customFormat="false" ht="15" hidden="false" customHeight="false" outlineLevel="0" collapsed="false">
      <c r="A716" s="7" t="n">
        <f aca="false">A715+1</f>
        <v>711</v>
      </c>
      <c r="B716" s="7" t="n">
        <f aca="false">MAX('Giả định'!$B$9,ROUNDUP(A716/'Giả định'!$B$7,0)+'Giả định'!$B$8)</f>
        <v>73</v>
      </c>
      <c r="C716" s="25" t="n">
        <f aca="false">('Chi phí'!$C$76+'Chi phí'!$D$76*B716+'Chi phí'!$E$76*A716+'Giả định'!$B$15*('Chi phí'!$F$76+'Chi phí'!$G$76*B716+'Chi phí'!$H$76*A716))*(1+'Giả định'!$B$16)</f>
        <v>754509140</v>
      </c>
      <c r="D716" s="25" t="n">
        <f aca="false">('Chi phí'!$C$77+'Chi phí'!$D$77*B716+'Chi phí'!$E$77*A716+'Giả định'!$B$15*('Chi phí'!$F$77+'Chi phí'!$G$77*B716+'Chi phí'!$H$77*A716))*(1+'Giả định'!$B$16)</f>
        <v>898114140</v>
      </c>
      <c r="E716" s="25" t="n">
        <f aca="false">A716/'Giả định'!$B$19*'Giả định'!$B$20+A716*'Giả định'!$B$23+'Giả định'!$B$24</f>
        <v>264683193.277311</v>
      </c>
      <c r="F716" s="25" t="n">
        <f aca="false">E716-D716</f>
        <v>-633430946.722689</v>
      </c>
      <c r="G716" s="25" t="n">
        <f aca="false">E716-C716</f>
        <v>-489825946.722689</v>
      </c>
      <c r="H716" s="7" t="str">
        <f aca="false">IF(F716&gt;=0,A716,"")</f>
        <v/>
      </c>
      <c r="I716" s="7" t="n">
        <f aca="false">IF(F716&lt;0,A716,0)</f>
        <v>711</v>
      </c>
      <c r="J716" s="7" t="str">
        <f aca="false">IF(G716&gt;=0,A716,"")</f>
        <v/>
      </c>
      <c r="K716" s="7" t="n">
        <f aca="false">IF(G716&lt;0,A716,0)</f>
        <v>711</v>
      </c>
    </row>
    <row r="717" customFormat="false" ht="15" hidden="false" customHeight="false" outlineLevel="0" collapsed="false">
      <c r="A717" s="7" t="n">
        <f aca="false">A716+1</f>
        <v>712</v>
      </c>
      <c r="B717" s="7" t="n">
        <f aca="false">MAX('Giả định'!$B$9,ROUNDUP(A717/'Giả định'!$B$7,0)+'Giả định'!$B$8)</f>
        <v>73</v>
      </c>
      <c r="C717" s="25" t="n">
        <f aca="false">('Chi phí'!$C$76+'Chi phí'!$D$76*B717+'Chi phí'!$E$76*A717+'Giả định'!$B$15*('Chi phí'!$F$76+'Chi phí'!$G$76*B717+'Chi phí'!$H$76*A717))*(1+'Giả định'!$B$16)</f>
        <v>754545880</v>
      </c>
      <c r="D717" s="25" t="n">
        <f aca="false">('Chi phí'!$C$77+'Chi phí'!$D$77*B717+'Chi phí'!$E$77*A717+'Giả định'!$B$15*('Chi phí'!$F$77+'Chi phí'!$G$77*B717+'Chi phí'!$H$77*A717))*(1+'Giả định'!$B$16)</f>
        <v>898150880</v>
      </c>
      <c r="E717" s="25" t="n">
        <f aca="false">A717/'Giả định'!$B$19*'Giả định'!$B$20+A717*'Giả định'!$B$23+'Giả định'!$B$24</f>
        <v>265055462.184874</v>
      </c>
      <c r="F717" s="25" t="n">
        <f aca="false">E717-D717</f>
        <v>-633095417.815126</v>
      </c>
      <c r="G717" s="25" t="n">
        <f aca="false">E717-C717</f>
        <v>-489490417.815126</v>
      </c>
      <c r="H717" s="7" t="str">
        <f aca="false">IF(F717&gt;=0,A717,"")</f>
        <v/>
      </c>
      <c r="I717" s="7" t="n">
        <f aca="false">IF(F717&lt;0,A717,0)</f>
        <v>712</v>
      </c>
      <c r="J717" s="7" t="str">
        <f aca="false">IF(G717&gt;=0,A717,"")</f>
        <v/>
      </c>
      <c r="K717" s="7" t="n">
        <f aca="false">IF(G717&lt;0,A717,0)</f>
        <v>712</v>
      </c>
    </row>
    <row r="718" customFormat="false" ht="15" hidden="false" customHeight="false" outlineLevel="0" collapsed="false">
      <c r="A718" s="7" t="n">
        <f aca="false">A717+1</f>
        <v>713</v>
      </c>
      <c r="B718" s="7" t="n">
        <f aca="false">MAX('Giả định'!$B$9,ROUNDUP(A718/'Giả định'!$B$7,0)+'Giả định'!$B$8)</f>
        <v>73</v>
      </c>
      <c r="C718" s="25" t="n">
        <f aca="false">('Chi phí'!$C$76+'Chi phí'!$D$76*B718+'Chi phí'!$E$76*A718+'Giả định'!$B$15*('Chi phí'!$F$76+'Chi phí'!$G$76*B718+'Chi phí'!$H$76*A718))*(1+'Giả định'!$B$16)</f>
        <v>754582620</v>
      </c>
      <c r="D718" s="25" t="n">
        <f aca="false">('Chi phí'!$C$77+'Chi phí'!$D$77*B718+'Chi phí'!$E$77*A718+'Giả định'!$B$15*('Chi phí'!$F$77+'Chi phí'!$G$77*B718+'Chi phí'!$H$77*A718))*(1+'Giả định'!$B$16)</f>
        <v>898187620</v>
      </c>
      <c r="E718" s="25" t="n">
        <f aca="false">A718/'Giả định'!$B$19*'Giả định'!$B$20+A718*'Giả định'!$B$23+'Giả định'!$B$24</f>
        <v>265427731.092437</v>
      </c>
      <c r="F718" s="25" t="n">
        <f aca="false">E718-D718</f>
        <v>-632759888.907563</v>
      </c>
      <c r="G718" s="25" t="n">
        <f aca="false">E718-C718</f>
        <v>-489154888.907563</v>
      </c>
      <c r="H718" s="7" t="str">
        <f aca="false">IF(F718&gt;=0,A718,"")</f>
        <v/>
      </c>
      <c r="I718" s="7" t="n">
        <f aca="false">IF(F718&lt;0,A718,0)</f>
        <v>713</v>
      </c>
      <c r="J718" s="7" t="str">
        <f aca="false">IF(G718&gt;=0,A718,"")</f>
        <v/>
      </c>
      <c r="K718" s="7" t="n">
        <f aca="false">IF(G718&lt;0,A718,0)</f>
        <v>713</v>
      </c>
    </row>
    <row r="719" customFormat="false" ht="15" hidden="false" customHeight="false" outlineLevel="0" collapsed="false">
      <c r="A719" s="7" t="n">
        <f aca="false">A718+1</f>
        <v>714</v>
      </c>
      <c r="B719" s="7" t="n">
        <f aca="false">MAX('Giả định'!$B$9,ROUNDUP(A719/'Giả định'!$B$7,0)+'Giả định'!$B$8)</f>
        <v>73</v>
      </c>
      <c r="C719" s="25" t="n">
        <f aca="false">('Chi phí'!$C$76+'Chi phí'!$D$76*B719+'Chi phí'!$E$76*A719+'Giả định'!$B$15*('Chi phí'!$F$76+'Chi phí'!$G$76*B719+'Chi phí'!$H$76*A719))*(1+'Giả định'!$B$16)</f>
        <v>754619360</v>
      </c>
      <c r="D719" s="25" t="n">
        <f aca="false">('Chi phí'!$C$77+'Chi phí'!$D$77*B719+'Chi phí'!$E$77*A719+'Giả định'!$B$15*('Chi phí'!$F$77+'Chi phí'!$G$77*B719+'Chi phí'!$H$77*A719))*(1+'Giả định'!$B$16)</f>
        <v>898224360</v>
      </c>
      <c r="E719" s="25" t="n">
        <f aca="false">A719/'Giả định'!$B$19*'Giả định'!$B$20+A719*'Giả định'!$B$23+'Giả định'!$B$24</f>
        <v>265800000</v>
      </c>
      <c r="F719" s="25" t="n">
        <f aca="false">E719-D719</f>
        <v>-632424360</v>
      </c>
      <c r="G719" s="25" t="n">
        <f aca="false">E719-C719</f>
        <v>-488819360</v>
      </c>
      <c r="H719" s="7" t="str">
        <f aca="false">IF(F719&gt;=0,A719,"")</f>
        <v/>
      </c>
      <c r="I719" s="7" t="n">
        <f aca="false">IF(F719&lt;0,A719,0)</f>
        <v>714</v>
      </c>
      <c r="J719" s="7" t="str">
        <f aca="false">IF(G719&gt;=0,A719,"")</f>
        <v/>
      </c>
      <c r="K719" s="7" t="n">
        <f aca="false">IF(G719&lt;0,A719,0)</f>
        <v>714</v>
      </c>
    </row>
    <row r="720" customFormat="false" ht="15" hidden="false" customHeight="false" outlineLevel="0" collapsed="false">
      <c r="A720" s="7" t="n">
        <f aca="false">A719+1</f>
        <v>715</v>
      </c>
      <c r="B720" s="7" t="n">
        <f aca="false">MAX('Giả định'!$B$9,ROUNDUP(A720/'Giả định'!$B$7,0)+'Giả định'!$B$8)</f>
        <v>73</v>
      </c>
      <c r="C720" s="25" t="n">
        <f aca="false">('Chi phí'!$C$76+'Chi phí'!$D$76*B720+'Chi phí'!$E$76*A720+'Giả định'!$B$15*('Chi phí'!$F$76+'Chi phí'!$G$76*B720+'Chi phí'!$H$76*A720))*(1+'Giả định'!$B$16)</f>
        <v>754656100</v>
      </c>
      <c r="D720" s="25" t="n">
        <f aca="false">('Chi phí'!$C$77+'Chi phí'!$D$77*B720+'Chi phí'!$E$77*A720+'Giả định'!$B$15*('Chi phí'!$F$77+'Chi phí'!$G$77*B720+'Chi phí'!$H$77*A720))*(1+'Giả định'!$B$16)</f>
        <v>898261100</v>
      </c>
      <c r="E720" s="25" t="n">
        <f aca="false">A720/'Giả định'!$B$19*'Giả định'!$B$20+A720*'Giả định'!$B$23+'Giả định'!$B$24</f>
        <v>266172268.907563</v>
      </c>
      <c r="F720" s="25" t="n">
        <f aca="false">E720-D720</f>
        <v>-632088831.092437</v>
      </c>
      <c r="G720" s="25" t="n">
        <f aca="false">E720-C720</f>
        <v>-488483831.092437</v>
      </c>
      <c r="H720" s="7" t="str">
        <f aca="false">IF(F720&gt;=0,A720,"")</f>
        <v/>
      </c>
      <c r="I720" s="7" t="n">
        <f aca="false">IF(F720&lt;0,A720,0)</f>
        <v>715</v>
      </c>
      <c r="J720" s="7" t="str">
        <f aca="false">IF(G720&gt;=0,A720,"")</f>
        <v/>
      </c>
      <c r="K720" s="7" t="n">
        <f aca="false">IF(G720&lt;0,A720,0)</f>
        <v>715</v>
      </c>
    </row>
    <row r="721" customFormat="false" ht="15" hidden="false" customHeight="false" outlineLevel="0" collapsed="false">
      <c r="A721" s="7" t="n">
        <f aca="false">A720+1</f>
        <v>716</v>
      </c>
      <c r="B721" s="7" t="n">
        <f aca="false">MAX('Giả định'!$B$9,ROUNDUP(A721/'Giả định'!$B$7,0)+'Giả định'!$B$8)</f>
        <v>73</v>
      </c>
      <c r="C721" s="25" t="n">
        <f aca="false">('Chi phí'!$C$76+'Chi phí'!$D$76*B721+'Chi phí'!$E$76*A721+'Giả định'!$B$15*('Chi phí'!$F$76+'Chi phí'!$G$76*B721+'Chi phí'!$H$76*A721))*(1+'Giả định'!$B$16)</f>
        <v>754692840</v>
      </c>
      <c r="D721" s="25" t="n">
        <f aca="false">('Chi phí'!$C$77+'Chi phí'!$D$77*B721+'Chi phí'!$E$77*A721+'Giả định'!$B$15*('Chi phí'!$F$77+'Chi phí'!$G$77*B721+'Chi phí'!$H$77*A721))*(1+'Giả định'!$B$16)</f>
        <v>898297840</v>
      </c>
      <c r="E721" s="25" t="n">
        <f aca="false">A721/'Giả định'!$B$19*'Giả định'!$B$20+A721*'Giả định'!$B$23+'Giả định'!$B$24</f>
        <v>266544537.815126</v>
      </c>
      <c r="F721" s="25" t="n">
        <f aca="false">E721-D721</f>
        <v>-631753302.184874</v>
      </c>
      <c r="G721" s="25" t="n">
        <f aca="false">E721-C721</f>
        <v>-488148302.184874</v>
      </c>
      <c r="H721" s="7" t="str">
        <f aca="false">IF(F721&gt;=0,A721,"")</f>
        <v/>
      </c>
      <c r="I721" s="7" t="n">
        <f aca="false">IF(F721&lt;0,A721,0)</f>
        <v>716</v>
      </c>
      <c r="J721" s="7" t="str">
        <f aca="false">IF(G721&gt;=0,A721,"")</f>
        <v/>
      </c>
      <c r="K721" s="7" t="n">
        <f aca="false">IF(G721&lt;0,A721,0)</f>
        <v>716</v>
      </c>
    </row>
    <row r="722" customFormat="false" ht="15" hidden="false" customHeight="false" outlineLevel="0" collapsed="false">
      <c r="A722" s="7" t="n">
        <f aca="false">A721+1</f>
        <v>717</v>
      </c>
      <c r="B722" s="7" t="n">
        <f aca="false">MAX('Giả định'!$B$9,ROUNDUP(A722/'Giả định'!$B$7,0)+'Giả định'!$B$8)</f>
        <v>73</v>
      </c>
      <c r="C722" s="25" t="n">
        <f aca="false">('Chi phí'!$C$76+'Chi phí'!$D$76*B722+'Chi phí'!$E$76*A722+'Giả định'!$B$15*('Chi phí'!$F$76+'Chi phí'!$G$76*B722+'Chi phí'!$H$76*A722))*(1+'Giả định'!$B$16)</f>
        <v>754729580</v>
      </c>
      <c r="D722" s="25" t="n">
        <f aca="false">('Chi phí'!$C$77+'Chi phí'!$D$77*B722+'Chi phí'!$E$77*A722+'Giả định'!$B$15*('Chi phí'!$F$77+'Chi phí'!$G$77*B722+'Chi phí'!$H$77*A722))*(1+'Giả định'!$B$16)</f>
        <v>898334580</v>
      </c>
      <c r="E722" s="25" t="n">
        <f aca="false">A722/'Giả định'!$B$19*'Giả định'!$B$20+A722*'Giả định'!$B$23+'Giả định'!$B$24</f>
        <v>266916806.722689</v>
      </c>
      <c r="F722" s="25" t="n">
        <f aca="false">E722-D722</f>
        <v>-631417773.277311</v>
      </c>
      <c r="G722" s="25" t="n">
        <f aca="false">E722-C722</f>
        <v>-487812773.277311</v>
      </c>
      <c r="H722" s="7" t="str">
        <f aca="false">IF(F722&gt;=0,A722,"")</f>
        <v/>
      </c>
      <c r="I722" s="7" t="n">
        <f aca="false">IF(F722&lt;0,A722,0)</f>
        <v>717</v>
      </c>
      <c r="J722" s="7" t="str">
        <f aca="false">IF(G722&gt;=0,A722,"")</f>
        <v/>
      </c>
      <c r="K722" s="7" t="n">
        <f aca="false">IF(G722&lt;0,A722,0)</f>
        <v>717</v>
      </c>
    </row>
    <row r="723" customFormat="false" ht="15" hidden="false" customHeight="false" outlineLevel="0" collapsed="false">
      <c r="A723" s="7" t="n">
        <f aca="false">A722+1</f>
        <v>718</v>
      </c>
      <c r="B723" s="7" t="n">
        <f aca="false">MAX('Giả định'!$B$9,ROUNDUP(A723/'Giả định'!$B$7,0)+'Giả định'!$B$8)</f>
        <v>73</v>
      </c>
      <c r="C723" s="25" t="n">
        <f aca="false">('Chi phí'!$C$76+'Chi phí'!$D$76*B723+'Chi phí'!$E$76*A723+'Giả định'!$B$15*('Chi phí'!$F$76+'Chi phí'!$G$76*B723+'Chi phí'!$H$76*A723))*(1+'Giả định'!$B$16)</f>
        <v>754766320</v>
      </c>
      <c r="D723" s="25" t="n">
        <f aca="false">('Chi phí'!$C$77+'Chi phí'!$D$77*B723+'Chi phí'!$E$77*A723+'Giả định'!$B$15*('Chi phí'!$F$77+'Chi phí'!$G$77*B723+'Chi phí'!$H$77*A723))*(1+'Giả định'!$B$16)</f>
        <v>898371320</v>
      </c>
      <c r="E723" s="25" t="n">
        <f aca="false">A723/'Giả định'!$B$19*'Giả định'!$B$20+A723*'Giả định'!$B$23+'Giả định'!$B$24</f>
        <v>267289075.630252</v>
      </c>
      <c r="F723" s="25" t="n">
        <f aca="false">E723-D723</f>
        <v>-631082244.369748</v>
      </c>
      <c r="G723" s="25" t="n">
        <f aca="false">E723-C723</f>
        <v>-487477244.369748</v>
      </c>
      <c r="H723" s="7" t="str">
        <f aca="false">IF(F723&gt;=0,A723,"")</f>
        <v/>
      </c>
      <c r="I723" s="7" t="n">
        <f aca="false">IF(F723&lt;0,A723,0)</f>
        <v>718</v>
      </c>
      <c r="J723" s="7" t="str">
        <f aca="false">IF(G723&gt;=0,A723,"")</f>
        <v/>
      </c>
      <c r="K723" s="7" t="n">
        <f aca="false">IF(G723&lt;0,A723,0)</f>
        <v>718</v>
      </c>
    </row>
    <row r="724" customFormat="false" ht="15" hidden="false" customHeight="false" outlineLevel="0" collapsed="false">
      <c r="A724" s="7" t="n">
        <f aca="false">A723+1</f>
        <v>719</v>
      </c>
      <c r="B724" s="7" t="n">
        <f aca="false">MAX('Giả định'!$B$9,ROUNDUP(A724/'Giả định'!$B$7,0)+'Giả định'!$B$8)</f>
        <v>73</v>
      </c>
      <c r="C724" s="25" t="n">
        <f aca="false">('Chi phí'!$C$76+'Chi phí'!$D$76*B724+'Chi phí'!$E$76*A724+'Giả định'!$B$15*('Chi phí'!$F$76+'Chi phí'!$G$76*B724+'Chi phí'!$H$76*A724))*(1+'Giả định'!$B$16)</f>
        <v>754803060</v>
      </c>
      <c r="D724" s="25" t="n">
        <f aca="false">('Chi phí'!$C$77+'Chi phí'!$D$77*B724+'Chi phí'!$E$77*A724+'Giả định'!$B$15*('Chi phí'!$F$77+'Chi phí'!$G$77*B724+'Chi phí'!$H$77*A724))*(1+'Giả định'!$B$16)</f>
        <v>898408060</v>
      </c>
      <c r="E724" s="25" t="n">
        <f aca="false">A724/'Giả định'!$B$19*'Giả định'!$B$20+A724*'Giả định'!$B$23+'Giả định'!$B$24</f>
        <v>267661344.537815</v>
      </c>
      <c r="F724" s="25" t="n">
        <f aca="false">E724-D724</f>
        <v>-630746715.462185</v>
      </c>
      <c r="G724" s="25" t="n">
        <f aca="false">E724-C724</f>
        <v>-487141715.462185</v>
      </c>
      <c r="H724" s="7" t="str">
        <f aca="false">IF(F724&gt;=0,A724,"")</f>
        <v/>
      </c>
      <c r="I724" s="7" t="n">
        <f aca="false">IF(F724&lt;0,A724,0)</f>
        <v>719</v>
      </c>
      <c r="J724" s="7" t="str">
        <f aca="false">IF(G724&gt;=0,A724,"")</f>
        <v/>
      </c>
      <c r="K724" s="7" t="n">
        <f aca="false">IF(G724&lt;0,A724,0)</f>
        <v>719</v>
      </c>
    </row>
    <row r="725" customFormat="false" ht="15" hidden="false" customHeight="false" outlineLevel="0" collapsed="false">
      <c r="A725" s="7" t="n">
        <f aca="false">A724+1</f>
        <v>720</v>
      </c>
      <c r="B725" s="7" t="n">
        <f aca="false">MAX('Giả định'!$B$9,ROUNDUP(A725/'Giả định'!$B$7,0)+'Giả định'!$B$8)</f>
        <v>73</v>
      </c>
      <c r="C725" s="25" t="n">
        <f aca="false">('Chi phí'!$C$76+'Chi phí'!$D$76*B725+'Chi phí'!$E$76*A725+'Giả định'!$B$15*('Chi phí'!$F$76+'Chi phí'!$G$76*B725+'Chi phí'!$H$76*A725))*(1+'Giả định'!$B$16)</f>
        <v>754839800</v>
      </c>
      <c r="D725" s="25" t="n">
        <f aca="false">('Chi phí'!$C$77+'Chi phí'!$D$77*B725+'Chi phí'!$E$77*A725+'Giả định'!$B$15*('Chi phí'!$F$77+'Chi phí'!$G$77*B725+'Chi phí'!$H$77*A725))*(1+'Giả định'!$B$16)</f>
        <v>898444800</v>
      </c>
      <c r="E725" s="25" t="n">
        <f aca="false">A725/'Giả định'!$B$19*'Giả định'!$B$20+A725*'Giả định'!$B$23+'Giả định'!$B$24</f>
        <v>268033613.445378</v>
      </c>
      <c r="F725" s="25" t="n">
        <f aca="false">E725-D725</f>
        <v>-630411186.554622</v>
      </c>
      <c r="G725" s="25" t="n">
        <f aca="false">E725-C725</f>
        <v>-486806186.554622</v>
      </c>
      <c r="H725" s="7" t="str">
        <f aca="false">IF(F725&gt;=0,A725,"")</f>
        <v/>
      </c>
      <c r="I725" s="7" t="n">
        <f aca="false">IF(F725&lt;0,A725,0)</f>
        <v>720</v>
      </c>
      <c r="J725" s="7" t="str">
        <f aca="false">IF(G725&gt;=0,A725,"")</f>
        <v/>
      </c>
      <c r="K725" s="7" t="n">
        <f aca="false">IF(G725&lt;0,A725,0)</f>
        <v>720</v>
      </c>
    </row>
    <row r="726" customFormat="false" ht="15" hidden="false" customHeight="false" outlineLevel="0" collapsed="false">
      <c r="A726" s="7" t="n">
        <f aca="false">A725+1</f>
        <v>721</v>
      </c>
      <c r="B726" s="7" t="n">
        <f aca="false">MAX('Giả định'!$B$9,ROUNDUP(A726/'Giả định'!$B$7,0)+'Giả định'!$B$8)</f>
        <v>74</v>
      </c>
      <c r="C726" s="25" t="n">
        <f aca="false">('Chi phí'!$C$76+'Chi phí'!$D$76*B726+'Chi phí'!$E$76*A726+'Giả định'!$B$15*('Chi phí'!$F$76+'Chi phí'!$G$76*B726+'Chi phí'!$H$76*A726))*(1+'Giả định'!$B$16)</f>
        <v>764050540</v>
      </c>
      <c r="D726" s="25" t="n">
        <f aca="false">('Chi phí'!$C$77+'Chi phí'!$D$77*B726+'Chi phí'!$E$77*A726+'Giả định'!$B$15*('Chi phí'!$F$77+'Chi phí'!$G$77*B726+'Chi phí'!$H$77*A726))*(1+'Giả định'!$B$16)</f>
        <v>907655540</v>
      </c>
      <c r="E726" s="25" t="n">
        <f aca="false">A726/'Giả định'!$B$19*'Giả định'!$B$20+A726*'Giả định'!$B$23+'Giả định'!$B$24</f>
        <v>268405882.352941</v>
      </c>
      <c r="F726" s="25" t="n">
        <f aca="false">E726-D726</f>
        <v>-639249657.647059</v>
      </c>
      <c r="G726" s="25" t="n">
        <f aca="false">E726-C726</f>
        <v>-495644657.647059</v>
      </c>
      <c r="H726" s="7" t="str">
        <f aca="false">IF(F726&gt;=0,A726,"")</f>
        <v/>
      </c>
      <c r="I726" s="7" t="n">
        <f aca="false">IF(F726&lt;0,A726,0)</f>
        <v>721</v>
      </c>
      <c r="J726" s="7" t="str">
        <f aca="false">IF(G726&gt;=0,A726,"")</f>
        <v/>
      </c>
      <c r="K726" s="7" t="n">
        <f aca="false">IF(G726&lt;0,A726,0)</f>
        <v>721</v>
      </c>
    </row>
    <row r="727" customFormat="false" ht="15" hidden="false" customHeight="false" outlineLevel="0" collapsed="false">
      <c r="A727" s="7" t="n">
        <f aca="false">A726+1</f>
        <v>722</v>
      </c>
      <c r="B727" s="7" t="n">
        <f aca="false">MAX('Giả định'!$B$9,ROUNDUP(A727/'Giả định'!$B$7,0)+'Giả định'!$B$8)</f>
        <v>74</v>
      </c>
      <c r="C727" s="25" t="n">
        <f aca="false">('Chi phí'!$C$76+'Chi phí'!$D$76*B727+'Chi phí'!$E$76*A727+'Giả định'!$B$15*('Chi phí'!$F$76+'Chi phí'!$G$76*B727+'Chi phí'!$H$76*A727))*(1+'Giả định'!$B$16)</f>
        <v>764087280</v>
      </c>
      <c r="D727" s="25" t="n">
        <f aca="false">('Chi phí'!$C$77+'Chi phí'!$D$77*B727+'Chi phí'!$E$77*A727+'Giả định'!$B$15*('Chi phí'!$F$77+'Chi phí'!$G$77*B727+'Chi phí'!$H$77*A727))*(1+'Giả định'!$B$16)</f>
        <v>907692280</v>
      </c>
      <c r="E727" s="25" t="n">
        <f aca="false">A727/'Giả định'!$B$19*'Giả định'!$B$20+A727*'Giả định'!$B$23+'Giả định'!$B$24</f>
        <v>268778151.260504</v>
      </c>
      <c r="F727" s="25" t="n">
        <f aca="false">E727-D727</f>
        <v>-638914128.739496</v>
      </c>
      <c r="G727" s="25" t="n">
        <f aca="false">E727-C727</f>
        <v>-495309128.739496</v>
      </c>
      <c r="H727" s="7" t="str">
        <f aca="false">IF(F727&gt;=0,A727,"")</f>
        <v/>
      </c>
      <c r="I727" s="7" t="n">
        <f aca="false">IF(F727&lt;0,A727,0)</f>
        <v>722</v>
      </c>
      <c r="J727" s="7" t="str">
        <f aca="false">IF(G727&gt;=0,A727,"")</f>
        <v/>
      </c>
      <c r="K727" s="7" t="n">
        <f aca="false">IF(G727&lt;0,A727,0)</f>
        <v>722</v>
      </c>
    </row>
    <row r="728" customFormat="false" ht="15" hidden="false" customHeight="false" outlineLevel="0" collapsed="false">
      <c r="A728" s="7" t="n">
        <f aca="false">A727+1</f>
        <v>723</v>
      </c>
      <c r="B728" s="7" t="n">
        <f aca="false">MAX('Giả định'!$B$9,ROUNDUP(A728/'Giả định'!$B$7,0)+'Giả định'!$B$8)</f>
        <v>74</v>
      </c>
      <c r="C728" s="25" t="n">
        <f aca="false">('Chi phí'!$C$76+'Chi phí'!$D$76*B728+'Chi phí'!$E$76*A728+'Giả định'!$B$15*('Chi phí'!$F$76+'Chi phí'!$G$76*B728+'Chi phí'!$H$76*A728))*(1+'Giả định'!$B$16)</f>
        <v>764124020</v>
      </c>
      <c r="D728" s="25" t="n">
        <f aca="false">('Chi phí'!$C$77+'Chi phí'!$D$77*B728+'Chi phí'!$E$77*A728+'Giả định'!$B$15*('Chi phí'!$F$77+'Chi phí'!$G$77*B728+'Chi phí'!$H$77*A728))*(1+'Giả định'!$B$16)</f>
        <v>907729020</v>
      </c>
      <c r="E728" s="25" t="n">
        <f aca="false">A728/'Giả định'!$B$19*'Giả định'!$B$20+A728*'Giả định'!$B$23+'Giả định'!$B$24</f>
        <v>269150420.168067</v>
      </c>
      <c r="F728" s="25" t="n">
        <f aca="false">E728-D728</f>
        <v>-638578599.831933</v>
      </c>
      <c r="G728" s="25" t="n">
        <f aca="false">E728-C728</f>
        <v>-494973599.831933</v>
      </c>
      <c r="H728" s="7" t="str">
        <f aca="false">IF(F728&gt;=0,A728,"")</f>
        <v/>
      </c>
      <c r="I728" s="7" t="n">
        <f aca="false">IF(F728&lt;0,A728,0)</f>
        <v>723</v>
      </c>
      <c r="J728" s="7" t="str">
        <f aca="false">IF(G728&gt;=0,A728,"")</f>
        <v/>
      </c>
      <c r="K728" s="7" t="n">
        <f aca="false">IF(G728&lt;0,A728,0)</f>
        <v>723</v>
      </c>
    </row>
    <row r="729" customFormat="false" ht="15" hidden="false" customHeight="false" outlineLevel="0" collapsed="false">
      <c r="A729" s="7" t="n">
        <f aca="false">A728+1</f>
        <v>724</v>
      </c>
      <c r="B729" s="7" t="n">
        <f aca="false">MAX('Giả định'!$B$9,ROUNDUP(A729/'Giả định'!$B$7,0)+'Giả định'!$B$8)</f>
        <v>74</v>
      </c>
      <c r="C729" s="25" t="n">
        <f aca="false">('Chi phí'!$C$76+'Chi phí'!$D$76*B729+'Chi phí'!$E$76*A729+'Giả định'!$B$15*('Chi phí'!$F$76+'Chi phí'!$G$76*B729+'Chi phí'!$H$76*A729))*(1+'Giả định'!$B$16)</f>
        <v>764160760</v>
      </c>
      <c r="D729" s="25" t="n">
        <f aca="false">('Chi phí'!$C$77+'Chi phí'!$D$77*B729+'Chi phí'!$E$77*A729+'Giả định'!$B$15*('Chi phí'!$F$77+'Chi phí'!$G$77*B729+'Chi phí'!$H$77*A729))*(1+'Giả định'!$B$16)</f>
        <v>907765760</v>
      </c>
      <c r="E729" s="25" t="n">
        <f aca="false">A729/'Giả định'!$B$19*'Giả định'!$B$20+A729*'Giả định'!$B$23+'Giả định'!$B$24</f>
        <v>269522689.07563</v>
      </c>
      <c r="F729" s="25" t="n">
        <f aca="false">E729-D729</f>
        <v>-638243070.92437</v>
      </c>
      <c r="G729" s="25" t="n">
        <f aca="false">E729-C729</f>
        <v>-494638070.92437</v>
      </c>
      <c r="H729" s="7" t="str">
        <f aca="false">IF(F729&gt;=0,A729,"")</f>
        <v/>
      </c>
      <c r="I729" s="7" t="n">
        <f aca="false">IF(F729&lt;0,A729,0)</f>
        <v>724</v>
      </c>
      <c r="J729" s="7" t="str">
        <f aca="false">IF(G729&gt;=0,A729,"")</f>
        <v/>
      </c>
      <c r="K729" s="7" t="n">
        <f aca="false">IF(G729&lt;0,A729,0)</f>
        <v>724</v>
      </c>
    </row>
    <row r="730" customFormat="false" ht="15" hidden="false" customHeight="false" outlineLevel="0" collapsed="false">
      <c r="A730" s="7" t="n">
        <f aca="false">A729+1</f>
        <v>725</v>
      </c>
      <c r="B730" s="7" t="n">
        <f aca="false">MAX('Giả định'!$B$9,ROUNDUP(A730/'Giả định'!$B$7,0)+'Giả định'!$B$8)</f>
        <v>74</v>
      </c>
      <c r="C730" s="25" t="n">
        <f aca="false">('Chi phí'!$C$76+'Chi phí'!$D$76*B730+'Chi phí'!$E$76*A730+'Giả định'!$B$15*('Chi phí'!$F$76+'Chi phí'!$G$76*B730+'Chi phí'!$H$76*A730))*(1+'Giả định'!$B$16)</f>
        <v>764197500</v>
      </c>
      <c r="D730" s="25" t="n">
        <f aca="false">('Chi phí'!$C$77+'Chi phí'!$D$77*B730+'Chi phí'!$E$77*A730+'Giả định'!$B$15*('Chi phí'!$F$77+'Chi phí'!$G$77*B730+'Chi phí'!$H$77*A730))*(1+'Giả định'!$B$16)</f>
        <v>907802500</v>
      </c>
      <c r="E730" s="25" t="n">
        <f aca="false">A730/'Giả định'!$B$19*'Giả định'!$B$20+A730*'Giả định'!$B$23+'Giả định'!$B$24</f>
        <v>269894957.983193</v>
      </c>
      <c r="F730" s="25" t="n">
        <f aca="false">E730-D730</f>
        <v>-637907542.016807</v>
      </c>
      <c r="G730" s="25" t="n">
        <f aca="false">E730-C730</f>
        <v>-494302542.016807</v>
      </c>
      <c r="H730" s="7" t="str">
        <f aca="false">IF(F730&gt;=0,A730,"")</f>
        <v/>
      </c>
      <c r="I730" s="7" t="n">
        <f aca="false">IF(F730&lt;0,A730,0)</f>
        <v>725</v>
      </c>
      <c r="J730" s="7" t="str">
        <f aca="false">IF(G730&gt;=0,A730,"")</f>
        <v/>
      </c>
      <c r="K730" s="7" t="n">
        <f aca="false">IF(G730&lt;0,A730,0)</f>
        <v>725</v>
      </c>
    </row>
    <row r="731" customFormat="false" ht="15" hidden="false" customHeight="false" outlineLevel="0" collapsed="false">
      <c r="A731" s="7" t="n">
        <f aca="false">A730+1</f>
        <v>726</v>
      </c>
      <c r="B731" s="7" t="n">
        <f aca="false">MAX('Giả định'!$B$9,ROUNDUP(A731/'Giả định'!$B$7,0)+'Giả định'!$B$8)</f>
        <v>74</v>
      </c>
      <c r="C731" s="25" t="n">
        <f aca="false">('Chi phí'!$C$76+'Chi phí'!$D$76*B731+'Chi phí'!$E$76*A731+'Giả định'!$B$15*('Chi phí'!$F$76+'Chi phí'!$G$76*B731+'Chi phí'!$H$76*A731))*(1+'Giả định'!$B$16)</f>
        <v>764234240</v>
      </c>
      <c r="D731" s="25" t="n">
        <f aca="false">('Chi phí'!$C$77+'Chi phí'!$D$77*B731+'Chi phí'!$E$77*A731+'Giả định'!$B$15*('Chi phí'!$F$77+'Chi phí'!$G$77*B731+'Chi phí'!$H$77*A731))*(1+'Giả định'!$B$16)</f>
        <v>907839240</v>
      </c>
      <c r="E731" s="25" t="n">
        <f aca="false">A731/'Giả định'!$B$19*'Giả định'!$B$20+A731*'Giả định'!$B$23+'Giả định'!$B$24</f>
        <v>270267226.890756</v>
      </c>
      <c r="F731" s="25" t="n">
        <f aca="false">E731-D731</f>
        <v>-637572013.109244</v>
      </c>
      <c r="G731" s="25" t="n">
        <f aca="false">E731-C731</f>
        <v>-493967013.109244</v>
      </c>
      <c r="H731" s="7" t="str">
        <f aca="false">IF(F731&gt;=0,A731,"")</f>
        <v/>
      </c>
      <c r="I731" s="7" t="n">
        <f aca="false">IF(F731&lt;0,A731,0)</f>
        <v>726</v>
      </c>
      <c r="J731" s="7" t="str">
        <f aca="false">IF(G731&gt;=0,A731,"")</f>
        <v/>
      </c>
      <c r="K731" s="7" t="n">
        <f aca="false">IF(G731&lt;0,A731,0)</f>
        <v>726</v>
      </c>
    </row>
    <row r="732" customFormat="false" ht="15" hidden="false" customHeight="false" outlineLevel="0" collapsed="false">
      <c r="A732" s="7" t="n">
        <f aca="false">A731+1</f>
        <v>727</v>
      </c>
      <c r="B732" s="7" t="n">
        <f aca="false">MAX('Giả định'!$B$9,ROUNDUP(A732/'Giả định'!$B$7,0)+'Giả định'!$B$8)</f>
        <v>74</v>
      </c>
      <c r="C732" s="25" t="n">
        <f aca="false">('Chi phí'!$C$76+'Chi phí'!$D$76*B732+'Chi phí'!$E$76*A732+'Giả định'!$B$15*('Chi phí'!$F$76+'Chi phí'!$G$76*B732+'Chi phí'!$H$76*A732))*(1+'Giả định'!$B$16)</f>
        <v>764270980</v>
      </c>
      <c r="D732" s="25" t="n">
        <f aca="false">('Chi phí'!$C$77+'Chi phí'!$D$77*B732+'Chi phí'!$E$77*A732+'Giả định'!$B$15*('Chi phí'!$F$77+'Chi phí'!$G$77*B732+'Chi phí'!$H$77*A732))*(1+'Giả định'!$B$16)</f>
        <v>907875980</v>
      </c>
      <c r="E732" s="25" t="n">
        <f aca="false">A732/'Giả định'!$B$19*'Giả định'!$B$20+A732*'Giả định'!$B$23+'Giả định'!$B$24</f>
        <v>270639495.798319</v>
      </c>
      <c r="F732" s="25" t="n">
        <f aca="false">E732-D732</f>
        <v>-637236484.201681</v>
      </c>
      <c r="G732" s="25" t="n">
        <f aca="false">E732-C732</f>
        <v>-493631484.201681</v>
      </c>
      <c r="H732" s="7" t="str">
        <f aca="false">IF(F732&gt;=0,A732,"")</f>
        <v/>
      </c>
      <c r="I732" s="7" t="n">
        <f aca="false">IF(F732&lt;0,A732,0)</f>
        <v>727</v>
      </c>
      <c r="J732" s="7" t="str">
        <f aca="false">IF(G732&gt;=0,A732,"")</f>
        <v/>
      </c>
      <c r="K732" s="7" t="n">
        <f aca="false">IF(G732&lt;0,A732,0)</f>
        <v>727</v>
      </c>
    </row>
    <row r="733" customFormat="false" ht="15" hidden="false" customHeight="false" outlineLevel="0" collapsed="false">
      <c r="A733" s="7" t="n">
        <f aca="false">A732+1</f>
        <v>728</v>
      </c>
      <c r="B733" s="7" t="n">
        <f aca="false">MAX('Giả định'!$B$9,ROUNDUP(A733/'Giả định'!$B$7,0)+'Giả định'!$B$8)</f>
        <v>74</v>
      </c>
      <c r="C733" s="25" t="n">
        <f aca="false">('Chi phí'!$C$76+'Chi phí'!$D$76*B733+'Chi phí'!$E$76*A733+'Giả định'!$B$15*('Chi phí'!$F$76+'Chi phí'!$G$76*B733+'Chi phí'!$H$76*A733))*(1+'Giả định'!$B$16)</f>
        <v>764307720</v>
      </c>
      <c r="D733" s="25" t="n">
        <f aca="false">('Chi phí'!$C$77+'Chi phí'!$D$77*B733+'Chi phí'!$E$77*A733+'Giả định'!$B$15*('Chi phí'!$F$77+'Chi phí'!$G$77*B733+'Chi phí'!$H$77*A733))*(1+'Giả định'!$B$16)</f>
        <v>907912720</v>
      </c>
      <c r="E733" s="25" t="n">
        <f aca="false">A733/'Giả định'!$B$19*'Giả định'!$B$20+A733*'Giả định'!$B$23+'Giả định'!$B$24</f>
        <v>271011764.705882</v>
      </c>
      <c r="F733" s="25" t="n">
        <f aca="false">E733-D733</f>
        <v>-636900955.294118</v>
      </c>
      <c r="G733" s="25" t="n">
        <f aca="false">E733-C733</f>
        <v>-493295955.294118</v>
      </c>
      <c r="H733" s="7" t="str">
        <f aca="false">IF(F733&gt;=0,A733,"")</f>
        <v/>
      </c>
      <c r="I733" s="7" t="n">
        <f aca="false">IF(F733&lt;0,A733,0)</f>
        <v>728</v>
      </c>
      <c r="J733" s="7" t="str">
        <f aca="false">IF(G733&gt;=0,A733,"")</f>
        <v/>
      </c>
      <c r="K733" s="7" t="n">
        <f aca="false">IF(G733&lt;0,A733,0)</f>
        <v>728</v>
      </c>
    </row>
    <row r="734" customFormat="false" ht="15" hidden="false" customHeight="false" outlineLevel="0" collapsed="false">
      <c r="A734" s="7" t="n">
        <f aca="false">A733+1</f>
        <v>729</v>
      </c>
      <c r="B734" s="7" t="n">
        <f aca="false">MAX('Giả định'!$B$9,ROUNDUP(A734/'Giả định'!$B$7,0)+'Giả định'!$B$8)</f>
        <v>74</v>
      </c>
      <c r="C734" s="25" t="n">
        <f aca="false">('Chi phí'!$C$76+'Chi phí'!$D$76*B734+'Chi phí'!$E$76*A734+'Giả định'!$B$15*('Chi phí'!$F$76+'Chi phí'!$G$76*B734+'Chi phí'!$H$76*A734))*(1+'Giả định'!$B$16)</f>
        <v>764344460</v>
      </c>
      <c r="D734" s="25" t="n">
        <f aca="false">('Chi phí'!$C$77+'Chi phí'!$D$77*B734+'Chi phí'!$E$77*A734+'Giả định'!$B$15*('Chi phí'!$F$77+'Chi phí'!$G$77*B734+'Chi phí'!$H$77*A734))*(1+'Giả định'!$B$16)</f>
        <v>907949460</v>
      </c>
      <c r="E734" s="25" t="n">
        <f aca="false">A734/'Giả định'!$B$19*'Giả định'!$B$20+A734*'Giả định'!$B$23+'Giả định'!$B$24</f>
        <v>271384033.613445</v>
      </c>
      <c r="F734" s="25" t="n">
        <f aca="false">E734-D734</f>
        <v>-636565426.386555</v>
      </c>
      <c r="G734" s="25" t="n">
        <f aca="false">E734-C734</f>
        <v>-492960426.386555</v>
      </c>
      <c r="H734" s="7" t="str">
        <f aca="false">IF(F734&gt;=0,A734,"")</f>
        <v/>
      </c>
      <c r="I734" s="7" t="n">
        <f aca="false">IF(F734&lt;0,A734,0)</f>
        <v>729</v>
      </c>
      <c r="J734" s="7" t="str">
        <f aca="false">IF(G734&gt;=0,A734,"")</f>
        <v/>
      </c>
      <c r="K734" s="7" t="n">
        <f aca="false">IF(G734&lt;0,A734,0)</f>
        <v>729</v>
      </c>
    </row>
    <row r="735" customFormat="false" ht="15" hidden="false" customHeight="false" outlineLevel="0" collapsed="false">
      <c r="A735" s="7" t="n">
        <f aca="false">A734+1</f>
        <v>730</v>
      </c>
      <c r="B735" s="7" t="n">
        <f aca="false">MAX('Giả định'!$B$9,ROUNDUP(A735/'Giả định'!$B$7,0)+'Giả định'!$B$8)</f>
        <v>74</v>
      </c>
      <c r="C735" s="25" t="n">
        <f aca="false">('Chi phí'!$C$76+'Chi phí'!$D$76*B735+'Chi phí'!$E$76*A735+'Giả định'!$B$15*('Chi phí'!$F$76+'Chi phí'!$G$76*B735+'Chi phí'!$H$76*A735))*(1+'Giả định'!$B$16)</f>
        <v>764381200</v>
      </c>
      <c r="D735" s="25" t="n">
        <f aca="false">('Chi phí'!$C$77+'Chi phí'!$D$77*B735+'Chi phí'!$E$77*A735+'Giả định'!$B$15*('Chi phí'!$F$77+'Chi phí'!$G$77*B735+'Chi phí'!$H$77*A735))*(1+'Giả định'!$B$16)</f>
        <v>907986200</v>
      </c>
      <c r="E735" s="25" t="n">
        <f aca="false">A735/'Giả định'!$B$19*'Giả định'!$B$20+A735*'Giả định'!$B$23+'Giả định'!$B$24</f>
        <v>271756302.521008</v>
      </c>
      <c r="F735" s="25" t="n">
        <f aca="false">E735-D735</f>
        <v>-636229897.478992</v>
      </c>
      <c r="G735" s="25" t="n">
        <f aca="false">E735-C735</f>
        <v>-492624897.478992</v>
      </c>
      <c r="H735" s="7" t="str">
        <f aca="false">IF(F735&gt;=0,A735,"")</f>
        <v/>
      </c>
      <c r="I735" s="7" t="n">
        <f aca="false">IF(F735&lt;0,A735,0)</f>
        <v>730</v>
      </c>
      <c r="J735" s="7" t="str">
        <f aca="false">IF(G735&gt;=0,A735,"")</f>
        <v/>
      </c>
      <c r="K735" s="7" t="n">
        <f aca="false">IF(G735&lt;0,A735,0)</f>
        <v>730</v>
      </c>
    </row>
    <row r="736" customFormat="false" ht="15" hidden="false" customHeight="false" outlineLevel="0" collapsed="false">
      <c r="A736" s="7" t="n">
        <f aca="false">A735+1</f>
        <v>731</v>
      </c>
      <c r="B736" s="7" t="n">
        <f aca="false">MAX('Giả định'!$B$9,ROUNDUP(A736/'Giả định'!$B$7,0)+'Giả định'!$B$8)</f>
        <v>75</v>
      </c>
      <c r="C736" s="25" t="n">
        <f aca="false">('Chi phí'!$C$76+'Chi phí'!$D$76*B736+'Chi phí'!$E$76*A736+'Giả định'!$B$15*('Chi phí'!$F$76+'Chi phí'!$G$76*B736+'Chi phí'!$H$76*A736))*(1+'Giả định'!$B$16)</f>
        <v>773591940</v>
      </c>
      <c r="D736" s="25" t="n">
        <f aca="false">('Chi phí'!$C$77+'Chi phí'!$D$77*B736+'Chi phí'!$E$77*A736+'Giả định'!$B$15*('Chi phí'!$F$77+'Chi phí'!$G$77*B736+'Chi phí'!$H$77*A736))*(1+'Giả định'!$B$16)</f>
        <v>917196940</v>
      </c>
      <c r="E736" s="25" t="n">
        <f aca="false">A736/'Giả định'!$B$19*'Giả định'!$B$20+A736*'Giả định'!$B$23+'Giả định'!$B$24</f>
        <v>272128571.428571</v>
      </c>
      <c r="F736" s="25" t="n">
        <f aca="false">E736-D736</f>
        <v>-645068368.571429</v>
      </c>
      <c r="G736" s="25" t="n">
        <f aca="false">E736-C736</f>
        <v>-501463368.571429</v>
      </c>
      <c r="H736" s="7" t="str">
        <f aca="false">IF(F736&gt;=0,A736,"")</f>
        <v/>
      </c>
      <c r="I736" s="7" t="n">
        <f aca="false">IF(F736&lt;0,A736,0)</f>
        <v>731</v>
      </c>
      <c r="J736" s="7" t="str">
        <f aca="false">IF(G736&gt;=0,A736,"")</f>
        <v/>
      </c>
      <c r="K736" s="7" t="n">
        <f aca="false">IF(G736&lt;0,A736,0)</f>
        <v>731</v>
      </c>
    </row>
    <row r="737" customFormat="false" ht="15" hidden="false" customHeight="false" outlineLevel="0" collapsed="false">
      <c r="A737" s="7" t="n">
        <f aca="false">A736+1</f>
        <v>732</v>
      </c>
      <c r="B737" s="7" t="n">
        <f aca="false">MAX('Giả định'!$B$9,ROUNDUP(A737/'Giả định'!$B$7,0)+'Giả định'!$B$8)</f>
        <v>75</v>
      </c>
      <c r="C737" s="25" t="n">
        <f aca="false">('Chi phí'!$C$76+'Chi phí'!$D$76*B737+'Chi phí'!$E$76*A737+'Giả định'!$B$15*('Chi phí'!$F$76+'Chi phí'!$G$76*B737+'Chi phí'!$H$76*A737))*(1+'Giả định'!$B$16)</f>
        <v>773628680</v>
      </c>
      <c r="D737" s="25" t="n">
        <f aca="false">('Chi phí'!$C$77+'Chi phí'!$D$77*B737+'Chi phí'!$E$77*A737+'Giả định'!$B$15*('Chi phí'!$F$77+'Chi phí'!$G$77*B737+'Chi phí'!$H$77*A737))*(1+'Giả định'!$B$16)</f>
        <v>917233680</v>
      </c>
      <c r="E737" s="25" t="n">
        <f aca="false">A737/'Giả định'!$B$19*'Giả định'!$B$20+A737*'Giả định'!$B$23+'Giả định'!$B$24</f>
        <v>272500840.336134</v>
      </c>
      <c r="F737" s="25" t="n">
        <f aca="false">E737-D737</f>
        <v>-644732839.663866</v>
      </c>
      <c r="G737" s="25" t="n">
        <f aca="false">E737-C737</f>
        <v>-501127839.663866</v>
      </c>
      <c r="H737" s="7" t="str">
        <f aca="false">IF(F737&gt;=0,A737,"")</f>
        <v/>
      </c>
      <c r="I737" s="7" t="n">
        <f aca="false">IF(F737&lt;0,A737,0)</f>
        <v>732</v>
      </c>
      <c r="J737" s="7" t="str">
        <f aca="false">IF(G737&gt;=0,A737,"")</f>
        <v/>
      </c>
      <c r="K737" s="7" t="n">
        <f aca="false">IF(G737&lt;0,A737,0)</f>
        <v>732</v>
      </c>
    </row>
    <row r="738" customFormat="false" ht="15" hidden="false" customHeight="false" outlineLevel="0" collapsed="false">
      <c r="A738" s="7" t="n">
        <f aca="false">A737+1</f>
        <v>733</v>
      </c>
      <c r="B738" s="7" t="n">
        <f aca="false">MAX('Giả định'!$B$9,ROUNDUP(A738/'Giả định'!$B$7,0)+'Giả định'!$B$8)</f>
        <v>75</v>
      </c>
      <c r="C738" s="25" t="n">
        <f aca="false">('Chi phí'!$C$76+'Chi phí'!$D$76*B738+'Chi phí'!$E$76*A738+'Giả định'!$B$15*('Chi phí'!$F$76+'Chi phí'!$G$76*B738+'Chi phí'!$H$76*A738))*(1+'Giả định'!$B$16)</f>
        <v>773665420</v>
      </c>
      <c r="D738" s="25" t="n">
        <f aca="false">('Chi phí'!$C$77+'Chi phí'!$D$77*B738+'Chi phí'!$E$77*A738+'Giả định'!$B$15*('Chi phí'!$F$77+'Chi phí'!$G$77*B738+'Chi phí'!$H$77*A738))*(1+'Giả định'!$B$16)</f>
        <v>917270420</v>
      </c>
      <c r="E738" s="25" t="n">
        <f aca="false">A738/'Giả định'!$B$19*'Giả định'!$B$20+A738*'Giả định'!$B$23+'Giả định'!$B$24</f>
        <v>272873109.243697</v>
      </c>
      <c r="F738" s="25" t="n">
        <f aca="false">E738-D738</f>
        <v>-644397310.756303</v>
      </c>
      <c r="G738" s="25" t="n">
        <f aca="false">E738-C738</f>
        <v>-500792310.756303</v>
      </c>
      <c r="H738" s="7" t="str">
        <f aca="false">IF(F738&gt;=0,A738,"")</f>
        <v/>
      </c>
      <c r="I738" s="7" t="n">
        <f aca="false">IF(F738&lt;0,A738,0)</f>
        <v>733</v>
      </c>
      <c r="J738" s="7" t="str">
        <f aca="false">IF(G738&gt;=0,A738,"")</f>
        <v/>
      </c>
      <c r="K738" s="7" t="n">
        <f aca="false">IF(G738&lt;0,A738,0)</f>
        <v>733</v>
      </c>
    </row>
    <row r="739" customFormat="false" ht="15" hidden="false" customHeight="false" outlineLevel="0" collapsed="false">
      <c r="A739" s="7" t="n">
        <f aca="false">A738+1</f>
        <v>734</v>
      </c>
      <c r="B739" s="7" t="n">
        <f aca="false">MAX('Giả định'!$B$9,ROUNDUP(A739/'Giả định'!$B$7,0)+'Giả định'!$B$8)</f>
        <v>75</v>
      </c>
      <c r="C739" s="25" t="n">
        <f aca="false">('Chi phí'!$C$76+'Chi phí'!$D$76*B739+'Chi phí'!$E$76*A739+'Giả định'!$B$15*('Chi phí'!$F$76+'Chi phí'!$G$76*B739+'Chi phí'!$H$76*A739))*(1+'Giả định'!$B$16)</f>
        <v>773702160</v>
      </c>
      <c r="D739" s="25" t="n">
        <f aca="false">('Chi phí'!$C$77+'Chi phí'!$D$77*B739+'Chi phí'!$E$77*A739+'Giả định'!$B$15*('Chi phí'!$F$77+'Chi phí'!$G$77*B739+'Chi phí'!$H$77*A739))*(1+'Giả định'!$B$16)</f>
        <v>917307160</v>
      </c>
      <c r="E739" s="25" t="n">
        <f aca="false">A739/'Giả định'!$B$19*'Giả định'!$B$20+A739*'Giả định'!$B$23+'Giả định'!$B$24</f>
        <v>273245378.151261</v>
      </c>
      <c r="F739" s="25" t="n">
        <f aca="false">E739-D739</f>
        <v>-644061781.84874</v>
      </c>
      <c r="G739" s="25" t="n">
        <f aca="false">E739-C739</f>
        <v>-500456781.84874</v>
      </c>
      <c r="H739" s="7" t="str">
        <f aca="false">IF(F739&gt;=0,A739,"")</f>
        <v/>
      </c>
      <c r="I739" s="7" t="n">
        <f aca="false">IF(F739&lt;0,A739,0)</f>
        <v>734</v>
      </c>
      <c r="J739" s="7" t="str">
        <f aca="false">IF(G739&gt;=0,A739,"")</f>
        <v/>
      </c>
      <c r="K739" s="7" t="n">
        <f aca="false">IF(G739&lt;0,A739,0)</f>
        <v>734</v>
      </c>
    </row>
    <row r="740" customFormat="false" ht="15" hidden="false" customHeight="false" outlineLevel="0" collapsed="false">
      <c r="A740" s="7" t="n">
        <f aca="false">A739+1</f>
        <v>735</v>
      </c>
      <c r="B740" s="7" t="n">
        <f aca="false">MAX('Giả định'!$B$9,ROUNDUP(A740/'Giả định'!$B$7,0)+'Giả định'!$B$8)</f>
        <v>75</v>
      </c>
      <c r="C740" s="25" t="n">
        <f aca="false">('Chi phí'!$C$76+'Chi phí'!$D$76*B740+'Chi phí'!$E$76*A740+'Giả định'!$B$15*('Chi phí'!$F$76+'Chi phí'!$G$76*B740+'Chi phí'!$H$76*A740))*(1+'Giả định'!$B$16)</f>
        <v>773738900</v>
      </c>
      <c r="D740" s="25" t="n">
        <f aca="false">('Chi phí'!$C$77+'Chi phí'!$D$77*B740+'Chi phí'!$E$77*A740+'Giả định'!$B$15*('Chi phí'!$F$77+'Chi phí'!$G$77*B740+'Chi phí'!$H$77*A740))*(1+'Giả định'!$B$16)</f>
        <v>917343900</v>
      </c>
      <c r="E740" s="25" t="n">
        <f aca="false">A740/'Giả định'!$B$19*'Giả định'!$B$20+A740*'Giả định'!$B$23+'Giả định'!$B$24</f>
        <v>273617647.058824</v>
      </c>
      <c r="F740" s="25" t="n">
        <f aca="false">E740-D740</f>
        <v>-643726252.941177</v>
      </c>
      <c r="G740" s="25" t="n">
        <f aca="false">E740-C740</f>
        <v>-500121252.941177</v>
      </c>
      <c r="H740" s="7" t="str">
        <f aca="false">IF(F740&gt;=0,A740,"")</f>
        <v/>
      </c>
      <c r="I740" s="7" t="n">
        <f aca="false">IF(F740&lt;0,A740,0)</f>
        <v>735</v>
      </c>
      <c r="J740" s="7" t="str">
        <f aca="false">IF(G740&gt;=0,A740,"")</f>
        <v/>
      </c>
      <c r="K740" s="7" t="n">
        <f aca="false">IF(G740&lt;0,A740,0)</f>
        <v>735</v>
      </c>
    </row>
    <row r="741" customFormat="false" ht="15" hidden="false" customHeight="false" outlineLevel="0" collapsed="false">
      <c r="A741" s="7" t="n">
        <f aca="false">A740+1</f>
        <v>736</v>
      </c>
      <c r="B741" s="7" t="n">
        <f aca="false">MAX('Giả định'!$B$9,ROUNDUP(A741/'Giả định'!$B$7,0)+'Giả định'!$B$8)</f>
        <v>75</v>
      </c>
      <c r="C741" s="25" t="n">
        <f aca="false">('Chi phí'!$C$76+'Chi phí'!$D$76*B741+'Chi phí'!$E$76*A741+'Giả định'!$B$15*('Chi phí'!$F$76+'Chi phí'!$G$76*B741+'Chi phí'!$H$76*A741))*(1+'Giả định'!$B$16)</f>
        <v>773775640</v>
      </c>
      <c r="D741" s="25" t="n">
        <f aca="false">('Chi phí'!$C$77+'Chi phí'!$D$77*B741+'Chi phí'!$E$77*A741+'Giả định'!$B$15*('Chi phí'!$F$77+'Chi phí'!$G$77*B741+'Chi phí'!$H$77*A741))*(1+'Giả định'!$B$16)</f>
        <v>917380640</v>
      </c>
      <c r="E741" s="25" t="n">
        <f aca="false">A741/'Giả định'!$B$19*'Giả định'!$B$20+A741*'Giả định'!$B$23+'Giả định'!$B$24</f>
        <v>273989915.966387</v>
      </c>
      <c r="F741" s="25" t="n">
        <f aca="false">E741-D741</f>
        <v>-643390724.033613</v>
      </c>
      <c r="G741" s="25" t="n">
        <f aca="false">E741-C741</f>
        <v>-499785724.033614</v>
      </c>
      <c r="H741" s="7" t="str">
        <f aca="false">IF(F741&gt;=0,A741,"")</f>
        <v/>
      </c>
      <c r="I741" s="7" t="n">
        <f aca="false">IF(F741&lt;0,A741,0)</f>
        <v>736</v>
      </c>
      <c r="J741" s="7" t="str">
        <f aca="false">IF(G741&gt;=0,A741,"")</f>
        <v/>
      </c>
      <c r="K741" s="7" t="n">
        <f aca="false">IF(G741&lt;0,A741,0)</f>
        <v>736</v>
      </c>
    </row>
    <row r="742" customFormat="false" ht="15" hidden="false" customHeight="false" outlineLevel="0" collapsed="false">
      <c r="A742" s="7" t="n">
        <f aca="false">A741+1</f>
        <v>737</v>
      </c>
      <c r="B742" s="7" t="n">
        <f aca="false">MAX('Giả định'!$B$9,ROUNDUP(A742/'Giả định'!$B$7,0)+'Giả định'!$B$8)</f>
        <v>75</v>
      </c>
      <c r="C742" s="25" t="n">
        <f aca="false">('Chi phí'!$C$76+'Chi phí'!$D$76*B742+'Chi phí'!$E$76*A742+'Giả định'!$B$15*('Chi phí'!$F$76+'Chi phí'!$G$76*B742+'Chi phí'!$H$76*A742))*(1+'Giả định'!$B$16)</f>
        <v>773812380</v>
      </c>
      <c r="D742" s="25" t="n">
        <f aca="false">('Chi phí'!$C$77+'Chi phí'!$D$77*B742+'Chi phí'!$E$77*A742+'Giả định'!$B$15*('Chi phí'!$F$77+'Chi phí'!$G$77*B742+'Chi phí'!$H$77*A742))*(1+'Giả định'!$B$16)</f>
        <v>917417380</v>
      </c>
      <c r="E742" s="25" t="n">
        <f aca="false">A742/'Giả định'!$B$19*'Giả định'!$B$20+A742*'Giả định'!$B$23+'Giả định'!$B$24</f>
        <v>274362184.87395</v>
      </c>
      <c r="F742" s="25" t="n">
        <f aca="false">E742-D742</f>
        <v>-643055195.126051</v>
      </c>
      <c r="G742" s="25" t="n">
        <f aca="false">E742-C742</f>
        <v>-499450195.126051</v>
      </c>
      <c r="H742" s="7" t="str">
        <f aca="false">IF(F742&gt;=0,A742,"")</f>
        <v/>
      </c>
      <c r="I742" s="7" t="n">
        <f aca="false">IF(F742&lt;0,A742,0)</f>
        <v>737</v>
      </c>
      <c r="J742" s="7" t="str">
        <f aca="false">IF(G742&gt;=0,A742,"")</f>
        <v/>
      </c>
      <c r="K742" s="7" t="n">
        <f aca="false">IF(G742&lt;0,A742,0)</f>
        <v>737</v>
      </c>
    </row>
    <row r="743" customFormat="false" ht="15" hidden="false" customHeight="false" outlineLevel="0" collapsed="false">
      <c r="A743" s="7" t="n">
        <f aca="false">A742+1</f>
        <v>738</v>
      </c>
      <c r="B743" s="7" t="n">
        <f aca="false">MAX('Giả định'!$B$9,ROUNDUP(A743/'Giả định'!$B$7,0)+'Giả định'!$B$8)</f>
        <v>75</v>
      </c>
      <c r="C743" s="25" t="n">
        <f aca="false">('Chi phí'!$C$76+'Chi phí'!$D$76*B743+'Chi phí'!$E$76*A743+'Giả định'!$B$15*('Chi phí'!$F$76+'Chi phí'!$G$76*B743+'Chi phí'!$H$76*A743))*(1+'Giả định'!$B$16)</f>
        <v>773849120</v>
      </c>
      <c r="D743" s="25" t="n">
        <f aca="false">('Chi phí'!$C$77+'Chi phí'!$D$77*B743+'Chi phí'!$E$77*A743+'Giả định'!$B$15*('Chi phí'!$F$77+'Chi phí'!$G$77*B743+'Chi phí'!$H$77*A743))*(1+'Giả định'!$B$16)</f>
        <v>917454120</v>
      </c>
      <c r="E743" s="25" t="n">
        <f aca="false">A743/'Giả định'!$B$19*'Giả định'!$B$20+A743*'Giả định'!$B$23+'Giả định'!$B$24</f>
        <v>274734453.781513</v>
      </c>
      <c r="F743" s="25" t="n">
        <f aca="false">E743-D743</f>
        <v>-642719666.218488</v>
      </c>
      <c r="G743" s="25" t="n">
        <f aca="false">E743-C743</f>
        <v>-499114666.218487</v>
      </c>
      <c r="H743" s="7" t="str">
        <f aca="false">IF(F743&gt;=0,A743,"")</f>
        <v/>
      </c>
      <c r="I743" s="7" t="n">
        <f aca="false">IF(F743&lt;0,A743,0)</f>
        <v>738</v>
      </c>
      <c r="J743" s="7" t="str">
        <f aca="false">IF(G743&gt;=0,A743,"")</f>
        <v/>
      </c>
      <c r="K743" s="7" t="n">
        <f aca="false">IF(G743&lt;0,A743,0)</f>
        <v>738</v>
      </c>
    </row>
    <row r="744" customFormat="false" ht="15" hidden="false" customHeight="false" outlineLevel="0" collapsed="false">
      <c r="A744" s="7" t="n">
        <f aca="false">A743+1</f>
        <v>739</v>
      </c>
      <c r="B744" s="7" t="n">
        <f aca="false">MAX('Giả định'!$B$9,ROUNDUP(A744/'Giả định'!$B$7,0)+'Giả định'!$B$8)</f>
        <v>75</v>
      </c>
      <c r="C744" s="25" t="n">
        <f aca="false">('Chi phí'!$C$76+'Chi phí'!$D$76*B744+'Chi phí'!$E$76*A744+'Giả định'!$B$15*('Chi phí'!$F$76+'Chi phí'!$G$76*B744+'Chi phí'!$H$76*A744))*(1+'Giả định'!$B$16)</f>
        <v>773885860</v>
      </c>
      <c r="D744" s="25" t="n">
        <f aca="false">('Chi phí'!$C$77+'Chi phí'!$D$77*B744+'Chi phí'!$E$77*A744+'Giả định'!$B$15*('Chi phí'!$F$77+'Chi phí'!$G$77*B744+'Chi phí'!$H$77*A744))*(1+'Giả định'!$B$16)</f>
        <v>917490860</v>
      </c>
      <c r="E744" s="25" t="n">
        <f aca="false">A744/'Giả định'!$B$19*'Giả định'!$B$20+A744*'Giả định'!$B$23+'Giả định'!$B$24</f>
        <v>275106722.689076</v>
      </c>
      <c r="F744" s="25" t="n">
        <f aca="false">E744-D744</f>
        <v>-642384137.310925</v>
      </c>
      <c r="G744" s="25" t="n">
        <f aca="false">E744-C744</f>
        <v>-498779137.310925</v>
      </c>
      <c r="H744" s="7" t="str">
        <f aca="false">IF(F744&gt;=0,A744,"")</f>
        <v/>
      </c>
      <c r="I744" s="7" t="n">
        <f aca="false">IF(F744&lt;0,A744,0)</f>
        <v>739</v>
      </c>
      <c r="J744" s="7" t="str">
        <f aca="false">IF(G744&gt;=0,A744,"")</f>
        <v/>
      </c>
      <c r="K744" s="7" t="n">
        <f aca="false">IF(G744&lt;0,A744,0)</f>
        <v>739</v>
      </c>
    </row>
    <row r="745" customFormat="false" ht="15" hidden="false" customHeight="false" outlineLevel="0" collapsed="false">
      <c r="A745" s="7" t="n">
        <f aca="false">A744+1</f>
        <v>740</v>
      </c>
      <c r="B745" s="7" t="n">
        <f aca="false">MAX('Giả định'!$B$9,ROUNDUP(A745/'Giả định'!$B$7,0)+'Giả định'!$B$8)</f>
        <v>75</v>
      </c>
      <c r="C745" s="25" t="n">
        <f aca="false">('Chi phí'!$C$76+'Chi phí'!$D$76*B745+'Chi phí'!$E$76*A745+'Giả định'!$B$15*('Chi phí'!$F$76+'Chi phí'!$G$76*B745+'Chi phí'!$H$76*A745))*(1+'Giả định'!$B$16)</f>
        <v>773922600</v>
      </c>
      <c r="D745" s="25" t="n">
        <f aca="false">('Chi phí'!$C$77+'Chi phí'!$D$77*B745+'Chi phí'!$E$77*A745+'Giả định'!$B$15*('Chi phí'!$F$77+'Chi phí'!$G$77*B745+'Chi phí'!$H$77*A745))*(1+'Giả định'!$B$16)</f>
        <v>917527600</v>
      </c>
      <c r="E745" s="25" t="n">
        <f aca="false">A745/'Giả định'!$B$19*'Giả định'!$B$20+A745*'Giả định'!$B$23+'Giả định'!$B$24</f>
        <v>275478991.596639</v>
      </c>
      <c r="F745" s="25" t="n">
        <f aca="false">E745-D745</f>
        <v>-642048608.403362</v>
      </c>
      <c r="G745" s="25" t="n">
        <f aca="false">E745-C745</f>
        <v>-498443608.403362</v>
      </c>
      <c r="H745" s="7" t="str">
        <f aca="false">IF(F745&gt;=0,A745,"")</f>
        <v/>
      </c>
      <c r="I745" s="7" t="n">
        <f aca="false">IF(F745&lt;0,A745,0)</f>
        <v>740</v>
      </c>
      <c r="J745" s="7" t="str">
        <f aca="false">IF(G745&gt;=0,A745,"")</f>
        <v/>
      </c>
      <c r="K745" s="7" t="n">
        <f aca="false">IF(G745&lt;0,A745,0)</f>
        <v>740</v>
      </c>
    </row>
    <row r="746" customFormat="false" ht="15" hidden="false" customHeight="false" outlineLevel="0" collapsed="false">
      <c r="A746" s="7" t="n">
        <f aca="false">A745+1</f>
        <v>741</v>
      </c>
      <c r="B746" s="7" t="n">
        <f aca="false">MAX('Giả định'!$B$9,ROUNDUP(A746/'Giả định'!$B$7,0)+'Giả định'!$B$8)</f>
        <v>76</v>
      </c>
      <c r="C746" s="25" t="n">
        <f aca="false">('Chi phí'!$C$76+'Chi phí'!$D$76*B746+'Chi phí'!$E$76*A746+'Giả định'!$B$15*('Chi phí'!$F$76+'Chi phí'!$G$76*B746+'Chi phí'!$H$76*A746))*(1+'Giả định'!$B$16)</f>
        <v>783133340</v>
      </c>
      <c r="D746" s="25" t="n">
        <f aca="false">('Chi phí'!$C$77+'Chi phí'!$D$77*B746+'Chi phí'!$E$77*A746+'Giả định'!$B$15*('Chi phí'!$F$77+'Chi phí'!$G$77*B746+'Chi phí'!$H$77*A746))*(1+'Giả định'!$B$16)</f>
        <v>926738340</v>
      </c>
      <c r="E746" s="25" t="n">
        <f aca="false">A746/'Giả định'!$B$19*'Giả định'!$B$20+A746*'Giả định'!$B$23+'Giả định'!$B$24</f>
        <v>275851260.504202</v>
      </c>
      <c r="F746" s="25" t="n">
        <f aca="false">E746-D746</f>
        <v>-650887079.495798</v>
      </c>
      <c r="G746" s="25" t="n">
        <f aca="false">E746-C746</f>
        <v>-507282079.495798</v>
      </c>
      <c r="H746" s="7" t="str">
        <f aca="false">IF(F746&gt;=0,A746,"")</f>
        <v/>
      </c>
      <c r="I746" s="7" t="n">
        <f aca="false">IF(F746&lt;0,A746,0)</f>
        <v>741</v>
      </c>
      <c r="J746" s="7" t="str">
        <f aca="false">IF(G746&gt;=0,A746,"")</f>
        <v/>
      </c>
      <c r="K746" s="7" t="n">
        <f aca="false">IF(G746&lt;0,A746,0)</f>
        <v>741</v>
      </c>
    </row>
    <row r="747" customFormat="false" ht="15" hidden="false" customHeight="false" outlineLevel="0" collapsed="false">
      <c r="A747" s="7" t="n">
        <f aca="false">A746+1</f>
        <v>742</v>
      </c>
      <c r="B747" s="7" t="n">
        <f aca="false">MAX('Giả định'!$B$9,ROUNDUP(A747/'Giả định'!$B$7,0)+'Giả định'!$B$8)</f>
        <v>76</v>
      </c>
      <c r="C747" s="25" t="n">
        <f aca="false">('Chi phí'!$C$76+'Chi phí'!$D$76*B747+'Chi phí'!$E$76*A747+'Giả định'!$B$15*('Chi phí'!$F$76+'Chi phí'!$G$76*B747+'Chi phí'!$H$76*A747))*(1+'Giả định'!$B$16)</f>
        <v>783170080</v>
      </c>
      <c r="D747" s="25" t="n">
        <f aca="false">('Chi phí'!$C$77+'Chi phí'!$D$77*B747+'Chi phí'!$E$77*A747+'Giả định'!$B$15*('Chi phí'!$F$77+'Chi phí'!$G$77*B747+'Chi phí'!$H$77*A747))*(1+'Giả định'!$B$16)</f>
        <v>926775080</v>
      </c>
      <c r="E747" s="25" t="n">
        <f aca="false">A747/'Giả định'!$B$19*'Giả định'!$B$20+A747*'Giả định'!$B$23+'Giả định'!$B$24</f>
        <v>276223529.411765</v>
      </c>
      <c r="F747" s="25" t="n">
        <f aca="false">E747-D747</f>
        <v>-650551550.588235</v>
      </c>
      <c r="G747" s="25" t="n">
        <f aca="false">E747-C747</f>
        <v>-506946550.588235</v>
      </c>
      <c r="H747" s="7" t="str">
        <f aca="false">IF(F747&gt;=0,A747,"")</f>
        <v/>
      </c>
      <c r="I747" s="7" t="n">
        <f aca="false">IF(F747&lt;0,A747,0)</f>
        <v>742</v>
      </c>
      <c r="J747" s="7" t="str">
        <f aca="false">IF(G747&gt;=0,A747,"")</f>
        <v/>
      </c>
      <c r="K747" s="7" t="n">
        <f aca="false">IF(G747&lt;0,A747,0)</f>
        <v>742</v>
      </c>
    </row>
    <row r="748" customFormat="false" ht="15" hidden="false" customHeight="false" outlineLevel="0" collapsed="false">
      <c r="A748" s="7" t="n">
        <f aca="false">A747+1</f>
        <v>743</v>
      </c>
      <c r="B748" s="7" t="n">
        <f aca="false">MAX('Giả định'!$B$9,ROUNDUP(A748/'Giả định'!$B$7,0)+'Giả định'!$B$8)</f>
        <v>76</v>
      </c>
      <c r="C748" s="25" t="n">
        <f aca="false">('Chi phí'!$C$76+'Chi phí'!$D$76*B748+'Chi phí'!$E$76*A748+'Giả định'!$B$15*('Chi phí'!$F$76+'Chi phí'!$G$76*B748+'Chi phí'!$H$76*A748))*(1+'Giả định'!$B$16)</f>
        <v>783206820</v>
      </c>
      <c r="D748" s="25" t="n">
        <f aca="false">('Chi phí'!$C$77+'Chi phí'!$D$77*B748+'Chi phí'!$E$77*A748+'Giả định'!$B$15*('Chi phí'!$F$77+'Chi phí'!$G$77*B748+'Chi phí'!$H$77*A748))*(1+'Giả định'!$B$16)</f>
        <v>926811820</v>
      </c>
      <c r="E748" s="25" t="n">
        <f aca="false">A748/'Giả định'!$B$19*'Giả định'!$B$20+A748*'Giả định'!$B$23+'Giả định'!$B$24</f>
        <v>276595798.319328</v>
      </c>
      <c r="F748" s="25" t="n">
        <f aca="false">E748-D748</f>
        <v>-650216021.680672</v>
      </c>
      <c r="G748" s="25" t="n">
        <f aca="false">E748-C748</f>
        <v>-506611021.680672</v>
      </c>
      <c r="H748" s="7" t="str">
        <f aca="false">IF(F748&gt;=0,A748,"")</f>
        <v/>
      </c>
      <c r="I748" s="7" t="n">
        <f aca="false">IF(F748&lt;0,A748,0)</f>
        <v>743</v>
      </c>
      <c r="J748" s="7" t="str">
        <f aca="false">IF(G748&gt;=0,A748,"")</f>
        <v/>
      </c>
      <c r="K748" s="7" t="n">
        <f aca="false">IF(G748&lt;0,A748,0)</f>
        <v>743</v>
      </c>
    </row>
    <row r="749" customFormat="false" ht="15" hidden="false" customHeight="false" outlineLevel="0" collapsed="false">
      <c r="A749" s="7" t="n">
        <f aca="false">A748+1</f>
        <v>744</v>
      </c>
      <c r="B749" s="7" t="n">
        <f aca="false">MAX('Giả định'!$B$9,ROUNDUP(A749/'Giả định'!$B$7,0)+'Giả định'!$B$8)</f>
        <v>76</v>
      </c>
      <c r="C749" s="25" t="n">
        <f aca="false">('Chi phí'!$C$76+'Chi phí'!$D$76*B749+'Chi phí'!$E$76*A749+'Giả định'!$B$15*('Chi phí'!$F$76+'Chi phí'!$G$76*B749+'Chi phí'!$H$76*A749))*(1+'Giả định'!$B$16)</f>
        <v>783243560</v>
      </c>
      <c r="D749" s="25" t="n">
        <f aca="false">('Chi phí'!$C$77+'Chi phí'!$D$77*B749+'Chi phí'!$E$77*A749+'Giả định'!$B$15*('Chi phí'!$F$77+'Chi phí'!$G$77*B749+'Chi phí'!$H$77*A749))*(1+'Giả định'!$B$16)</f>
        <v>926848560</v>
      </c>
      <c r="E749" s="25" t="n">
        <f aca="false">A749/'Giả định'!$B$19*'Giả định'!$B$20+A749*'Giả định'!$B$23+'Giả định'!$B$24</f>
        <v>276968067.226891</v>
      </c>
      <c r="F749" s="25" t="n">
        <f aca="false">E749-D749</f>
        <v>-649880492.773109</v>
      </c>
      <c r="G749" s="25" t="n">
        <f aca="false">E749-C749</f>
        <v>-506275492.773109</v>
      </c>
      <c r="H749" s="7" t="str">
        <f aca="false">IF(F749&gt;=0,A749,"")</f>
        <v/>
      </c>
      <c r="I749" s="7" t="n">
        <f aca="false">IF(F749&lt;0,A749,0)</f>
        <v>744</v>
      </c>
      <c r="J749" s="7" t="str">
        <f aca="false">IF(G749&gt;=0,A749,"")</f>
        <v/>
      </c>
      <c r="K749" s="7" t="n">
        <f aca="false">IF(G749&lt;0,A749,0)</f>
        <v>744</v>
      </c>
    </row>
    <row r="750" customFormat="false" ht="15" hidden="false" customHeight="false" outlineLevel="0" collapsed="false">
      <c r="A750" s="7" t="n">
        <f aca="false">A749+1</f>
        <v>745</v>
      </c>
      <c r="B750" s="7" t="n">
        <f aca="false">MAX('Giả định'!$B$9,ROUNDUP(A750/'Giả định'!$B$7,0)+'Giả định'!$B$8)</f>
        <v>76</v>
      </c>
      <c r="C750" s="25" t="n">
        <f aca="false">('Chi phí'!$C$76+'Chi phí'!$D$76*B750+'Chi phí'!$E$76*A750+'Giả định'!$B$15*('Chi phí'!$F$76+'Chi phí'!$G$76*B750+'Chi phí'!$H$76*A750))*(1+'Giả định'!$B$16)</f>
        <v>783280300</v>
      </c>
      <c r="D750" s="25" t="n">
        <f aca="false">('Chi phí'!$C$77+'Chi phí'!$D$77*B750+'Chi phí'!$E$77*A750+'Giả định'!$B$15*('Chi phí'!$F$77+'Chi phí'!$G$77*B750+'Chi phí'!$H$77*A750))*(1+'Giả định'!$B$16)</f>
        <v>926885300</v>
      </c>
      <c r="E750" s="25" t="n">
        <f aca="false">A750/'Giả định'!$B$19*'Giả định'!$B$20+A750*'Giả định'!$B$23+'Giả định'!$B$24</f>
        <v>277340336.134454</v>
      </c>
      <c r="F750" s="25" t="n">
        <f aca="false">E750-D750</f>
        <v>-649544963.865546</v>
      </c>
      <c r="G750" s="25" t="n">
        <f aca="false">E750-C750</f>
        <v>-505939963.865546</v>
      </c>
      <c r="H750" s="7" t="str">
        <f aca="false">IF(F750&gt;=0,A750,"")</f>
        <v/>
      </c>
      <c r="I750" s="7" t="n">
        <f aca="false">IF(F750&lt;0,A750,0)</f>
        <v>745</v>
      </c>
      <c r="J750" s="7" t="str">
        <f aca="false">IF(G750&gt;=0,A750,"")</f>
        <v/>
      </c>
      <c r="K750" s="7" t="n">
        <f aca="false">IF(G750&lt;0,A750,0)</f>
        <v>745</v>
      </c>
    </row>
    <row r="751" customFormat="false" ht="15" hidden="false" customHeight="false" outlineLevel="0" collapsed="false">
      <c r="A751" s="7" t="n">
        <f aca="false">A750+1</f>
        <v>746</v>
      </c>
      <c r="B751" s="7" t="n">
        <f aca="false">MAX('Giả định'!$B$9,ROUNDUP(A751/'Giả định'!$B$7,0)+'Giả định'!$B$8)</f>
        <v>76</v>
      </c>
      <c r="C751" s="25" t="n">
        <f aca="false">('Chi phí'!$C$76+'Chi phí'!$D$76*B751+'Chi phí'!$E$76*A751+'Giả định'!$B$15*('Chi phí'!$F$76+'Chi phí'!$G$76*B751+'Chi phí'!$H$76*A751))*(1+'Giả định'!$B$16)</f>
        <v>783317040</v>
      </c>
      <c r="D751" s="25" t="n">
        <f aca="false">('Chi phí'!$C$77+'Chi phí'!$D$77*B751+'Chi phí'!$E$77*A751+'Giả định'!$B$15*('Chi phí'!$F$77+'Chi phí'!$G$77*B751+'Chi phí'!$H$77*A751))*(1+'Giả định'!$B$16)</f>
        <v>926922040</v>
      </c>
      <c r="E751" s="25" t="n">
        <f aca="false">A751/'Giả định'!$B$19*'Giả định'!$B$20+A751*'Giả định'!$B$23+'Giả định'!$B$24</f>
        <v>277712605.042017</v>
      </c>
      <c r="F751" s="25" t="n">
        <f aca="false">E751-D751</f>
        <v>-649209434.957983</v>
      </c>
      <c r="G751" s="25" t="n">
        <f aca="false">E751-C751</f>
        <v>-505604434.957983</v>
      </c>
      <c r="H751" s="7" t="str">
        <f aca="false">IF(F751&gt;=0,A751,"")</f>
        <v/>
      </c>
      <c r="I751" s="7" t="n">
        <f aca="false">IF(F751&lt;0,A751,0)</f>
        <v>746</v>
      </c>
      <c r="J751" s="7" t="str">
        <f aca="false">IF(G751&gt;=0,A751,"")</f>
        <v/>
      </c>
      <c r="K751" s="7" t="n">
        <f aca="false">IF(G751&lt;0,A751,0)</f>
        <v>746</v>
      </c>
    </row>
    <row r="752" customFormat="false" ht="15" hidden="false" customHeight="false" outlineLevel="0" collapsed="false">
      <c r="A752" s="7" t="n">
        <f aca="false">A751+1</f>
        <v>747</v>
      </c>
      <c r="B752" s="7" t="n">
        <f aca="false">MAX('Giả định'!$B$9,ROUNDUP(A752/'Giả định'!$B$7,0)+'Giả định'!$B$8)</f>
        <v>76</v>
      </c>
      <c r="C752" s="25" t="n">
        <f aca="false">('Chi phí'!$C$76+'Chi phí'!$D$76*B752+'Chi phí'!$E$76*A752+'Giả định'!$B$15*('Chi phí'!$F$76+'Chi phí'!$G$76*B752+'Chi phí'!$H$76*A752))*(1+'Giả định'!$B$16)</f>
        <v>783353780</v>
      </c>
      <c r="D752" s="25" t="n">
        <f aca="false">('Chi phí'!$C$77+'Chi phí'!$D$77*B752+'Chi phí'!$E$77*A752+'Giả định'!$B$15*('Chi phí'!$F$77+'Chi phí'!$G$77*B752+'Chi phí'!$H$77*A752))*(1+'Giả định'!$B$16)</f>
        <v>926958780</v>
      </c>
      <c r="E752" s="25" t="n">
        <f aca="false">A752/'Giả định'!$B$19*'Giả định'!$B$20+A752*'Giả định'!$B$23+'Giả định'!$B$24</f>
        <v>278084873.94958</v>
      </c>
      <c r="F752" s="25" t="n">
        <f aca="false">E752-D752</f>
        <v>-648873906.05042</v>
      </c>
      <c r="G752" s="25" t="n">
        <f aca="false">E752-C752</f>
        <v>-505268906.05042</v>
      </c>
      <c r="H752" s="7" t="str">
        <f aca="false">IF(F752&gt;=0,A752,"")</f>
        <v/>
      </c>
      <c r="I752" s="7" t="n">
        <f aca="false">IF(F752&lt;0,A752,0)</f>
        <v>747</v>
      </c>
      <c r="J752" s="7" t="str">
        <f aca="false">IF(G752&gt;=0,A752,"")</f>
        <v/>
      </c>
      <c r="K752" s="7" t="n">
        <f aca="false">IF(G752&lt;0,A752,0)</f>
        <v>747</v>
      </c>
    </row>
    <row r="753" customFormat="false" ht="15" hidden="false" customHeight="false" outlineLevel="0" collapsed="false">
      <c r="A753" s="7" t="n">
        <f aca="false">A752+1</f>
        <v>748</v>
      </c>
      <c r="B753" s="7" t="n">
        <f aca="false">MAX('Giả định'!$B$9,ROUNDUP(A753/'Giả định'!$B$7,0)+'Giả định'!$B$8)</f>
        <v>76</v>
      </c>
      <c r="C753" s="25" t="n">
        <f aca="false">('Chi phí'!$C$76+'Chi phí'!$D$76*B753+'Chi phí'!$E$76*A753+'Giả định'!$B$15*('Chi phí'!$F$76+'Chi phí'!$G$76*B753+'Chi phí'!$H$76*A753))*(1+'Giả định'!$B$16)</f>
        <v>783390520</v>
      </c>
      <c r="D753" s="25" t="n">
        <f aca="false">('Chi phí'!$C$77+'Chi phí'!$D$77*B753+'Chi phí'!$E$77*A753+'Giả định'!$B$15*('Chi phí'!$F$77+'Chi phí'!$G$77*B753+'Chi phí'!$H$77*A753))*(1+'Giả định'!$B$16)</f>
        <v>926995520</v>
      </c>
      <c r="E753" s="25" t="n">
        <f aca="false">A753/'Giả định'!$B$19*'Giả định'!$B$20+A753*'Giả định'!$B$23+'Giả định'!$B$24</f>
        <v>278457142.857143</v>
      </c>
      <c r="F753" s="25" t="n">
        <f aca="false">E753-D753</f>
        <v>-648538377.142857</v>
      </c>
      <c r="G753" s="25" t="n">
        <f aca="false">E753-C753</f>
        <v>-504933377.142857</v>
      </c>
      <c r="H753" s="7" t="str">
        <f aca="false">IF(F753&gt;=0,A753,"")</f>
        <v/>
      </c>
      <c r="I753" s="7" t="n">
        <f aca="false">IF(F753&lt;0,A753,0)</f>
        <v>748</v>
      </c>
      <c r="J753" s="7" t="str">
        <f aca="false">IF(G753&gt;=0,A753,"")</f>
        <v/>
      </c>
      <c r="K753" s="7" t="n">
        <f aca="false">IF(G753&lt;0,A753,0)</f>
        <v>748</v>
      </c>
    </row>
    <row r="754" customFormat="false" ht="15" hidden="false" customHeight="false" outlineLevel="0" collapsed="false">
      <c r="A754" s="7" t="n">
        <f aca="false">A753+1</f>
        <v>749</v>
      </c>
      <c r="B754" s="7" t="n">
        <f aca="false">MAX('Giả định'!$B$9,ROUNDUP(A754/'Giả định'!$B$7,0)+'Giả định'!$B$8)</f>
        <v>76</v>
      </c>
      <c r="C754" s="25" t="n">
        <f aca="false">('Chi phí'!$C$76+'Chi phí'!$D$76*B754+'Chi phí'!$E$76*A754+'Giả định'!$B$15*('Chi phí'!$F$76+'Chi phí'!$G$76*B754+'Chi phí'!$H$76*A754))*(1+'Giả định'!$B$16)</f>
        <v>783427260</v>
      </c>
      <c r="D754" s="25" t="n">
        <f aca="false">('Chi phí'!$C$77+'Chi phí'!$D$77*B754+'Chi phí'!$E$77*A754+'Giả định'!$B$15*('Chi phí'!$F$77+'Chi phí'!$G$77*B754+'Chi phí'!$H$77*A754))*(1+'Giả định'!$B$16)</f>
        <v>927032260</v>
      </c>
      <c r="E754" s="25" t="n">
        <f aca="false">A754/'Giả định'!$B$19*'Giả định'!$B$20+A754*'Giả định'!$B$23+'Giả định'!$B$24</f>
        <v>278829411.764706</v>
      </c>
      <c r="F754" s="25" t="n">
        <f aca="false">E754-D754</f>
        <v>-648202848.235294</v>
      </c>
      <c r="G754" s="25" t="n">
        <f aca="false">E754-C754</f>
        <v>-504597848.235294</v>
      </c>
      <c r="H754" s="7" t="str">
        <f aca="false">IF(F754&gt;=0,A754,"")</f>
        <v/>
      </c>
      <c r="I754" s="7" t="n">
        <f aca="false">IF(F754&lt;0,A754,0)</f>
        <v>749</v>
      </c>
      <c r="J754" s="7" t="str">
        <f aca="false">IF(G754&gt;=0,A754,"")</f>
        <v/>
      </c>
      <c r="K754" s="7" t="n">
        <f aca="false">IF(G754&lt;0,A754,0)</f>
        <v>749</v>
      </c>
    </row>
    <row r="755" customFormat="false" ht="15" hidden="false" customHeight="false" outlineLevel="0" collapsed="false">
      <c r="A755" s="7" t="n">
        <f aca="false">A754+1</f>
        <v>750</v>
      </c>
      <c r="B755" s="7" t="n">
        <f aca="false">MAX('Giả định'!$B$9,ROUNDUP(A755/'Giả định'!$B$7,0)+'Giả định'!$B$8)</f>
        <v>76</v>
      </c>
      <c r="C755" s="25" t="n">
        <f aca="false">('Chi phí'!$C$76+'Chi phí'!$D$76*B755+'Chi phí'!$E$76*A755+'Giả định'!$B$15*('Chi phí'!$F$76+'Chi phí'!$G$76*B755+'Chi phí'!$H$76*A755))*(1+'Giả định'!$B$16)</f>
        <v>783464000</v>
      </c>
      <c r="D755" s="25" t="n">
        <f aca="false">('Chi phí'!$C$77+'Chi phí'!$D$77*B755+'Chi phí'!$E$77*A755+'Giả định'!$B$15*('Chi phí'!$F$77+'Chi phí'!$G$77*B755+'Chi phí'!$H$77*A755))*(1+'Giả định'!$B$16)</f>
        <v>927069000</v>
      </c>
      <c r="E755" s="25" t="n">
        <f aca="false">A755/'Giả định'!$B$19*'Giả định'!$B$20+A755*'Giả định'!$B$23+'Giả định'!$B$24</f>
        <v>279201680.672269</v>
      </c>
      <c r="F755" s="25" t="n">
        <f aca="false">E755-D755</f>
        <v>-647867319.327731</v>
      </c>
      <c r="G755" s="25" t="n">
        <f aca="false">E755-C755</f>
        <v>-504262319.327731</v>
      </c>
      <c r="H755" s="7" t="str">
        <f aca="false">IF(F755&gt;=0,A755,"")</f>
        <v/>
      </c>
      <c r="I755" s="7" t="n">
        <f aca="false">IF(F755&lt;0,A755,0)</f>
        <v>750</v>
      </c>
      <c r="J755" s="7" t="str">
        <f aca="false">IF(G755&gt;=0,A755,"")</f>
        <v/>
      </c>
      <c r="K755" s="7" t="n">
        <f aca="false">IF(G755&lt;0,A755,0)</f>
        <v>750</v>
      </c>
    </row>
    <row r="756" customFormat="false" ht="15" hidden="false" customHeight="false" outlineLevel="0" collapsed="false">
      <c r="A756" s="7" t="n">
        <f aca="false">A755+1</f>
        <v>751</v>
      </c>
      <c r="B756" s="7" t="n">
        <f aca="false">MAX('Giả định'!$B$9,ROUNDUP(A756/'Giả định'!$B$7,0)+'Giả định'!$B$8)</f>
        <v>77</v>
      </c>
      <c r="C756" s="25" t="n">
        <f aca="false">('Chi phí'!$C$76+'Chi phí'!$D$76*B756+'Chi phí'!$E$76*A756+'Giả định'!$B$15*('Chi phí'!$F$76+'Chi phí'!$G$76*B756+'Chi phí'!$H$76*A756))*(1+'Giả định'!$B$16)</f>
        <v>792674740</v>
      </c>
      <c r="D756" s="25" t="n">
        <f aca="false">('Chi phí'!$C$77+'Chi phí'!$D$77*B756+'Chi phí'!$E$77*A756+'Giả định'!$B$15*('Chi phí'!$F$77+'Chi phí'!$G$77*B756+'Chi phí'!$H$77*A756))*(1+'Giả định'!$B$16)</f>
        <v>936279740</v>
      </c>
      <c r="E756" s="25" t="n">
        <f aca="false">A756/'Giả định'!$B$19*'Giả định'!$B$20+A756*'Giả định'!$B$23+'Giả định'!$B$24</f>
        <v>279573949.579832</v>
      </c>
      <c r="F756" s="25" t="n">
        <f aca="false">E756-D756</f>
        <v>-656705790.420168</v>
      </c>
      <c r="G756" s="25" t="n">
        <f aca="false">E756-C756</f>
        <v>-513100790.420168</v>
      </c>
      <c r="H756" s="7" t="str">
        <f aca="false">IF(F756&gt;=0,A756,"")</f>
        <v/>
      </c>
      <c r="I756" s="7" t="n">
        <f aca="false">IF(F756&lt;0,A756,0)</f>
        <v>751</v>
      </c>
      <c r="J756" s="7" t="str">
        <f aca="false">IF(G756&gt;=0,A756,"")</f>
        <v/>
      </c>
      <c r="K756" s="7" t="n">
        <f aca="false">IF(G756&lt;0,A756,0)</f>
        <v>751</v>
      </c>
    </row>
    <row r="757" customFormat="false" ht="15" hidden="false" customHeight="false" outlineLevel="0" collapsed="false">
      <c r="A757" s="7" t="n">
        <f aca="false">A756+1</f>
        <v>752</v>
      </c>
      <c r="B757" s="7" t="n">
        <f aca="false">MAX('Giả định'!$B$9,ROUNDUP(A757/'Giả định'!$B$7,0)+'Giả định'!$B$8)</f>
        <v>77</v>
      </c>
      <c r="C757" s="25" t="n">
        <f aca="false">('Chi phí'!$C$76+'Chi phí'!$D$76*B757+'Chi phí'!$E$76*A757+'Giả định'!$B$15*('Chi phí'!$F$76+'Chi phí'!$G$76*B757+'Chi phí'!$H$76*A757))*(1+'Giả định'!$B$16)</f>
        <v>792711480</v>
      </c>
      <c r="D757" s="25" t="n">
        <f aca="false">('Chi phí'!$C$77+'Chi phí'!$D$77*B757+'Chi phí'!$E$77*A757+'Giả định'!$B$15*('Chi phí'!$F$77+'Chi phí'!$G$77*B757+'Chi phí'!$H$77*A757))*(1+'Giả định'!$B$16)</f>
        <v>936316480</v>
      </c>
      <c r="E757" s="25" t="n">
        <f aca="false">A757/'Giả định'!$B$19*'Giả định'!$B$20+A757*'Giả định'!$B$23+'Giả định'!$B$24</f>
        <v>279946218.487395</v>
      </c>
      <c r="F757" s="25" t="n">
        <f aca="false">E757-D757</f>
        <v>-656370261.512605</v>
      </c>
      <c r="G757" s="25" t="n">
        <f aca="false">E757-C757</f>
        <v>-512765261.512605</v>
      </c>
      <c r="H757" s="7" t="str">
        <f aca="false">IF(F757&gt;=0,A757,"")</f>
        <v/>
      </c>
      <c r="I757" s="7" t="n">
        <f aca="false">IF(F757&lt;0,A757,0)</f>
        <v>752</v>
      </c>
      <c r="J757" s="7" t="str">
        <f aca="false">IF(G757&gt;=0,A757,"")</f>
        <v/>
      </c>
      <c r="K757" s="7" t="n">
        <f aca="false">IF(G757&lt;0,A757,0)</f>
        <v>752</v>
      </c>
    </row>
    <row r="758" customFormat="false" ht="15" hidden="false" customHeight="false" outlineLevel="0" collapsed="false">
      <c r="A758" s="7" t="n">
        <f aca="false">A757+1</f>
        <v>753</v>
      </c>
      <c r="B758" s="7" t="n">
        <f aca="false">MAX('Giả định'!$B$9,ROUNDUP(A758/'Giả định'!$B$7,0)+'Giả định'!$B$8)</f>
        <v>77</v>
      </c>
      <c r="C758" s="25" t="n">
        <f aca="false">('Chi phí'!$C$76+'Chi phí'!$D$76*B758+'Chi phí'!$E$76*A758+'Giả định'!$B$15*('Chi phí'!$F$76+'Chi phí'!$G$76*B758+'Chi phí'!$H$76*A758))*(1+'Giả định'!$B$16)</f>
        <v>792748220</v>
      </c>
      <c r="D758" s="25" t="n">
        <f aca="false">('Chi phí'!$C$77+'Chi phí'!$D$77*B758+'Chi phí'!$E$77*A758+'Giả định'!$B$15*('Chi phí'!$F$77+'Chi phí'!$G$77*B758+'Chi phí'!$H$77*A758))*(1+'Giả định'!$B$16)</f>
        <v>936353220</v>
      </c>
      <c r="E758" s="25" t="n">
        <f aca="false">A758/'Giả định'!$B$19*'Giả định'!$B$20+A758*'Giả định'!$B$23+'Giả định'!$B$24</f>
        <v>280318487.394958</v>
      </c>
      <c r="F758" s="25" t="n">
        <f aca="false">E758-D758</f>
        <v>-656034732.605042</v>
      </c>
      <c r="G758" s="25" t="n">
        <f aca="false">E758-C758</f>
        <v>-512429732.605042</v>
      </c>
      <c r="H758" s="7" t="str">
        <f aca="false">IF(F758&gt;=0,A758,"")</f>
        <v/>
      </c>
      <c r="I758" s="7" t="n">
        <f aca="false">IF(F758&lt;0,A758,0)</f>
        <v>753</v>
      </c>
      <c r="J758" s="7" t="str">
        <f aca="false">IF(G758&gt;=0,A758,"")</f>
        <v/>
      </c>
      <c r="K758" s="7" t="n">
        <f aca="false">IF(G758&lt;0,A758,0)</f>
        <v>753</v>
      </c>
    </row>
    <row r="759" customFormat="false" ht="15" hidden="false" customHeight="false" outlineLevel="0" collapsed="false">
      <c r="A759" s="7" t="n">
        <f aca="false">A758+1</f>
        <v>754</v>
      </c>
      <c r="B759" s="7" t="n">
        <f aca="false">MAX('Giả định'!$B$9,ROUNDUP(A759/'Giả định'!$B$7,0)+'Giả định'!$B$8)</f>
        <v>77</v>
      </c>
      <c r="C759" s="25" t="n">
        <f aca="false">('Chi phí'!$C$76+'Chi phí'!$D$76*B759+'Chi phí'!$E$76*A759+'Giả định'!$B$15*('Chi phí'!$F$76+'Chi phí'!$G$76*B759+'Chi phí'!$H$76*A759))*(1+'Giả định'!$B$16)</f>
        <v>792784960</v>
      </c>
      <c r="D759" s="25" t="n">
        <f aca="false">('Chi phí'!$C$77+'Chi phí'!$D$77*B759+'Chi phí'!$E$77*A759+'Giả định'!$B$15*('Chi phí'!$F$77+'Chi phí'!$G$77*B759+'Chi phí'!$H$77*A759))*(1+'Giả định'!$B$16)</f>
        <v>936389960</v>
      </c>
      <c r="E759" s="25" t="n">
        <f aca="false">A759/'Giả định'!$B$19*'Giả định'!$B$20+A759*'Giả định'!$B$23+'Giả định'!$B$24</f>
        <v>280690756.302521</v>
      </c>
      <c r="F759" s="25" t="n">
        <f aca="false">E759-D759</f>
        <v>-655699203.697479</v>
      </c>
      <c r="G759" s="25" t="n">
        <f aca="false">E759-C759</f>
        <v>-512094203.697479</v>
      </c>
      <c r="H759" s="7" t="str">
        <f aca="false">IF(F759&gt;=0,A759,"")</f>
        <v/>
      </c>
      <c r="I759" s="7" t="n">
        <f aca="false">IF(F759&lt;0,A759,0)</f>
        <v>754</v>
      </c>
      <c r="J759" s="7" t="str">
        <f aca="false">IF(G759&gt;=0,A759,"")</f>
        <v/>
      </c>
      <c r="K759" s="7" t="n">
        <f aca="false">IF(G759&lt;0,A759,0)</f>
        <v>754</v>
      </c>
    </row>
    <row r="760" customFormat="false" ht="15" hidden="false" customHeight="false" outlineLevel="0" collapsed="false">
      <c r="A760" s="7" t="n">
        <f aca="false">A759+1</f>
        <v>755</v>
      </c>
      <c r="B760" s="7" t="n">
        <f aca="false">MAX('Giả định'!$B$9,ROUNDUP(A760/'Giả định'!$B$7,0)+'Giả định'!$B$8)</f>
        <v>77</v>
      </c>
      <c r="C760" s="25" t="n">
        <f aca="false">('Chi phí'!$C$76+'Chi phí'!$D$76*B760+'Chi phí'!$E$76*A760+'Giả định'!$B$15*('Chi phí'!$F$76+'Chi phí'!$G$76*B760+'Chi phí'!$H$76*A760))*(1+'Giả định'!$B$16)</f>
        <v>792821700</v>
      </c>
      <c r="D760" s="25" t="n">
        <f aca="false">('Chi phí'!$C$77+'Chi phí'!$D$77*B760+'Chi phí'!$E$77*A760+'Giả định'!$B$15*('Chi phí'!$F$77+'Chi phí'!$G$77*B760+'Chi phí'!$H$77*A760))*(1+'Giả định'!$B$16)</f>
        <v>936426700</v>
      </c>
      <c r="E760" s="25" t="n">
        <f aca="false">A760/'Giả định'!$B$19*'Giả định'!$B$20+A760*'Giả định'!$B$23+'Giả định'!$B$24</f>
        <v>281063025.210084</v>
      </c>
      <c r="F760" s="25" t="n">
        <f aca="false">E760-D760</f>
        <v>-655363674.789916</v>
      </c>
      <c r="G760" s="25" t="n">
        <f aca="false">E760-C760</f>
        <v>-511758674.789916</v>
      </c>
      <c r="H760" s="7" t="str">
        <f aca="false">IF(F760&gt;=0,A760,"")</f>
        <v/>
      </c>
      <c r="I760" s="7" t="n">
        <f aca="false">IF(F760&lt;0,A760,0)</f>
        <v>755</v>
      </c>
      <c r="J760" s="7" t="str">
        <f aca="false">IF(G760&gt;=0,A760,"")</f>
        <v/>
      </c>
      <c r="K760" s="7" t="n">
        <f aca="false">IF(G760&lt;0,A760,0)</f>
        <v>755</v>
      </c>
    </row>
    <row r="761" customFormat="false" ht="15" hidden="false" customHeight="false" outlineLevel="0" collapsed="false">
      <c r="A761" s="7" t="n">
        <f aca="false">A760+1</f>
        <v>756</v>
      </c>
      <c r="B761" s="7" t="n">
        <f aca="false">MAX('Giả định'!$B$9,ROUNDUP(A761/'Giả định'!$B$7,0)+'Giả định'!$B$8)</f>
        <v>77</v>
      </c>
      <c r="C761" s="25" t="n">
        <f aca="false">('Chi phí'!$C$76+'Chi phí'!$D$76*B761+'Chi phí'!$E$76*A761+'Giả định'!$B$15*('Chi phí'!$F$76+'Chi phí'!$G$76*B761+'Chi phí'!$H$76*A761))*(1+'Giả định'!$B$16)</f>
        <v>792858440</v>
      </c>
      <c r="D761" s="25" t="n">
        <f aca="false">('Chi phí'!$C$77+'Chi phí'!$D$77*B761+'Chi phí'!$E$77*A761+'Giả định'!$B$15*('Chi phí'!$F$77+'Chi phí'!$G$77*B761+'Chi phí'!$H$77*A761))*(1+'Giả định'!$B$16)</f>
        <v>936463440</v>
      </c>
      <c r="E761" s="25" t="n">
        <f aca="false">A761/'Giả định'!$B$19*'Giả định'!$B$20+A761*'Giả định'!$B$23+'Giả định'!$B$24</f>
        <v>281435294.117647</v>
      </c>
      <c r="F761" s="25" t="n">
        <f aca="false">E761-D761</f>
        <v>-655028145.882353</v>
      </c>
      <c r="G761" s="25" t="n">
        <f aca="false">E761-C761</f>
        <v>-511423145.882353</v>
      </c>
      <c r="H761" s="7" t="str">
        <f aca="false">IF(F761&gt;=0,A761,"")</f>
        <v/>
      </c>
      <c r="I761" s="7" t="n">
        <f aca="false">IF(F761&lt;0,A761,0)</f>
        <v>756</v>
      </c>
      <c r="J761" s="7" t="str">
        <f aca="false">IF(G761&gt;=0,A761,"")</f>
        <v/>
      </c>
      <c r="K761" s="7" t="n">
        <f aca="false">IF(G761&lt;0,A761,0)</f>
        <v>756</v>
      </c>
    </row>
    <row r="762" customFormat="false" ht="15" hidden="false" customHeight="false" outlineLevel="0" collapsed="false">
      <c r="A762" s="7" t="n">
        <f aca="false">A761+1</f>
        <v>757</v>
      </c>
      <c r="B762" s="7" t="n">
        <f aca="false">MAX('Giả định'!$B$9,ROUNDUP(A762/'Giả định'!$B$7,0)+'Giả định'!$B$8)</f>
        <v>77</v>
      </c>
      <c r="C762" s="25" t="n">
        <f aca="false">('Chi phí'!$C$76+'Chi phí'!$D$76*B762+'Chi phí'!$E$76*A762+'Giả định'!$B$15*('Chi phí'!$F$76+'Chi phí'!$G$76*B762+'Chi phí'!$H$76*A762))*(1+'Giả định'!$B$16)</f>
        <v>792895180</v>
      </c>
      <c r="D762" s="25" t="n">
        <f aca="false">('Chi phí'!$C$77+'Chi phí'!$D$77*B762+'Chi phí'!$E$77*A762+'Giả định'!$B$15*('Chi phí'!$F$77+'Chi phí'!$G$77*B762+'Chi phí'!$H$77*A762))*(1+'Giả định'!$B$16)</f>
        <v>936500180</v>
      </c>
      <c r="E762" s="25" t="n">
        <f aca="false">A762/'Giả định'!$B$19*'Giả định'!$B$20+A762*'Giả định'!$B$23+'Giả định'!$B$24</f>
        <v>281807563.02521</v>
      </c>
      <c r="F762" s="25" t="n">
        <f aca="false">E762-D762</f>
        <v>-654692616.97479</v>
      </c>
      <c r="G762" s="25" t="n">
        <f aca="false">E762-C762</f>
        <v>-511087616.97479</v>
      </c>
      <c r="H762" s="7" t="str">
        <f aca="false">IF(F762&gt;=0,A762,"")</f>
        <v/>
      </c>
      <c r="I762" s="7" t="n">
        <f aca="false">IF(F762&lt;0,A762,0)</f>
        <v>757</v>
      </c>
      <c r="J762" s="7" t="str">
        <f aca="false">IF(G762&gt;=0,A762,"")</f>
        <v/>
      </c>
      <c r="K762" s="7" t="n">
        <f aca="false">IF(G762&lt;0,A762,0)</f>
        <v>757</v>
      </c>
    </row>
    <row r="763" customFormat="false" ht="15" hidden="false" customHeight="false" outlineLevel="0" collapsed="false">
      <c r="A763" s="7" t="n">
        <f aca="false">A762+1</f>
        <v>758</v>
      </c>
      <c r="B763" s="7" t="n">
        <f aca="false">MAX('Giả định'!$B$9,ROUNDUP(A763/'Giả định'!$B$7,0)+'Giả định'!$B$8)</f>
        <v>77</v>
      </c>
      <c r="C763" s="25" t="n">
        <f aca="false">('Chi phí'!$C$76+'Chi phí'!$D$76*B763+'Chi phí'!$E$76*A763+'Giả định'!$B$15*('Chi phí'!$F$76+'Chi phí'!$G$76*B763+'Chi phí'!$H$76*A763))*(1+'Giả định'!$B$16)</f>
        <v>792931920</v>
      </c>
      <c r="D763" s="25" t="n">
        <f aca="false">('Chi phí'!$C$77+'Chi phí'!$D$77*B763+'Chi phí'!$E$77*A763+'Giả định'!$B$15*('Chi phí'!$F$77+'Chi phí'!$G$77*B763+'Chi phí'!$H$77*A763))*(1+'Giả định'!$B$16)</f>
        <v>936536920</v>
      </c>
      <c r="E763" s="25" t="n">
        <f aca="false">A763/'Giả định'!$B$19*'Giả định'!$B$20+A763*'Giả định'!$B$23+'Giả định'!$B$24</f>
        <v>282179831.932773</v>
      </c>
      <c r="F763" s="25" t="n">
        <f aca="false">E763-D763</f>
        <v>-654357088.067227</v>
      </c>
      <c r="G763" s="25" t="n">
        <f aca="false">E763-C763</f>
        <v>-510752088.067227</v>
      </c>
      <c r="H763" s="7" t="str">
        <f aca="false">IF(F763&gt;=0,A763,"")</f>
        <v/>
      </c>
      <c r="I763" s="7" t="n">
        <f aca="false">IF(F763&lt;0,A763,0)</f>
        <v>758</v>
      </c>
      <c r="J763" s="7" t="str">
        <f aca="false">IF(G763&gt;=0,A763,"")</f>
        <v/>
      </c>
      <c r="K763" s="7" t="n">
        <f aca="false">IF(G763&lt;0,A763,0)</f>
        <v>758</v>
      </c>
    </row>
    <row r="764" customFormat="false" ht="15" hidden="false" customHeight="false" outlineLevel="0" collapsed="false">
      <c r="A764" s="7" t="n">
        <f aca="false">A763+1</f>
        <v>759</v>
      </c>
      <c r="B764" s="7" t="n">
        <f aca="false">MAX('Giả định'!$B$9,ROUNDUP(A764/'Giả định'!$B$7,0)+'Giả định'!$B$8)</f>
        <v>77</v>
      </c>
      <c r="C764" s="25" t="n">
        <f aca="false">('Chi phí'!$C$76+'Chi phí'!$D$76*B764+'Chi phí'!$E$76*A764+'Giả định'!$B$15*('Chi phí'!$F$76+'Chi phí'!$G$76*B764+'Chi phí'!$H$76*A764))*(1+'Giả định'!$B$16)</f>
        <v>792968660</v>
      </c>
      <c r="D764" s="25" t="n">
        <f aca="false">('Chi phí'!$C$77+'Chi phí'!$D$77*B764+'Chi phí'!$E$77*A764+'Giả định'!$B$15*('Chi phí'!$F$77+'Chi phí'!$G$77*B764+'Chi phí'!$H$77*A764))*(1+'Giả định'!$B$16)</f>
        <v>936573660</v>
      </c>
      <c r="E764" s="25" t="n">
        <f aca="false">A764/'Giả định'!$B$19*'Giả định'!$B$20+A764*'Giả định'!$B$23+'Giả định'!$B$24</f>
        <v>282552100.840336</v>
      </c>
      <c r="F764" s="25" t="n">
        <f aca="false">E764-D764</f>
        <v>-654021559.159664</v>
      </c>
      <c r="G764" s="25" t="n">
        <f aca="false">E764-C764</f>
        <v>-510416559.159664</v>
      </c>
      <c r="H764" s="7" t="str">
        <f aca="false">IF(F764&gt;=0,A764,"")</f>
        <v/>
      </c>
      <c r="I764" s="7" t="n">
        <f aca="false">IF(F764&lt;0,A764,0)</f>
        <v>759</v>
      </c>
      <c r="J764" s="7" t="str">
        <f aca="false">IF(G764&gt;=0,A764,"")</f>
        <v/>
      </c>
      <c r="K764" s="7" t="n">
        <f aca="false">IF(G764&lt;0,A764,0)</f>
        <v>759</v>
      </c>
    </row>
    <row r="765" customFormat="false" ht="15" hidden="false" customHeight="false" outlineLevel="0" collapsed="false">
      <c r="A765" s="7" t="n">
        <f aca="false">A764+1</f>
        <v>760</v>
      </c>
      <c r="B765" s="7" t="n">
        <f aca="false">MAX('Giả định'!$B$9,ROUNDUP(A765/'Giả định'!$B$7,0)+'Giả định'!$B$8)</f>
        <v>77</v>
      </c>
      <c r="C765" s="25" t="n">
        <f aca="false">('Chi phí'!$C$76+'Chi phí'!$D$76*B765+'Chi phí'!$E$76*A765+'Giả định'!$B$15*('Chi phí'!$F$76+'Chi phí'!$G$76*B765+'Chi phí'!$H$76*A765))*(1+'Giả định'!$B$16)</f>
        <v>793005400</v>
      </c>
      <c r="D765" s="25" t="n">
        <f aca="false">('Chi phí'!$C$77+'Chi phí'!$D$77*B765+'Chi phí'!$E$77*A765+'Giả định'!$B$15*('Chi phí'!$F$77+'Chi phí'!$G$77*B765+'Chi phí'!$H$77*A765))*(1+'Giả định'!$B$16)</f>
        <v>936610400</v>
      </c>
      <c r="E765" s="25" t="n">
        <f aca="false">A765/'Giả định'!$B$19*'Giả định'!$B$20+A765*'Giả định'!$B$23+'Giả định'!$B$24</f>
        <v>282924369.747899</v>
      </c>
      <c r="F765" s="25" t="n">
        <f aca="false">E765-D765</f>
        <v>-653686030.252101</v>
      </c>
      <c r="G765" s="25" t="n">
        <f aca="false">E765-C765</f>
        <v>-510081030.252101</v>
      </c>
      <c r="H765" s="7" t="str">
        <f aca="false">IF(F765&gt;=0,A765,"")</f>
        <v/>
      </c>
      <c r="I765" s="7" t="n">
        <f aca="false">IF(F765&lt;0,A765,0)</f>
        <v>760</v>
      </c>
      <c r="J765" s="7" t="str">
        <f aca="false">IF(G765&gt;=0,A765,"")</f>
        <v/>
      </c>
      <c r="K765" s="7" t="n">
        <f aca="false">IF(G765&lt;0,A765,0)</f>
        <v>760</v>
      </c>
    </row>
    <row r="766" customFormat="false" ht="15" hidden="false" customHeight="false" outlineLevel="0" collapsed="false">
      <c r="A766" s="7" t="n">
        <f aca="false">A765+1</f>
        <v>761</v>
      </c>
      <c r="B766" s="7" t="n">
        <f aca="false">MAX('Giả định'!$B$9,ROUNDUP(A766/'Giả định'!$B$7,0)+'Giả định'!$B$8)</f>
        <v>78</v>
      </c>
      <c r="C766" s="25" t="n">
        <f aca="false">('Chi phí'!$C$76+'Chi phí'!$D$76*B766+'Chi phí'!$E$76*A766+'Giả định'!$B$15*('Chi phí'!$F$76+'Chi phí'!$G$76*B766+'Chi phí'!$H$76*A766))*(1+'Giả định'!$B$16)</f>
        <v>802216140</v>
      </c>
      <c r="D766" s="25" t="n">
        <f aca="false">('Chi phí'!$C$77+'Chi phí'!$D$77*B766+'Chi phí'!$E$77*A766+'Giả định'!$B$15*('Chi phí'!$F$77+'Chi phí'!$G$77*B766+'Chi phí'!$H$77*A766))*(1+'Giả định'!$B$16)</f>
        <v>945821140</v>
      </c>
      <c r="E766" s="25" t="n">
        <f aca="false">A766/'Giả định'!$B$19*'Giả định'!$B$20+A766*'Giả định'!$B$23+'Giả định'!$B$24</f>
        <v>283296638.655462</v>
      </c>
      <c r="F766" s="25" t="n">
        <f aca="false">E766-D766</f>
        <v>-662524501.344538</v>
      </c>
      <c r="G766" s="25" t="n">
        <f aca="false">E766-C766</f>
        <v>-518919501.344538</v>
      </c>
      <c r="H766" s="7" t="str">
        <f aca="false">IF(F766&gt;=0,A766,"")</f>
        <v/>
      </c>
      <c r="I766" s="7" t="n">
        <f aca="false">IF(F766&lt;0,A766,0)</f>
        <v>761</v>
      </c>
      <c r="J766" s="7" t="str">
        <f aca="false">IF(G766&gt;=0,A766,"")</f>
        <v/>
      </c>
      <c r="K766" s="7" t="n">
        <f aca="false">IF(G766&lt;0,A766,0)</f>
        <v>761</v>
      </c>
    </row>
    <row r="767" customFormat="false" ht="15" hidden="false" customHeight="false" outlineLevel="0" collapsed="false">
      <c r="A767" s="7" t="n">
        <f aca="false">A766+1</f>
        <v>762</v>
      </c>
      <c r="B767" s="7" t="n">
        <f aca="false">MAX('Giả định'!$B$9,ROUNDUP(A767/'Giả định'!$B$7,0)+'Giả định'!$B$8)</f>
        <v>78</v>
      </c>
      <c r="C767" s="25" t="n">
        <f aca="false">('Chi phí'!$C$76+'Chi phí'!$D$76*B767+'Chi phí'!$E$76*A767+'Giả định'!$B$15*('Chi phí'!$F$76+'Chi phí'!$G$76*B767+'Chi phí'!$H$76*A767))*(1+'Giả định'!$B$16)</f>
        <v>802252880</v>
      </c>
      <c r="D767" s="25" t="n">
        <f aca="false">('Chi phí'!$C$77+'Chi phí'!$D$77*B767+'Chi phí'!$E$77*A767+'Giả định'!$B$15*('Chi phí'!$F$77+'Chi phí'!$G$77*B767+'Chi phí'!$H$77*A767))*(1+'Giả định'!$B$16)</f>
        <v>945857880</v>
      </c>
      <c r="E767" s="25" t="n">
        <f aca="false">A767/'Giả định'!$B$19*'Giả định'!$B$20+A767*'Giả định'!$B$23+'Giả định'!$B$24</f>
        <v>283668907.563025</v>
      </c>
      <c r="F767" s="25" t="n">
        <f aca="false">E767-D767</f>
        <v>-662188972.436975</v>
      </c>
      <c r="G767" s="25" t="n">
        <f aca="false">E767-C767</f>
        <v>-518583972.436975</v>
      </c>
      <c r="H767" s="7" t="str">
        <f aca="false">IF(F767&gt;=0,A767,"")</f>
        <v/>
      </c>
      <c r="I767" s="7" t="n">
        <f aca="false">IF(F767&lt;0,A767,0)</f>
        <v>762</v>
      </c>
      <c r="J767" s="7" t="str">
        <f aca="false">IF(G767&gt;=0,A767,"")</f>
        <v/>
      </c>
      <c r="K767" s="7" t="n">
        <f aca="false">IF(G767&lt;0,A767,0)</f>
        <v>762</v>
      </c>
    </row>
    <row r="768" customFormat="false" ht="15" hidden="false" customHeight="false" outlineLevel="0" collapsed="false">
      <c r="A768" s="7" t="n">
        <f aca="false">A767+1</f>
        <v>763</v>
      </c>
      <c r="B768" s="7" t="n">
        <f aca="false">MAX('Giả định'!$B$9,ROUNDUP(A768/'Giả định'!$B$7,0)+'Giả định'!$B$8)</f>
        <v>78</v>
      </c>
      <c r="C768" s="25" t="n">
        <f aca="false">('Chi phí'!$C$76+'Chi phí'!$D$76*B768+'Chi phí'!$E$76*A768+'Giả định'!$B$15*('Chi phí'!$F$76+'Chi phí'!$G$76*B768+'Chi phí'!$H$76*A768))*(1+'Giả định'!$B$16)</f>
        <v>802289620</v>
      </c>
      <c r="D768" s="25" t="n">
        <f aca="false">('Chi phí'!$C$77+'Chi phí'!$D$77*B768+'Chi phí'!$E$77*A768+'Giả định'!$B$15*('Chi phí'!$F$77+'Chi phí'!$G$77*B768+'Chi phí'!$H$77*A768))*(1+'Giả định'!$B$16)</f>
        <v>945894620</v>
      </c>
      <c r="E768" s="25" t="n">
        <f aca="false">A768/'Giả định'!$B$19*'Giả định'!$B$20+A768*'Giả định'!$B$23+'Giả định'!$B$24</f>
        <v>284041176.470588</v>
      </c>
      <c r="F768" s="25" t="n">
        <f aca="false">E768-D768</f>
        <v>-661853443.529412</v>
      </c>
      <c r="G768" s="25" t="n">
        <f aca="false">E768-C768</f>
        <v>-518248443.529412</v>
      </c>
      <c r="H768" s="7" t="str">
        <f aca="false">IF(F768&gt;=0,A768,"")</f>
        <v/>
      </c>
      <c r="I768" s="7" t="n">
        <f aca="false">IF(F768&lt;0,A768,0)</f>
        <v>763</v>
      </c>
      <c r="J768" s="7" t="str">
        <f aca="false">IF(G768&gt;=0,A768,"")</f>
        <v/>
      </c>
      <c r="K768" s="7" t="n">
        <f aca="false">IF(G768&lt;0,A768,0)</f>
        <v>763</v>
      </c>
    </row>
    <row r="769" customFormat="false" ht="15" hidden="false" customHeight="false" outlineLevel="0" collapsed="false">
      <c r="A769" s="7" t="n">
        <f aca="false">A768+1</f>
        <v>764</v>
      </c>
      <c r="B769" s="7" t="n">
        <f aca="false">MAX('Giả định'!$B$9,ROUNDUP(A769/'Giả định'!$B$7,0)+'Giả định'!$B$8)</f>
        <v>78</v>
      </c>
      <c r="C769" s="25" t="n">
        <f aca="false">('Chi phí'!$C$76+'Chi phí'!$D$76*B769+'Chi phí'!$E$76*A769+'Giả định'!$B$15*('Chi phí'!$F$76+'Chi phí'!$G$76*B769+'Chi phí'!$H$76*A769))*(1+'Giả định'!$B$16)</f>
        <v>802326360</v>
      </c>
      <c r="D769" s="25" t="n">
        <f aca="false">('Chi phí'!$C$77+'Chi phí'!$D$77*B769+'Chi phí'!$E$77*A769+'Giả định'!$B$15*('Chi phí'!$F$77+'Chi phí'!$G$77*B769+'Chi phí'!$H$77*A769))*(1+'Giả định'!$B$16)</f>
        <v>945931360</v>
      </c>
      <c r="E769" s="25" t="n">
        <f aca="false">A769/'Giả định'!$B$19*'Giả định'!$B$20+A769*'Giả định'!$B$23+'Giả định'!$B$24</f>
        <v>284413445.378151</v>
      </c>
      <c r="F769" s="25" t="n">
        <f aca="false">E769-D769</f>
        <v>-661517914.621849</v>
      </c>
      <c r="G769" s="25" t="n">
        <f aca="false">E769-C769</f>
        <v>-517912914.621849</v>
      </c>
      <c r="H769" s="7" t="str">
        <f aca="false">IF(F769&gt;=0,A769,"")</f>
        <v/>
      </c>
      <c r="I769" s="7" t="n">
        <f aca="false">IF(F769&lt;0,A769,0)</f>
        <v>764</v>
      </c>
      <c r="J769" s="7" t="str">
        <f aca="false">IF(G769&gt;=0,A769,"")</f>
        <v/>
      </c>
      <c r="K769" s="7" t="n">
        <f aca="false">IF(G769&lt;0,A769,0)</f>
        <v>764</v>
      </c>
    </row>
    <row r="770" customFormat="false" ht="15" hidden="false" customHeight="false" outlineLevel="0" collapsed="false">
      <c r="A770" s="7" t="n">
        <f aca="false">A769+1</f>
        <v>765</v>
      </c>
      <c r="B770" s="7" t="n">
        <f aca="false">MAX('Giả định'!$B$9,ROUNDUP(A770/'Giả định'!$B$7,0)+'Giả định'!$B$8)</f>
        <v>78</v>
      </c>
      <c r="C770" s="25" t="n">
        <f aca="false">('Chi phí'!$C$76+'Chi phí'!$D$76*B770+'Chi phí'!$E$76*A770+'Giả định'!$B$15*('Chi phí'!$F$76+'Chi phí'!$G$76*B770+'Chi phí'!$H$76*A770))*(1+'Giả định'!$B$16)</f>
        <v>802363100</v>
      </c>
      <c r="D770" s="25" t="n">
        <f aca="false">('Chi phí'!$C$77+'Chi phí'!$D$77*B770+'Chi phí'!$E$77*A770+'Giả định'!$B$15*('Chi phí'!$F$77+'Chi phí'!$G$77*B770+'Chi phí'!$H$77*A770))*(1+'Giả định'!$B$16)</f>
        <v>945968100</v>
      </c>
      <c r="E770" s="25" t="n">
        <f aca="false">A770/'Giả định'!$B$19*'Giả định'!$B$20+A770*'Giả định'!$B$23+'Giả định'!$B$24</f>
        <v>284785714.285714</v>
      </c>
      <c r="F770" s="25" t="n">
        <f aca="false">E770-D770</f>
        <v>-661182385.714286</v>
      </c>
      <c r="G770" s="25" t="n">
        <f aca="false">E770-C770</f>
        <v>-517577385.714286</v>
      </c>
      <c r="H770" s="7" t="str">
        <f aca="false">IF(F770&gt;=0,A770,"")</f>
        <v/>
      </c>
      <c r="I770" s="7" t="n">
        <f aca="false">IF(F770&lt;0,A770,0)</f>
        <v>765</v>
      </c>
      <c r="J770" s="7" t="str">
        <f aca="false">IF(G770&gt;=0,A770,"")</f>
        <v/>
      </c>
      <c r="K770" s="7" t="n">
        <f aca="false">IF(G770&lt;0,A770,0)</f>
        <v>765</v>
      </c>
    </row>
    <row r="771" customFormat="false" ht="15" hidden="false" customHeight="false" outlineLevel="0" collapsed="false">
      <c r="A771" s="7" t="n">
        <f aca="false">A770+1</f>
        <v>766</v>
      </c>
      <c r="B771" s="7" t="n">
        <f aca="false">MAX('Giả định'!$B$9,ROUNDUP(A771/'Giả định'!$B$7,0)+'Giả định'!$B$8)</f>
        <v>78</v>
      </c>
      <c r="C771" s="25" t="n">
        <f aca="false">('Chi phí'!$C$76+'Chi phí'!$D$76*B771+'Chi phí'!$E$76*A771+'Giả định'!$B$15*('Chi phí'!$F$76+'Chi phí'!$G$76*B771+'Chi phí'!$H$76*A771))*(1+'Giả định'!$B$16)</f>
        <v>802399840</v>
      </c>
      <c r="D771" s="25" t="n">
        <f aca="false">('Chi phí'!$C$77+'Chi phí'!$D$77*B771+'Chi phí'!$E$77*A771+'Giả định'!$B$15*('Chi phí'!$F$77+'Chi phí'!$G$77*B771+'Chi phí'!$H$77*A771))*(1+'Giả định'!$B$16)</f>
        <v>946004840</v>
      </c>
      <c r="E771" s="25" t="n">
        <f aca="false">A771/'Giả định'!$B$19*'Giả định'!$B$20+A771*'Giả định'!$B$23+'Giả định'!$B$24</f>
        <v>285157983.193277</v>
      </c>
      <c r="F771" s="25" t="n">
        <f aca="false">E771-D771</f>
        <v>-660846856.806723</v>
      </c>
      <c r="G771" s="25" t="n">
        <f aca="false">E771-C771</f>
        <v>-517241856.806723</v>
      </c>
      <c r="H771" s="7" t="str">
        <f aca="false">IF(F771&gt;=0,A771,"")</f>
        <v/>
      </c>
      <c r="I771" s="7" t="n">
        <f aca="false">IF(F771&lt;0,A771,0)</f>
        <v>766</v>
      </c>
      <c r="J771" s="7" t="str">
        <f aca="false">IF(G771&gt;=0,A771,"")</f>
        <v/>
      </c>
      <c r="K771" s="7" t="n">
        <f aca="false">IF(G771&lt;0,A771,0)</f>
        <v>766</v>
      </c>
    </row>
    <row r="772" customFormat="false" ht="15" hidden="false" customHeight="false" outlineLevel="0" collapsed="false">
      <c r="A772" s="7" t="n">
        <f aca="false">A771+1</f>
        <v>767</v>
      </c>
      <c r="B772" s="7" t="n">
        <f aca="false">MAX('Giả định'!$B$9,ROUNDUP(A772/'Giả định'!$B$7,0)+'Giả định'!$B$8)</f>
        <v>78</v>
      </c>
      <c r="C772" s="25" t="n">
        <f aca="false">('Chi phí'!$C$76+'Chi phí'!$D$76*B772+'Chi phí'!$E$76*A772+'Giả định'!$B$15*('Chi phí'!$F$76+'Chi phí'!$G$76*B772+'Chi phí'!$H$76*A772))*(1+'Giả định'!$B$16)</f>
        <v>802436580</v>
      </c>
      <c r="D772" s="25" t="n">
        <f aca="false">('Chi phí'!$C$77+'Chi phí'!$D$77*B772+'Chi phí'!$E$77*A772+'Giả định'!$B$15*('Chi phí'!$F$77+'Chi phí'!$G$77*B772+'Chi phí'!$H$77*A772))*(1+'Giả định'!$B$16)</f>
        <v>946041580</v>
      </c>
      <c r="E772" s="25" t="n">
        <f aca="false">A772/'Giả định'!$B$19*'Giả định'!$B$20+A772*'Giả định'!$B$23+'Giả định'!$B$24</f>
        <v>285530252.10084</v>
      </c>
      <c r="F772" s="25" t="n">
        <f aca="false">E772-D772</f>
        <v>-660511327.89916</v>
      </c>
      <c r="G772" s="25" t="n">
        <f aca="false">E772-C772</f>
        <v>-516906327.89916</v>
      </c>
      <c r="H772" s="7" t="str">
        <f aca="false">IF(F772&gt;=0,A772,"")</f>
        <v/>
      </c>
      <c r="I772" s="7" t="n">
        <f aca="false">IF(F772&lt;0,A772,0)</f>
        <v>767</v>
      </c>
      <c r="J772" s="7" t="str">
        <f aca="false">IF(G772&gt;=0,A772,"")</f>
        <v/>
      </c>
      <c r="K772" s="7" t="n">
        <f aca="false">IF(G772&lt;0,A772,0)</f>
        <v>767</v>
      </c>
    </row>
    <row r="773" customFormat="false" ht="15" hidden="false" customHeight="false" outlineLevel="0" collapsed="false">
      <c r="A773" s="7" t="n">
        <f aca="false">A772+1</f>
        <v>768</v>
      </c>
      <c r="B773" s="7" t="n">
        <f aca="false">MAX('Giả định'!$B$9,ROUNDUP(A773/'Giả định'!$B$7,0)+'Giả định'!$B$8)</f>
        <v>78</v>
      </c>
      <c r="C773" s="25" t="n">
        <f aca="false">('Chi phí'!$C$76+'Chi phí'!$D$76*B773+'Chi phí'!$E$76*A773+'Giả định'!$B$15*('Chi phí'!$F$76+'Chi phí'!$G$76*B773+'Chi phí'!$H$76*A773))*(1+'Giả định'!$B$16)</f>
        <v>802473320</v>
      </c>
      <c r="D773" s="25" t="n">
        <f aca="false">('Chi phí'!$C$77+'Chi phí'!$D$77*B773+'Chi phí'!$E$77*A773+'Giả định'!$B$15*('Chi phí'!$F$77+'Chi phí'!$G$77*B773+'Chi phí'!$H$77*A773))*(1+'Giả định'!$B$16)</f>
        <v>946078320</v>
      </c>
      <c r="E773" s="25" t="n">
        <f aca="false">A773/'Giả định'!$B$19*'Giả định'!$B$20+A773*'Giả định'!$B$23+'Giả định'!$B$24</f>
        <v>285902521.008403</v>
      </c>
      <c r="F773" s="25" t="n">
        <f aca="false">E773-D773</f>
        <v>-660175798.991597</v>
      </c>
      <c r="G773" s="25" t="n">
        <f aca="false">E773-C773</f>
        <v>-516570798.991597</v>
      </c>
      <c r="H773" s="7" t="str">
        <f aca="false">IF(F773&gt;=0,A773,"")</f>
        <v/>
      </c>
      <c r="I773" s="7" t="n">
        <f aca="false">IF(F773&lt;0,A773,0)</f>
        <v>768</v>
      </c>
      <c r="J773" s="7" t="str">
        <f aca="false">IF(G773&gt;=0,A773,"")</f>
        <v/>
      </c>
      <c r="K773" s="7" t="n">
        <f aca="false">IF(G773&lt;0,A773,0)</f>
        <v>768</v>
      </c>
    </row>
    <row r="774" customFormat="false" ht="15" hidden="false" customHeight="false" outlineLevel="0" collapsed="false">
      <c r="A774" s="7" t="n">
        <f aca="false">A773+1</f>
        <v>769</v>
      </c>
      <c r="B774" s="7" t="n">
        <f aca="false">MAX('Giả định'!$B$9,ROUNDUP(A774/'Giả định'!$B$7,0)+'Giả định'!$B$8)</f>
        <v>78</v>
      </c>
      <c r="C774" s="25" t="n">
        <f aca="false">('Chi phí'!$C$76+'Chi phí'!$D$76*B774+'Chi phí'!$E$76*A774+'Giả định'!$B$15*('Chi phí'!$F$76+'Chi phí'!$G$76*B774+'Chi phí'!$H$76*A774))*(1+'Giả định'!$B$16)</f>
        <v>802510060</v>
      </c>
      <c r="D774" s="25" t="n">
        <f aca="false">('Chi phí'!$C$77+'Chi phí'!$D$77*B774+'Chi phí'!$E$77*A774+'Giả định'!$B$15*('Chi phí'!$F$77+'Chi phí'!$G$77*B774+'Chi phí'!$H$77*A774))*(1+'Giả định'!$B$16)</f>
        <v>946115060</v>
      </c>
      <c r="E774" s="25" t="n">
        <f aca="false">A774/'Giả định'!$B$19*'Giả định'!$B$20+A774*'Giả định'!$B$23+'Giả định'!$B$24</f>
        <v>286274789.915966</v>
      </c>
      <c r="F774" s="25" t="n">
        <f aca="false">E774-D774</f>
        <v>-659840270.084034</v>
      </c>
      <c r="G774" s="25" t="n">
        <f aca="false">E774-C774</f>
        <v>-516235270.084034</v>
      </c>
      <c r="H774" s="7" t="str">
        <f aca="false">IF(F774&gt;=0,A774,"")</f>
        <v/>
      </c>
      <c r="I774" s="7" t="n">
        <f aca="false">IF(F774&lt;0,A774,0)</f>
        <v>769</v>
      </c>
      <c r="J774" s="7" t="str">
        <f aca="false">IF(G774&gt;=0,A774,"")</f>
        <v/>
      </c>
      <c r="K774" s="7" t="n">
        <f aca="false">IF(G774&lt;0,A774,0)</f>
        <v>769</v>
      </c>
    </row>
    <row r="775" customFormat="false" ht="15" hidden="false" customHeight="false" outlineLevel="0" collapsed="false">
      <c r="A775" s="7" t="n">
        <f aca="false">A774+1</f>
        <v>770</v>
      </c>
      <c r="B775" s="7" t="n">
        <f aca="false">MAX('Giả định'!$B$9,ROUNDUP(A775/'Giả định'!$B$7,0)+'Giả định'!$B$8)</f>
        <v>78</v>
      </c>
      <c r="C775" s="25" t="n">
        <f aca="false">('Chi phí'!$C$76+'Chi phí'!$D$76*B775+'Chi phí'!$E$76*A775+'Giả định'!$B$15*('Chi phí'!$F$76+'Chi phí'!$G$76*B775+'Chi phí'!$H$76*A775))*(1+'Giả định'!$B$16)</f>
        <v>802546800</v>
      </c>
      <c r="D775" s="25" t="n">
        <f aca="false">('Chi phí'!$C$77+'Chi phí'!$D$77*B775+'Chi phí'!$E$77*A775+'Giả định'!$B$15*('Chi phí'!$F$77+'Chi phí'!$G$77*B775+'Chi phí'!$H$77*A775))*(1+'Giả định'!$B$16)</f>
        <v>946151800</v>
      </c>
      <c r="E775" s="25" t="n">
        <f aca="false">A775/'Giả định'!$B$19*'Giả định'!$B$20+A775*'Giả định'!$B$23+'Giả định'!$B$24</f>
        <v>286647058.823529</v>
      </c>
      <c r="F775" s="25" t="n">
        <f aca="false">E775-D775</f>
        <v>-659504741.176471</v>
      </c>
      <c r="G775" s="25" t="n">
        <f aca="false">E775-C775</f>
        <v>-515899741.176471</v>
      </c>
      <c r="H775" s="7" t="str">
        <f aca="false">IF(F775&gt;=0,A775,"")</f>
        <v/>
      </c>
      <c r="I775" s="7" t="n">
        <f aca="false">IF(F775&lt;0,A775,0)</f>
        <v>770</v>
      </c>
      <c r="J775" s="7" t="str">
        <f aca="false">IF(G775&gt;=0,A775,"")</f>
        <v/>
      </c>
      <c r="K775" s="7" t="n">
        <f aca="false">IF(G775&lt;0,A775,0)</f>
        <v>770</v>
      </c>
    </row>
    <row r="776" customFormat="false" ht="15" hidden="false" customHeight="false" outlineLevel="0" collapsed="false">
      <c r="A776" s="7" t="n">
        <f aca="false">A775+1</f>
        <v>771</v>
      </c>
      <c r="B776" s="7" t="n">
        <f aca="false">MAX('Giả định'!$B$9,ROUNDUP(A776/'Giả định'!$B$7,0)+'Giả định'!$B$8)</f>
        <v>79</v>
      </c>
      <c r="C776" s="25" t="n">
        <f aca="false">('Chi phí'!$C$76+'Chi phí'!$D$76*B776+'Chi phí'!$E$76*A776+'Giả định'!$B$15*('Chi phí'!$F$76+'Chi phí'!$G$76*B776+'Chi phí'!$H$76*A776))*(1+'Giả định'!$B$16)</f>
        <v>811757540</v>
      </c>
      <c r="D776" s="25" t="n">
        <f aca="false">('Chi phí'!$C$77+'Chi phí'!$D$77*B776+'Chi phí'!$E$77*A776+'Giả định'!$B$15*('Chi phí'!$F$77+'Chi phí'!$G$77*B776+'Chi phí'!$H$77*A776))*(1+'Giả định'!$B$16)</f>
        <v>955362540</v>
      </c>
      <c r="E776" s="25" t="n">
        <f aca="false">A776/'Giả định'!$B$19*'Giả định'!$B$20+A776*'Giả định'!$B$23+'Giả định'!$B$24</f>
        <v>287019327.731092</v>
      </c>
      <c r="F776" s="25" t="n">
        <f aca="false">E776-D776</f>
        <v>-668343212.268908</v>
      </c>
      <c r="G776" s="25" t="n">
        <f aca="false">E776-C776</f>
        <v>-524738212.268908</v>
      </c>
      <c r="H776" s="7" t="str">
        <f aca="false">IF(F776&gt;=0,A776,"")</f>
        <v/>
      </c>
      <c r="I776" s="7" t="n">
        <f aca="false">IF(F776&lt;0,A776,0)</f>
        <v>771</v>
      </c>
      <c r="J776" s="7" t="str">
        <f aca="false">IF(G776&gt;=0,A776,"")</f>
        <v/>
      </c>
      <c r="K776" s="7" t="n">
        <f aca="false">IF(G776&lt;0,A776,0)</f>
        <v>771</v>
      </c>
    </row>
    <row r="777" customFormat="false" ht="15" hidden="false" customHeight="false" outlineLevel="0" collapsed="false">
      <c r="A777" s="7" t="n">
        <f aca="false">A776+1</f>
        <v>772</v>
      </c>
      <c r="B777" s="7" t="n">
        <f aca="false">MAX('Giả định'!$B$9,ROUNDUP(A777/'Giả định'!$B$7,0)+'Giả định'!$B$8)</f>
        <v>79</v>
      </c>
      <c r="C777" s="25" t="n">
        <f aca="false">('Chi phí'!$C$76+'Chi phí'!$D$76*B777+'Chi phí'!$E$76*A777+'Giả định'!$B$15*('Chi phí'!$F$76+'Chi phí'!$G$76*B777+'Chi phí'!$H$76*A777))*(1+'Giả định'!$B$16)</f>
        <v>811794280</v>
      </c>
      <c r="D777" s="25" t="n">
        <f aca="false">('Chi phí'!$C$77+'Chi phí'!$D$77*B777+'Chi phí'!$E$77*A777+'Giả định'!$B$15*('Chi phí'!$F$77+'Chi phí'!$G$77*B777+'Chi phí'!$H$77*A777))*(1+'Giả định'!$B$16)</f>
        <v>955399280</v>
      </c>
      <c r="E777" s="25" t="n">
        <f aca="false">A777/'Giả định'!$B$19*'Giả định'!$B$20+A777*'Giả định'!$B$23+'Giả định'!$B$24</f>
        <v>287391596.638656</v>
      </c>
      <c r="F777" s="25" t="n">
        <f aca="false">E777-D777</f>
        <v>-668007683.361345</v>
      </c>
      <c r="G777" s="25" t="n">
        <f aca="false">E777-C777</f>
        <v>-524402683.361345</v>
      </c>
      <c r="H777" s="7" t="str">
        <f aca="false">IF(F777&gt;=0,A777,"")</f>
        <v/>
      </c>
      <c r="I777" s="7" t="n">
        <f aca="false">IF(F777&lt;0,A777,0)</f>
        <v>772</v>
      </c>
      <c r="J777" s="7" t="str">
        <f aca="false">IF(G777&gt;=0,A777,"")</f>
        <v/>
      </c>
      <c r="K777" s="7" t="n">
        <f aca="false">IF(G777&lt;0,A777,0)</f>
        <v>772</v>
      </c>
    </row>
    <row r="778" customFormat="false" ht="15" hidden="false" customHeight="false" outlineLevel="0" collapsed="false">
      <c r="A778" s="7" t="n">
        <f aca="false">A777+1</f>
        <v>773</v>
      </c>
      <c r="B778" s="7" t="n">
        <f aca="false">MAX('Giả định'!$B$9,ROUNDUP(A778/'Giả định'!$B$7,0)+'Giả định'!$B$8)</f>
        <v>79</v>
      </c>
      <c r="C778" s="25" t="n">
        <f aca="false">('Chi phí'!$C$76+'Chi phí'!$D$76*B778+'Chi phí'!$E$76*A778+'Giả định'!$B$15*('Chi phí'!$F$76+'Chi phí'!$G$76*B778+'Chi phí'!$H$76*A778))*(1+'Giả định'!$B$16)</f>
        <v>811831020</v>
      </c>
      <c r="D778" s="25" t="n">
        <f aca="false">('Chi phí'!$C$77+'Chi phí'!$D$77*B778+'Chi phí'!$E$77*A778+'Giả định'!$B$15*('Chi phí'!$F$77+'Chi phí'!$G$77*B778+'Chi phí'!$H$77*A778))*(1+'Giả định'!$B$16)</f>
        <v>955436020</v>
      </c>
      <c r="E778" s="25" t="n">
        <f aca="false">A778/'Giả định'!$B$19*'Giả định'!$B$20+A778*'Giả định'!$B$23+'Giả định'!$B$24</f>
        <v>287763865.546219</v>
      </c>
      <c r="F778" s="25" t="n">
        <f aca="false">E778-D778</f>
        <v>-667672154.453782</v>
      </c>
      <c r="G778" s="25" t="n">
        <f aca="false">E778-C778</f>
        <v>-524067154.453782</v>
      </c>
      <c r="H778" s="7" t="str">
        <f aca="false">IF(F778&gt;=0,A778,"")</f>
        <v/>
      </c>
      <c r="I778" s="7" t="n">
        <f aca="false">IF(F778&lt;0,A778,0)</f>
        <v>773</v>
      </c>
      <c r="J778" s="7" t="str">
        <f aca="false">IF(G778&gt;=0,A778,"")</f>
        <v/>
      </c>
      <c r="K778" s="7" t="n">
        <f aca="false">IF(G778&lt;0,A778,0)</f>
        <v>773</v>
      </c>
    </row>
    <row r="779" customFormat="false" ht="15" hidden="false" customHeight="false" outlineLevel="0" collapsed="false">
      <c r="A779" s="7" t="n">
        <f aca="false">A778+1</f>
        <v>774</v>
      </c>
      <c r="B779" s="7" t="n">
        <f aca="false">MAX('Giả định'!$B$9,ROUNDUP(A779/'Giả định'!$B$7,0)+'Giả định'!$B$8)</f>
        <v>79</v>
      </c>
      <c r="C779" s="25" t="n">
        <f aca="false">('Chi phí'!$C$76+'Chi phí'!$D$76*B779+'Chi phí'!$E$76*A779+'Giả định'!$B$15*('Chi phí'!$F$76+'Chi phí'!$G$76*B779+'Chi phí'!$H$76*A779))*(1+'Giả định'!$B$16)</f>
        <v>811867760</v>
      </c>
      <c r="D779" s="25" t="n">
        <f aca="false">('Chi phí'!$C$77+'Chi phí'!$D$77*B779+'Chi phí'!$E$77*A779+'Giả định'!$B$15*('Chi phí'!$F$77+'Chi phí'!$G$77*B779+'Chi phí'!$H$77*A779))*(1+'Giả định'!$B$16)</f>
        <v>955472760</v>
      </c>
      <c r="E779" s="25" t="n">
        <f aca="false">A779/'Giả định'!$B$19*'Giả định'!$B$20+A779*'Giả định'!$B$23+'Giả định'!$B$24</f>
        <v>288136134.453782</v>
      </c>
      <c r="F779" s="25" t="n">
        <f aca="false">E779-D779</f>
        <v>-667336625.546219</v>
      </c>
      <c r="G779" s="25" t="n">
        <f aca="false">E779-C779</f>
        <v>-523731625.546219</v>
      </c>
      <c r="H779" s="7" t="str">
        <f aca="false">IF(F779&gt;=0,A779,"")</f>
        <v/>
      </c>
      <c r="I779" s="7" t="n">
        <f aca="false">IF(F779&lt;0,A779,0)</f>
        <v>774</v>
      </c>
      <c r="J779" s="7" t="str">
        <f aca="false">IF(G779&gt;=0,A779,"")</f>
        <v/>
      </c>
      <c r="K779" s="7" t="n">
        <f aca="false">IF(G779&lt;0,A779,0)</f>
        <v>774</v>
      </c>
    </row>
    <row r="780" customFormat="false" ht="15" hidden="false" customHeight="false" outlineLevel="0" collapsed="false">
      <c r="A780" s="7" t="n">
        <f aca="false">A779+1</f>
        <v>775</v>
      </c>
      <c r="B780" s="7" t="n">
        <f aca="false">MAX('Giả định'!$B$9,ROUNDUP(A780/'Giả định'!$B$7,0)+'Giả định'!$B$8)</f>
        <v>79</v>
      </c>
      <c r="C780" s="25" t="n">
        <f aca="false">('Chi phí'!$C$76+'Chi phí'!$D$76*B780+'Chi phí'!$E$76*A780+'Giả định'!$B$15*('Chi phí'!$F$76+'Chi phí'!$G$76*B780+'Chi phí'!$H$76*A780))*(1+'Giả định'!$B$16)</f>
        <v>811904500</v>
      </c>
      <c r="D780" s="25" t="n">
        <f aca="false">('Chi phí'!$C$77+'Chi phí'!$D$77*B780+'Chi phí'!$E$77*A780+'Giả định'!$B$15*('Chi phí'!$F$77+'Chi phí'!$G$77*B780+'Chi phí'!$H$77*A780))*(1+'Giả định'!$B$16)</f>
        <v>955509500</v>
      </c>
      <c r="E780" s="25" t="n">
        <f aca="false">A780/'Giả định'!$B$19*'Giả định'!$B$20+A780*'Giả định'!$B$23+'Giả định'!$B$24</f>
        <v>288508403.361345</v>
      </c>
      <c r="F780" s="25" t="n">
        <f aca="false">E780-D780</f>
        <v>-667001096.638656</v>
      </c>
      <c r="G780" s="25" t="n">
        <f aca="false">E780-C780</f>
        <v>-523396096.638656</v>
      </c>
      <c r="H780" s="7" t="str">
        <f aca="false">IF(F780&gt;=0,A780,"")</f>
        <v/>
      </c>
      <c r="I780" s="7" t="n">
        <f aca="false">IF(F780&lt;0,A780,0)</f>
        <v>775</v>
      </c>
      <c r="J780" s="7" t="str">
        <f aca="false">IF(G780&gt;=0,A780,"")</f>
        <v/>
      </c>
      <c r="K780" s="7" t="n">
        <f aca="false">IF(G780&lt;0,A780,0)</f>
        <v>775</v>
      </c>
    </row>
    <row r="781" customFormat="false" ht="15" hidden="false" customHeight="false" outlineLevel="0" collapsed="false">
      <c r="A781" s="7" t="n">
        <f aca="false">A780+1</f>
        <v>776</v>
      </c>
      <c r="B781" s="7" t="n">
        <f aca="false">MAX('Giả định'!$B$9,ROUNDUP(A781/'Giả định'!$B$7,0)+'Giả định'!$B$8)</f>
        <v>79</v>
      </c>
      <c r="C781" s="25" t="n">
        <f aca="false">('Chi phí'!$C$76+'Chi phí'!$D$76*B781+'Chi phí'!$E$76*A781+'Giả định'!$B$15*('Chi phí'!$F$76+'Chi phí'!$G$76*B781+'Chi phí'!$H$76*A781))*(1+'Giả định'!$B$16)</f>
        <v>811941240</v>
      </c>
      <c r="D781" s="25" t="n">
        <f aca="false">('Chi phí'!$C$77+'Chi phí'!$D$77*B781+'Chi phí'!$E$77*A781+'Giả định'!$B$15*('Chi phí'!$F$77+'Chi phí'!$G$77*B781+'Chi phí'!$H$77*A781))*(1+'Giả định'!$B$16)</f>
        <v>955546240</v>
      </c>
      <c r="E781" s="25" t="n">
        <f aca="false">A781/'Giả định'!$B$19*'Giả định'!$B$20+A781*'Giả định'!$B$23+'Giả định'!$B$24</f>
        <v>288880672.268908</v>
      </c>
      <c r="F781" s="25" t="n">
        <f aca="false">E781-D781</f>
        <v>-666665567.731093</v>
      </c>
      <c r="G781" s="25" t="n">
        <f aca="false">E781-C781</f>
        <v>-523060567.731093</v>
      </c>
      <c r="H781" s="7" t="str">
        <f aca="false">IF(F781&gt;=0,A781,"")</f>
        <v/>
      </c>
      <c r="I781" s="7" t="n">
        <f aca="false">IF(F781&lt;0,A781,0)</f>
        <v>776</v>
      </c>
      <c r="J781" s="7" t="str">
        <f aca="false">IF(G781&gt;=0,A781,"")</f>
        <v/>
      </c>
      <c r="K781" s="7" t="n">
        <f aca="false">IF(G781&lt;0,A781,0)</f>
        <v>776</v>
      </c>
    </row>
    <row r="782" customFormat="false" ht="15" hidden="false" customHeight="false" outlineLevel="0" collapsed="false">
      <c r="A782" s="7" t="n">
        <f aca="false">A781+1</f>
        <v>777</v>
      </c>
      <c r="B782" s="7" t="n">
        <f aca="false">MAX('Giả định'!$B$9,ROUNDUP(A782/'Giả định'!$B$7,0)+'Giả định'!$B$8)</f>
        <v>79</v>
      </c>
      <c r="C782" s="25" t="n">
        <f aca="false">('Chi phí'!$C$76+'Chi phí'!$D$76*B782+'Chi phí'!$E$76*A782+'Giả định'!$B$15*('Chi phí'!$F$76+'Chi phí'!$G$76*B782+'Chi phí'!$H$76*A782))*(1+'Giả định'!$B$16)</f>
        <v>811977980</v>
      </c>
      <c r="D782" s="25" t="n">
        <f aca="false">('Chi phí'!$C$77+'Chi phí'!$D$77*B782+'Chi phí'!$E$77*A782+'Giả định'!$B$15*('Chi phí'!$F$77+'Chi phí'!$G$77*B782+'Chi phí'!$H$77*A782))*(1+'Giả định'!$B$16)</f>
        <v>955582980</v>
      </c>
      <c r="E782" s="25" t="n">
        <f aca="false">A782/'Giả định'!$B$19*'Giả định'!$B$20+A782*'Giả định'!$B$23+'Giả định'!$B$24</f>
        <v>289252941.176471</v>
      </c>
      <c r="F782" s="25" t="n">
        <f aca="false">E782-D782</f>
        <v>-666330038.82353</v>
      </c>
      <c r="G782" s="25" t="n">
        <f aca="false">E782-C782</f>
        <v>-522725038.82353</v>
      </c>
      <c r="H782" s="7" t="str">
        <f aca="false">IF(F782&gt;=0,A782,"")</f>
        <v/>
      </c>
      <c r="I782" s="7" t="n">
        <f aca="false">IF(F782&lt;0,A782,0)</f>
        <v>777</v>
      </c>
      <c r="J782" s="7" t="str">
        <f aca="false">IF(G782&gt;=0,A782,"")</f>
        <v/>
      </c>
      <c r="K782" s="7" t="n">
        <f aca="false">IF(G782&lt;0,A782,0)</f>
        <v>777</v>
      </c>
    </row>
    <row r="783" customFormat="false" ht="15" hidden="false" customHeight="false" outlineLevel="0" collapsed="false">
      <c r="A783" s="7" t="n">
        <f aca="false">A782+1</f>
        <v>778</v>
      </c>
      <c r="B783" s="7" t="n">
        <f aca="false">MAX('Giả định'!$B$9,ROUNDUP(A783/'Giả định'!$B$7,0)+'Giả định'!$B$8)</f>
        <v>79</v>
      </c>
      <c r="C783" s="25" t="n">
        <f aca="false">('Chi phí'!$C$76+'Chi phí'!$D$76*B783+'Chi phí'!$E$76*A783+'Giả định'!$B$15*('Chi phí'!$F$76+'Chi phí'!$G$76*B783+'Chi phí'!$H$76*A783))*(1+'Giả định'!$B$16)</f>
        <v>812014720</v>
      </c>
      <c r="D783" s="25" t="n">
        <f aca="false">('Chi phí'!$C$77+'Chi phí'!$D$77*B783+'Chi phí'!$E$77*A783+'Giả định'!$B$15*('Chi phí'!$F$77+'Chi phí'!$G$77*B783+'Chi phí'!$H$77*A783))*(1+'Giả định'!$B$16)</f>
        <v>955619720</v>
      </c>
      <c r="E783" s="25" t="n">
        <f aca="false">A783/'Giả định'!$B$19*'Giả định'!$B$20+A783*'Giả định'!$B$23+'Giả định'!$B$24</f>
        <v>289625210.084034</v>
      </c>
      <c r="F783" s="25" t="n">
        <f aca="false">E783-D783</f>
        <v>-665994509.915967</v>
      </c>
      <c r="G783" s="25" t="n">
        <f aca="false">E783-C783</f>
        <v>-522389509.915967</v>
      </c>
      <c r="H783" s="7" t="str">
        <f aca="false">IF(F783&gt;=0,A783,"")</f>
        <v/>
      </c>
      <c r="I783" s="7" t="n">
        <f aca="false">IF(F783&lt;0,A783,0)</f>
        <v>778</v>
      </c>
      <c r="J783" s="7" t="str">
        <f aca="false">IF(G783&gt;=0,A783,"")</f>
        <v/>
      </c>
      <c r="K783" s="7" t="n">
        <f aca="false">IF(G783&lt;0,A783,0)</f>
        <v>778</v>
      </c>
    </row>
    <row r="784" customFormat="false" ht="15" hidden="false" customHeight="false" outlineLevel="0" collapsed="false">
      <c r="A784" s="7" t="n">
        <f aca="false">A783+1</f>
        <v>779</v>
      </c>
      <c r="B784" s="7" t="n">
        <f aca="false">MAX('Giả định'!$B$9,ROUNDUP(A784/'Giả định'!$B$7,0)+'Giả định'!$B$8)</f>
        <v>79</v>
      </c>
      <c r="C784" s="25" t="n">
        <f aca="false">('Chi phí'!$C$76+'Chi phí'!$D$76*B784+'Chi phí'!$E$76*A784+'Giả định'!$B$15*('Chi phí'!$F$76+'Chi phí'!$G$76*B784+'Chi phí'!$H$76*A784))*(1+'Giả định'!$B$16)</f>
        <v>812051460</v>
      </c>
      <c r="D784" s="25" t="n">
        <f aca="false">('Chi phí'!$C$77+'Chi phí'!$D$77*B784+'Chi phí'!$E$77*A784+'Giả định'!$B$15*('Chi phí'!$F$77+'Chi phí'!$G$77*B784+'Chi phí'!$H$77*A784))*(1+'Giả định'!$B$16)</f>
        <v>955656460</v>
      </c>
      <c r="E784" s="25" t="n">
        <f aca="false">A784/'Giả định'!$B$19*'Giả định'!$B$20+A784*'Giả định'!$B$23+'Giả định'!$B$24</f>
        <v>289997478.991597</v>
      </c>
      <c r="F784" s="25" t="n">
        <f aca="false">E784-D784</f>
        <v>-665658981.008404</v>
      </c>
      <c r="G784" s="25" t="n">
        <f aca="false">E784-C784</f>
        <v>-522053981.008404</v>
      </c>
      <c r="H784" s="7" t="str">
        <f aca="false">IF(F784&gt;=0,A784,"")</f>
        <v/>
      </c>
      <c r="I784" s="7" t="n">
        <f aca="false">IF(F784&lt;0,A784,0)</f>
        <v>779</v>
      </c>
      <c r="J784" s="7" t="str">
        <f aca="false">IF(G784&gt;=0,A784,"")</f>
        <v/>
      </c>
      <c r="K784" s="7" t="n">
        <f aca="false">IF(G784&lt;0,A784,0)</f>
        <v>779</v>
      </c>
    </row>
    <row r="785" customFormat="false" ht="15" hidden="false" customHeight="false" outlineLevel="0" collapsed="false">
      <c r="A785" s="7" t="n">
        <f aca="false">A784+1</f>
        <v>780</v>
      </c>
      <c r="B785" s="7" t="n">
        <f aca="false">MAX('Giả định'!$B$9,ROUNDUP(A785/'Giả định'!$B$7,0)+'Giả định'!$B$8)</f>
        <v>79</v>
      </c>
      <c r="C785" s="25" t="n">
        <f aca="false">('Chi phí'!$C$76+'Chi phí'!$D$76*B785+'Chi phí'!$E$76*A785+'Giả định'!$B$15*('Chi phí'!$F$76+'Chi phí'!$G$76*B785+'Chi phí'!$H$76*A785))*(1+'Giả định'!$B$16)</f>
        <v>812088200</v>
      </c>
      <c r="D785" s="25" t="n">
        <f aca="false">('Chi phí'!$C$77+'Chi phí'!$D$77*B785+'Chi phí'!$E$77*A785+'Giả định'!$B$15*('Chi phí'!$F$77+'Chi phí'!$G$77*B785+'Chi phí'!$H$77*A785))*(1+'Giả định'!$B$16)</f>
        <v>955693200</v>
      </c>
      <c r="E785" s="25" t="n">
        <f aca="false">A785/'Giả định'!$B$19*'Giả định'!$B$20+A785*'Giả định'!$B$23+'Giả định'!$B$24</f>
        <v>290369747.89916</v>
      </c>
      <c r="F785" s="25" t="n">
        <f aca="false">E785-D785</f>
        <v>-665323452.10084</v>
      </c>
      <c r="G785" s="25" t="n">
        <f aca="false">E785-C785</f>
        <v>-521718452.10084</v>
      </c>
      <c r="H785" s="7" t="str">
        <f aca="false">IF(F785&gt;=0,A785,"")</f>
        <v/>
      </c>
      <c r="I785" s="7" t="n">
        <f aca="false">IF(F785&lt;0,A785,0)</f>
        <v>780</v>
      </c>
      <c r="J785" s="7" t="str">
        <f aca="false">IF(G785&gt;=0,A785,"")</f>
        <v/>
      </c>
      <c r="K785" s="7" t="n">
        <f aca="false">IF(G785&lt;0,A785,0)</f>
        <v>780</v>
      </c>
    </row>
    <row r="786" customFormat="false" ht="15" hidden="false" customHeight="false" outlineLevel="0" collapsed="false">
      <c r="A786" s="7" t="n">
        <f aca="false">A785+1</f>
        <v>781</v>
      </c>
      <c r="B786" s="7" t="n">
        <f aca="false">MAX('Giả định'!$B$9,ROUNDUP(A786/'Giả định'!$B$7,0)+'Giả định'!$B$8)</f>
        <v>80</v>
      </c>
      <c r="C786" s="25" t="n">
        <f aca="false">('Chi phí'!$C$76+'Chi phí'!$D$76*B786+'Chi phí'!$E$76*A786+'Giả định'!$B$15*('Chi phí'!$F$76+'Chi phí'!$G$76*B786+'Chi phí'!$H$76*A786))*(1+'Giả định'!$B$16)</f>
        <v>821298940</v>
      </c>
      <c r="D786" s="25" t="n">
        <f aca="false">('Chi phí'!$C$77+'Chi phí'!$D$77*B786+'Chi phí'!$E$77*A786+'Giả định'!$B$15*('Chi phí'!$F$77+'Chi phí'!$G$77*B786+'Chi phí'!$H$77*A786))*(1+'Giả định'!$B$16)</f>
        <v>964903940</v>
      </c>
      <c r="E786" s="25" t="n">
        <f aca="false">A786/'Giả định'!$B$19*'Giả định'!$B$20+A786*'Giả định'!$B$23+'Giả định'!$B$24</f>
        <v>290742016.806723</v>
      </c>
      <c r="F786" s="25" t="n">
        <f aca="false">E786-D786</f>
        <v>-674161923.193277</v>
      </c>
      <c r="G786" s="25" t="n">
        <f aca="false">E786-C786</f>
        <v>-530556923.193277</v>
      </c>
      <c r="H786" s="7" t="str">
        <f aca="false">IF(F786&gt;=0,A786,"")</f>
        <v/>
      </c>
      <c r="I786" s="7" t="n">
        <f aca="false">IF(F786&lt;0,A786,0)</f>
        <v>781</v>
      </c>
      <c r="J786" s="7" t="str">
        <f aca="false">IF(G786&gt;=0,A786,"")</f>
        <v/>
      </c>
      <c r="K786" s="7" t="n">
        <f aca="false">IF(G786&lt;0,A786,0)</f>
        <v>781</v>
      </c>
    </row>
    <row r="787" customFormat="false" ht="15" hidden="false" customHeight="false" outlineLevel="0" collapsed="false">
      <c r="A787" s="7" t="n">
        <f aca="false">A786+1</f>
        <v>782</v>
      </c>
      <c r="B787" s="7" t="n">
        <f aca="false">MAX('Giả định'!$B$9,ROUNDUP(A787/'Giả định'!$B$7,0)+'Giả định'!$B$8)</f>
        <v>80</v>
      </c>
      <c r="C787" s="25" t="n">
        <f aca="false">('Chi phí'!$C$76+'Chi phí'!$D$76*B787+'Chi phí'!$E$76*A787+'Giả định'!$B$15*('Chi phí'!$F$76+'Chi phí'!$G$76*B787+'Chi phí'!$H$76*A787))*(1+'Giả định'!$B$16)</f>
        <v>821335680</v>
      </c>
      <c r="D787" s="25" t="n">
        <f aca="false">('Chi phí'!$C$77+'Chi phí'!$D$77*B787+'Chi phí'!$E$77*A787+'Giả định'!$B$15*('Chi phí'!$F$77+'Chi phí'!$G$77*B787+'Chi phí'!$H$77*A787))*(1+'Giả định'!$B$16)</f>
        <v>964940680</v>
      </c>
      <c r="E787" s="25" t="n">
        <f aca="false">A787/'Giả định'!$B$19*'Giả định'!$B$20+A787*'Giả định'!$B$23+'Giả định'!$B$24</f>
        <v>291114285.714286</v>
      </c>
      <c r="F787" s="25" t="n">
        <f aca="false">E787-D787</f>
        <v>-673826394.285714</v>
      </c>
      <c r="G787" s="25" t="n">
        <f aca="false">E787-C787</f>
        <v>-530221394.285714</v>
      </c>
      <c r="H787" s="7" t="str">
        <f aca="false">IF(F787&gt;=0,A787,"")</f>
        <v/>
      </c>
      <c r="I787" s="7" t="n">
        <f aca="false">IF(F787&lt;0,A787,0)</f>
        <v>782</v>
      </c>
      <c r="J787" s="7" t="str">
        <f aca="false">IF(G787&gt;=0,A787,"")</f>
        <v/>
      </c>
      <c r="K787" s="7" t="n">
        <f aca="false">IF(G787&lt;0,A787,0)</f>
        <v>782</v>
      </c>
    </row>
    <row r="788" customFormat="false" ht="15" hidden="false" customHeight="false" outlineLevel="0" collapsed="false">
      <c r="A788" s="7" t="n">
        <f aca="false">A787+1</f>
        <v>783</v>
      </c>
      <c r="B788" s="7" t="n">
        <f aca="false">MAX('Giả định'!$B$9,ROUNDUP(A788/'Giả định'!$B$7,0)+'Giả định'!$B$8)</f>
        <v>80</v>
      </c>
      <c r="C788" s="25" t="n">
        <f aca="false">('Chi phí'!$C$76+'Chi phí'!$D$76*B788+'Chi phí'!$E$76*A788+'Giả định'!$B$15*('Chi phí'!$F$76+'Chi phí'!$G$76*B788+'Chi phí'!$H$76*A788))*(1+'Giả định'!$B$16)</f>
        <v>821372420</v>
      </c>
      <c r="D788" s="25" t="n">
        <f aca="false">('Chi phí'!$C$77+'Chi phí'!$D$77*B788+'Chi phí'!$E$77*A788+'Giả định'!$B$15*('Chi phí'!$F$77+'Chi phí'!$G$77*B788+'Chi phí'!$H$77*A788))*(1+'Giả định'!$B$16)</f>
        <v>964977420</v>
      </c>
      <c r="E788" s="25" t="n">
        <f aca="false">A788/'Giả định'!$B$19*'Giả định'!$B$20+A788*'Giả định'!$B$23+'Giả định'!$B$24</f>
        <v>291486554.621849</v>
      </c>
      <c r="F788" s="25" t="n">
        <f aca="false">E788-D788</f>
        <v>-673490865.378151</v>
      </c>
      <c r="G788" s="25" t="n">
        <f aca="false">E788-C788</f>
        <v>-529885865.378151</v>
      </c>
      <c r="H788" s="7" t="str">
        <f aca="false">IF(F788&gt;=0,A788,"")</f>
        <v/>
      </c>
      <c r="I788" s="7" t="n">
        <f aca="false">IF(F788&lt;0,A788,0)</f>
        <v>783</v>
      </c>
      <c r="J788" s="7" t="str">
        <f aca="false">IF(G788&gt;=0,A788,"")</f>
        <v/>
      </c>
      <c r="K788" s="7" t="n">
        <f aca="false">IF(G788&lt;0,A788,0)</f>
        <v>783</v>
      </c>
    </row>
    <row r="789" customFormat="false" ht="15" hidden="false" customHeight="false" outlineLevel="0" collapsed="false">
      <c r="A789" s="7" t="n">
        <f aca="false">A788+1</f>
        <v>784</v>
      </c>
      <c r="B789" s="7" t="n">
        <f aca="false">MAX('Giả định'!$B$9,ROUNDUP(A789/'Giả định'!$B$7,0)+'Giả định'!$B$8)</f>
        <v>80</v>
      </c>
      <c r="C789" s="25" t="n">
        <f aca="false">('Chi phí'!$C$76+'Chi phí'!$D$76*B789+'Chi phí'!$E$76*A789+'Giả định'!$B$15*('Chi phí'!$F$76+'Chi phí'!$G$76*B789+'Chi phí'!$H$76*A789))*(1+'Giả định'!$B$16)</f>
        <v>821409160</v>
      </c>
      <c r="D789" s="25" t="n">
        <f aca="false">('Chi phí'!$C$77+'Chi phí'!$D$77*B789+'Chi phí'!$E$77*A789+'Giả định'!$B$15*('Chi phí'!$F$77+'Chi phí'!$G$77*B789+'Chi phí'!$H$77*A789))*(1+'Giả định'!$B$16)</f>
        <v>965014160</v>
      </c>
      <c r="E789" s="25" t="n">
        <f aca="false">A789/'Giả định'!$B$19*'Giả định'!$B$20+A789*'Giả định'!$B$23+'Giả định'!$B$24</f>
        <v>291858823.529412</v>
      </c>
      <c r="F789" s="25" t="n">
        <f aca="false">E789-D789</f>
        <v>-673155336.470588</v>
      </c>
      <c r="G789" s="25" t="n">
        <f aca="false">E789-C789</f>
        <v>-529550336.470588</v>
      </c>
      <c r="H789" s="7" t="str">
        <f aca="false">IF(F789&gt;=0,A789,"")</f>
        <v/>
      </c>
      <c r="I789" s="7" t="n">
        <f aca="false">IF(F789&lt;0,A789,0)</f>
        <v>784</v>
      </c>
      <c r="J789" s="7" t="str">
        <f aca="false">IF(G789&gt;=0,A789,"")</f>
        <v/>
      </c>
      <c r="K789" s="7" t="n">
        <f aca="false">IF(G789&lt;0,A789,0)</f>
        <v>784</v>
      </c>
    </row>
    <row r="790" customFormat="false" ht="15" hidden="false" customHeight="false" outlineLevel="0" collapsed="false">
      <c r="A790" s="7" t="n">
        <f aca="false">A789+1</f>
        <v>785</v>
      </c>
      <c r="B790" s="7" t="n">
        <f aca="false">MAX('Giả định'!$B$9,ROUNDUP(A790/'Giả định'!$B$7,0)+'Giả định'!$B$8)</f>
        <v>80</v>
      </c>
      <c r="C790" s="25" t="n">
        <f aca="false">('Chi phí'!$C$76+'Chi phí'!$D$76*B790+'Chi phí'!$E$76*A790+'Giả định'!$B$15*('Chi phí'!$F$76+'Chi phí'!$G$76*B790+'Chi phí'!$H$76*A790))*(1+'Giả định'!$B$16)</f>
        <v>821445900</v>
      </c>
      <c r="D790" s="25" t="n">
        <f aca="false">('Chi phí'!$C$77+'Chi phí'!$D$77*B790+'Chi phí'!$E$77*A790+'Giả định'!$B$15*('Chi phí'!$F$77+'Chi phí'!$G$77*B790+'Chi phí'!$H$77*A790))*(1+'Giả định'!$B$16)</f>
        <v>965050900</v>
      </c>
      <c r="E790" s="25" t="n">
        <f aca="false">A790/'Giả định'!$B$19*'Giả định'!$B$20+A790*'Giả định'!$B$23+'Giả định'!$B$24</f>
        <v>292231092.436975</v>
      </c>
      <c r="F790" s="25" t="n">
        <f aca="false">E790-D790</f>
        <v>-672819807.563025</v>
      </c>
      <c r="G790" s="25" t="n">
        <f aca="false">E790-C790</f>
        <v>-529214807.563025</v>
      </c>
      <c r="H790" s="7" t="str">
        <f aca="false">IF(F790&gt;=0,A790,"")</f>
        <v/>
      </c>
      <c r="I790" s="7" t="n">
        <f aca="false">IF(F790&lt;0,A790,0)</f>
        <v>785</v>
      </c>
      <c r="J790" s="7" t="str">
        <f aca="false">IF(G790&gt;=0,A790,"")</f>
        <v/>
      </c>
      <c r="K790" s="7" t="n">
        <f aca="false">IF(G790&lt;0,A790,0)</f>
        <v>785</v>
      </c>
    </row>
    <row r="791" customFormat="false" ht="15" hidden="false" customHeight="false" outlineLevel="0" collapsed="false">
      <c r="A791" s="7" t="n">
        <f aca="false">A790+1</f>
        <v>786</v>
      </c>
      <c r="B791" s="7" t="n">
        <f aca="false">MAX('Giả định'!$B$9,ROUNDUP(A791/'Giả định'!$B$7,0)+'Giả định'!$B$8)</f>
        <v>80</v>
      </c>
      <c r="C791" s="25" t="n">
        <f aca="false">('Chi phí'!$C$76+'Chi phí'!$D$76*B791+'Chi phí'!$E$76*A791+'Giả định'!$B$15*('Chi phí'!$F$76+'Chi phí'!$G$76*B791+'Chi phí'!$H$76*A791))*(1+'Giả định'!$B$16)</f>
        <v>821482640</v>
      </c>
      <c r="D791" s="25" t="n">
        <f aca="false">('Chi phí'!$C$77+'Chi phí'!$D$77*B791+'Chi phí'!$E$77*A791+'Giả định'!$B$15*('Chi phí'!$F$77+'Chi phí'!$G$77*B791+'Chi phí'!$H$77*A791))*(1+'Giả định'!$B$16)</f>
        <v>965087640</v>
      </c>
      <c r="E791" s="25" t="n">
        <f aca="false">A791/'Giả định'!$B$19*'Giả định'!$B$20+A791*'Giả định'!$B$23+'Giả định'!$B$24</f>
        <v>292603361.344538</v>
      </c>
      <c r="F791" s="25" t="n">
        <f aca="false">E791-D791</f>
        <v>-672484278.655462</v>
      </c>
      <c r="G791" s="25" t="n">
        <f aca="false">E791-C791</f>
        <v>-528879278.655462</v>
      </c>
      <c r="H791" s="7" t="str">
        <f aca="false">IF(F791&gt;=0,A791,"")</f>
        <v/>
      </c>
      <c r="I791" s="7" t="n">
        <f aca="false">IF(F791&lt;0,A791,0)</f>
        <v>786</v>
      </c>
      <c r="J791" s="7" t="str">
        <f aca="false">IF(G791&gt;=0,A791,"")</f>
        <v/>
      </c>
      <c r="K791" s="7" t="n">
        <f aca="false">IF(G791&lt;0,A791,0)</f>
        <v>786</v>
      </c>
    </row>
    <row r="792" customFormat="false" ht="15" hidden="false" customHeight="false" outlineLevel="0" collapsed="false">
      <c r="A792" s="7" t="n">
        <f aca="false">A791+1</f>
        <v>787</v>
      </c>
      <c r="B792" s="7" t="n">
        <f aca="false">MAX('Giả định'!$B$9,ROUNDUP(A792/'Giả định'!$B$7,0)+'Giả định'!$B$8)</f>
        <v>80</v>
      </c>
      <c r="C792" s="25" t="n">
        <f aca="false">('Chi phí'!$C$76+'Chi phí'!$D$76*B792+'Chi phí'!$E$76*A792+'Giả định'!$B$15*('Chi phí'!$F$76+'Chi phí'!$G$76*B792+'Chi phí'!$H$76*A792))*(1+'Giả định'!$B$16)</f>
        <v>821519380</v>
      </c>
      <c r="D792" s="25" t="n">
        <f aca="false">('Chi phí'!$C$77+'Chi phí'!$D$77*B792+'Chi phí'!$E$77*A792+'Giả định'!$B$15*('Chi phí'!$F$77+'Chi phí'!$G$77*B792+'Chi phí'!$H$77*A792))*(1+'Giả định'!$B$16)</f>
        <v>965124380</v>
      </c>
      <c r="E792" s="25" t="n">
        <f aca="false">A792/'Giả định'!$B$19*'Giả định'!$B$20+A792*'Giả định'!$B$23+'Giả định'!$B$24</f>
        <v>292975630.252101</v>
      </c>
      <c r="F792" s="25" t="n">
        <f aca="false">E792-D792</f>
        <v>-672148749.747899</v>
      </c>
      <c r="G792" s="25" t="n">
        <f aca="false">E792-C792</f>
        <v>-528543749.747899</v>
      </c>
      <c r="H792" s="7" t="str">
        <f aca="false">IF(F792&gt;=0,A792,"")</f>
        <v/>
      </c>
      <c r="I792" s="7" t="n">
        <f aca="false">IF(F792&lt;0,A792,0)</f>
        <v>787</v>
      </c>
      <c r="J792" s="7" t="str">
        <f aca="false">IF(G792&gt;=0,A792,"")</f>
        <v/>
      </c>
      <c r="K792" s="7" t="n">
        <f aca="false">IF(G792&lt;0,A792,0)</f>
        <v>787</v>
      </c>
    </row>
    <row r="793" customFormat="false" ht="15" hidden="false" customHeight="false" outlineLevel="0" collapsed="false">
      <c r="A793" s="7" t="n">
        <f aca="false">A792+1</f>
        <v>788</v>
      </c>
      <c r="B793" s="7" t="n">
        <f aca="false">MAX('Giả định'!$B$9,ROUNDUP(A793/'Giả định'!$B$7,0)+'Giả định'!$B$8)</f>
        <v>80</v>
      </c>
      <c r="C793" s="25" t="n">
        <f aca="false">('Chi phí'!$C$76+'Chi phí'!$D$76*B793+'Chi phí'!$E$76*A793+'Giả định'!$B$15*('Chi phí'!$F$76+'Chi phí'!$G$76*B793+'Chi phí'!$H$76*A793))*(1+'Giả định'!$B$16)</f>
        <v>821556120</v>
      </c>
      <c r="D793" s="25" t="n">
        <f aca="false">('Chi phí'!$C$77+'Chi phí'!$D$77*B793+'Chi phí'!$E$77*A793+'Giả định'!$B$15*('Chi phí'!$F$77+'Chi phí'!$G$77*B793+'Chi phí'!$H$77*A793))*(1+'Giả định'!$B$16)</f>
        <v>965161120</v>
      </c>
      <c r="E793" s="25" t="n">
        <f aca="false">A793/'Giả định'!$B$19*'Giả định'!$B$20+A793*'Giả định'!$B$23+'Giả định'!$B$24</f>
        <v>293347899.159664</v>
      </c>
      <c r="F793" s="25" t="n">
        <f aca="false">E793-D793</f>
        <v>-671813220.840336</v>
      </c>
      <c r="G793" s="25" t="n">
        <f aca="false">E793-C793</f>
        <v>-528208220.840336</v>
      </c>
      <c r="H793" s="7" t="str">
        <f aca="false">IF(F793&gt;=0,A793,"")</f>
        <v/>
      </c>
      <c r="I793" s="7" t="n">
        <f aca="false">IF(F793&lt;0,A793,0)</f>
        <v>788</v>
      </c>
      <c r="J793" s="7" t="str">
        <f aca="false">IF(G793&gt;=0,A793,"")</f>
        <v/>
      </c>
      <c r="K793" s="7" t="n">
        <f aca="false">IF(G793&lt;0,A793,0)</f>
        <v>788</v>
      </c>
    </row>
    <row r="794" customFormat="false" ht="15" hidden="false" customHeight="false" outlineLevel="0" collapsed="false">
      <c r="A794" s="7" t="n">
        <f aca="false">A793+1</f>
        <v>789</v>
      </c>
      <c r="B794" s="7" t="n">
        <f aca="false">MAX('Giả định'!$B$9,ROUNDUP(A794/'Giả định'!$B$7,0)+'Giả định'!$B$8)</f>
        <v>80</v>
      </c>
      <c r="C794" s="25" t="n">
        <f aca="false">('Chi phí'!$C$76+'Chi phí'!$D$76*B794+'Chi phí'!$E$76*A794+'Giả định'!$B$15*('Chi phí'!$F$76+'Chi phí'!$G$76*B794+'Chi phí'!$H$76*A794))*(1+'Giả định'!$B$16)</f>
        <v>821592860</v>
      </c>
      <c r="D794" s="25" t="n">
        <f aca="false">('Chi phí'!$C$77+'Chi phí'!$D$77*B794+'Chi phí'!$E$77*A794+'Giả định'!$B$15*('Chi phí'!$F$77+'Chi phí'!$G$77*B794+'Chi phí'!$H$77*A794))*(1+'Giả định'!$B$16)</f>
        <v>965197860</v>
      </c>
      <c r="E794" s="25" t="n">
        <f aca="false">A794/'Giả định'!$B$19*'Giả định'!$B$20+A794*'Giả định'!$B$23+'Giả định'!$B$24</f>
        <v>293720168.067227</v>
      </c>
      <c r="F794" s="25" t="n">
        <f aca="false">E794-D794</f>
        <v>-671477691.932773</v>
      </c>
      <c r="G794" s="25" t="n">
        <f aca="false">E794-C794</f>
        <v>-527872691.932773</v>
      </c>
      <c r="H794" s="7" t="str">
        <f aca="false">IF(F794&gt;=0,A794,"")</f>
        <v/>
      </c>
      <c r="I794" s="7" t="n">
        <f aca="false">IF(F794&lt;0,A794,0)</f>
        <v>789</v>
      </c>
      <c r="J794" s="7" t="str">
        <f aca="false">IF(G794&gt;=0,A794,"")</f>
        <v/>
      </c>
      <c r="K794" s="7" t="n">
        <f aca="false">IF(G794&lt;0,A794,0)</f>
        <v>789</v>
      </c>
    </row>
    <row r="795" customFormat="false" ht="15" hidden="false" customHeight="false" outlineLevel="0" collapsed="false">
      <c r="A795" s="7" t="n">
        <f aca="false">A794+1</f>
        <v>790</v>
      </c>
      <c r="B795" s="7" t="n">
        <f aca="false">MAX('Giả định'!$B$9,ROUNDUP(A795/'Giả định'!$B$7,0)+'Giả định'!$B$8)</f>
        <v>80</v>
      </c>
      <c r="C795" s="25" t="n">
        <f aca="false">('Chi phí'!$C$76+'Chi phí'!$D$76*B795+'Chi phí'!$E$76*A795+'Giả định'!$B$15*('Chi phí'!$F$76+'Chi phí'!$G$76*B795+'Chi phí'!$H$76*A795))*(1+'Giả định'!$B$16)</f>
        <v>821629600</v>
      </c>
      <c r="D795" s="25" t="n">
        <f aca="false">('Chi phí'!$C$77+'Chi phí'!$D$77*B795+'Chi phí'!$E$77*A795+'Giả định'!$B$15*('Chi phí'!$F$77+'Chi phí'!$G$77*B795+'Chi phí'!$H$77*A795))*(1+'Giả định'!$B$16)</f>
        <v>965234600</v>
      </c>
      <c r="E795" s="25" t="n">
        <f aca="false">A795/'Giả định'!$B$19*'Giả định'!$B$20+A795*'Giả định'!$B$23+'Giả định'!$B$24</f>
        <v>294092436.97479</v>
      </c>
      <c r="F795" s="25" t="n">
        <f aca="false">E795-D795</f>
        <v>-671142163.02521</v>
      </c>
      <c r="G795" s="25" t="n">
        <f aca="false">E795-C795</f>
        <v>-527537163.02521</v>
      </c>
      <c r="H795" s="7" t="str">
        <f aca="false">IF(F795&gt;=0,A795,"")</f>
        <v/>
      </c>
      <c r="I795" s="7" t="n">
        <f aca="false">IF(F795&lt;0,A795,0)</f>
        <v>790</v>
      </c>
      <c r="J795" s="7" t="str">
        <f aca="false">IF(G795&gt;=0,A795,"")</f>
        <v/>
      </c>
      <c r="K795" s="7" t="n">
        <f aca="false">IF(G795&lt;0,A795,0)</f>
        <v>790</v>
      </c>
    </row>
    <row r="796" customFormat="false" ht="15" hidden="false" customHeight="false" outlineLevel="0" collapsed="false">
      <c r="A796" s="7" t="n">
        <f aca="false">A795+1</f>
        <v>791</v>
      </c>
      <c r="B796" s="7" t="n">
        <f aca="false">MAX('Giả định'!$B$9,ROUNDUP(A796/'Giả định'!$B$7,0)+'Giả định'!$B$8)</f>
        <v>81</v>
      </c>
      <c r="C796" s="25" t="n">
        <f aca="false">('Chi phí'!$C$76+'Chi phí'!$D$76*B796+'Chi phí'!$E$76*A796+'Giả định'!$B$15*('Chi phí'!$F$76+'Chi phí'!$G$76*B796+'Chi phí'!$H$76*A796))*(1+'Giả định'!$B$16)</f>
        <v>830840340</v>
      </c>
      <c r="D796" s="25" t="n">
        <f aca="false">('Chi phí'!$C$77+'Chi phí'!$D$77*B796+'Chi phí'!$E$77*A796+'Giả định'!$B$15*('Chi phí'!$F$77+'Chi phí'!$G$77*B796+'Chi phí'!$H$77*A796))*(1+'Giả định'!$B$16)</f>
        <v>974445340</v>
      </c>
      <c r="E796" s="25" t="n">
        <f aca="false">A796/'Giả định'!$B$19*'Giả định'!$B$20+A796*'Giả định'!$B$23+'Giả định'!$B$24</f>
        <v>294464705.882353</v>
      </c>
      <c r="F796" s="25" t="n">
        <f aca="false">E796-D796</f>
        <v>-679980634.117647</v>
      </c>
      <c r="G796" s="25" t="n">
        <f aca="false">E796-C796</f>
        <v>-536375634.117647</v>
      </c>
      <c r="H796" s="7" t="str">
        <f aca="false">IF(F796&gt;=0,A796,"")</f>
        <v/>
      </c>
      <c r="I796" s="7" t="n">
        <f aca="false">IF(F796&lt;0,A796,0)</f>
        <v>791</v>
      </c>
      <c r="J796" s="7" t="str">
        <f aca="false">IF(G796&gt;=0,A796,"")</f>
        <v/>
      </c>
      <c r="K796" s="7" t="n">
        <f aca="false">IF(G796&lt;0,A796,0)</f>
        <v>791</v>
      </c>
    </row>
    <row r="797" customFormat="false" ht="15" hidden="false" customHeight="false" outlineLevel="0" collapsed="false">
      <c r="A797" s="7" t="n">
        <f aca="false">A796+1</f>
        <v>792</v>
      </c>
      <c r="B797" s="7" t="n">
        <f aca="false">MAX('Giả định'!$B$9,ROUNDUP(A797/'Giả định'!$B$7,0)+'Giả định'!$B$8)</f>
        <v>81</v>
      </c>
      <c r="C797" s="25" t="n">
        <f aca="false">('Chi phí'!$C$76+'Chi phí'!$D$76*B797+'Chi phí'!$E$76*A797+'Giả định'!$B$15*('Chi phí'!$F$76+'Chi phí'!$G$76*B797+'Chi phí'!$H$76*A797))*(1+'Giả định'!$B$16)</f>
        <v>830877080</v>
      </c>
      <c r="D797" s="25" t="n">
        <f aca="false">('Chi phí'!$C$77+'Chi phí'!$D$77*B797+'Chi phí'!$E$77*A797+'Giả định'!$B$15*('Chi phí'!$F$77+'Chi phí'!$G$77*B797+'Chi phí'!$H$77*A797))*(1+'Giả định'!$B$16)</f>
        <v>974482080</v>
      </c>
      <c r="E797" s="25" t="n">
        <f aca="false">A797/'Giả định'!$B$19*'Giả định'!$B$20+A797*'Giả định'!$B$23+'Giả định'!$B$24</f>
        <v>294836974.789916</v>
      </c>
      <c r="F797" s="25" t="n">
        <f aca="false">E797-D797</f>
        <v>-679645105.210084</v>
      </c>
      <c r="G797" s="25" t="n">
        <f aca="false">E797-C797</f>
        <v>-536040105.210084</v>
      </c>
      <c r="H797" s="7" t="str">
        <f aca="false">IF(F797&gt;=0,A797,"")</f>
        <v/>
      </c>
      <c r="I797" s="7" t="n">
        <f aca="false">IF(F797&lt;0,A797,0)</f>
        <v>792</v>
      </c>
      <c r="J797" s="7" t="str">
        <f aca="false">IF(G797&gt;=0,A797,"")</f>
        <v/>
      </c>
      <c r="K797" s="7" t="n">
        <f aca="false">IF(G797&lt;0,A797,0)</f>
        <v>792</v>
      </c>
    </row>
    <row r="798" customFormat="false" ht="15" hidden="false" customHeight="false" outlineLevel="0" collapsed="false">
      <c r="A798" s="7" t="n">
        <f aca="false">A797+1</f>
        <v>793</v>
      </c>
      <c r="B798" s="7" t="n">
        <f aca="false">MAX('Giả định'!$B$9,ROUNDUP(A798/'Giả định'!$B$7,0)+'Giả định'!$B$8)</f>
        <v>81</v>
      </c>
      <c r="C798" s="25" t="n">
        <f aca="false">('Chi phí'!$C$76+'Chi phí'!$D$76*B798+'Chi phí'!$E$76*A798+'Giả định'!$B$15*('Chi phí'!$F$76+'Chi phí'!$G$76*B798+'Chi phí'!$H$76*A798))*(1+'Giả định'!$B$16)</f>
        <v>830913820</v>
      </c>
      <c r="D798" s="25" t="n">
        <f aca="false">('Chi phí'!$C$77+'Chi phí'!$D$77*B798+'Chi phí'!$E$77*A798+'Giả định'!$B$15*('Chi phí'!$F$77+'Chi phí'!$G$77*B798+'Chi phí'!$H$77*A798))*(1+'Giả định'!$B$16)</f>
        <v>974518820</v>
      </c>
      <c r="E798" s="25" t="n">
        <f aca="false">A798/'Giả định'!$B$19*'Giả định'!$B$20+A798*'Giả định'!$B$23+'Giả định'!$B$24</f>
        <v>295209243.697479</v>
      </c>
      <c r="F798" s="25" t="n">
        <f aca="false">E798-D798</f>
        <v>-679309576.302521</v>
      </c>
      <c r="G798" s="25" t="n">
        <f aca="false">E798-C798</f>
        <v>-535704576.302521</v>
      </c>
      <c r="H798" s="7" t="str">
        <f aca="false">IF(F798&gt;=0,A798,"")</f>
        <v/>
      </c>
      <c r="I798" s="7" t="n">
        <f aca="false">IF(F798&lt;0,A798,0)</f>
        <v>793</v>
      </c>
      <c r="J798" s="7" t="str">
        <f aca="false">IF(G798&gt;=0,A798,"")</f>
        <v/>
      </c>
      <c r="K798" s="7" t="n">
        <f aca="false">IF(G798&lt;0,A798,0)</f>
        <v>793</v>
      </c>
    </row>
    <row r="799" customFormat="false" ht="15" hidden="false" customHeight="false" outlineLevel="0" collapsed="false">
      <c r="A799" s="7" t="n">
        <f aca="false">A798+1</f>
        <v>794</v>
      </c>
      <c r="B799" s="7" t="n">
        <f aca="false">MAX('Giả định'!$B$9,ROUNDUP(A799/'Giả định'!$B$7,0)+'Giả định'!$B$8)</f>
        <v>81</v>
      </c>
      <c r="C799" s="25" t="n">
        <f aca="false">('Chi phí'!$C$76+'Chi phí'!$D$76*B799+'Chi phí'!$E$76*A799+'Giả định'!$B$15*('Chi phí'!$F$76+'Chi phí'!$G$76*B799+'Chi phí'!$H$76*A799))*(1+'Giả định'!$B$16)</f>
        <v>830950560</v>
      </c>
      <c r="D799" s="25" t="n">
        <f aca="false">('Chi phí'!$C$77+'Chi phí'!$D$77*B799+'Chi phí'!$E$77*A799+'Giả định'!$B$15*('Chi phí'!$F$77+'Chi phí'!$G$77*B799+'Chi phí'!$H$77*A799))*(1+'Giả định'!$B$16)</f>
        <v>974555560</v>
      </c>
      <c r="E799" s="25" t="n">
        <f aca="false">A799/'Giả định'!$B$19*'Giả định'!$B$20+A799*'Giả định'!$B$23+'Giả định'!$B$24</f>
        <v>295581512.605042</v>
      </c>
      <c r="F799" s="25" t="n">
        <f aca="false">E799-D799</f>
        <v>-678974047.394958</v>
      </c>
      <c r="G799" s="25" t="n">
        <f aca="false">E799-C799</f>
        <v>-535369047.394958</v>
      </c>
      <c r="H799" s="7" t="str">
        <f aca="false">IF(F799&gt;=0,A799,"")</f>
        <v/>
      </c>
      <c r="I799" s="7" t="n">
        <f aca="false">IF(F799&lt;0,A799,0)</f>
        <v>794</v>
      </c>
      <c r="J799" s="7" t="str">
        <f aca="false">IF(G799&gt;=0,A799,"")</f>
        <v/>
      </c>
      <c r="K799" s="7" t="n">
        <f aca="false">IF(G799&lt;0,A799,0)</f>
        <v>794</v>
      </c>
    </row>
    <row r="800" customFormat="false" ht="15" hidden="false" customHeight="false" outlineLevel="0" collapsed="false">
      <c r="A800" s="7" t="n">
        <f aca="false">A799+1</f>
        <v>795</v>
      </c>
      <c r="B800" s="7" t="n">
        <f aca="false">MAX('Giả định'!$B$9,ROUNDUP(A800/'Giả định'!$B$7,0)+'Giả định'!$B$8)</f>
        <v>81</v>
      </c>
      <c r="C800" s="25" t="n">
        <f aca="false">('Chi phí'!$C$76+'Chi phí'!$D$76*B800+'Chi phí'!$E$76*A800+'Giả định'!$B$15*('Chi phí'!$F$76+'Chi phí'!$G$76*B800+'Chi phí'!$H$76*A800))*(1+'Giả định'!$B$16)</f>
        <v>830987300</v>
      </c>
      <c r="D800" s="25" t="n">
        <f aca="false">('Chi phí'!$C$77+'Chi phí'!$D$77*B800+'Chi phí'!$E$77*A800+'Giả định'!$B$15*('Chi phí'!$F$77+'Chi phí'!$G$77*B800+'Chi phí'!$H$77*A800))*(1+'Giả định'!$B$16)</f>
        <v>974592300</v>
      </c>
      <c r="E800" s="25" t="n">
        <f aca="false">A800/'Giả định'!$B$19*'Giả định'!$B$20+A800*'Giả định'!$B$23+'Giả định'!$B$24</f>
        <v>295953781.512605</v>
      </c>
      <c r="F800" s="25" t="n">
        <f aca="false">E800-D800</f>
        <v>-678638518.487395</v>
      </c>
      <c r="G800" s="25" t="n">
        <f aca="false">E800-C800</f>
        <v>-535033518.487395</v>
      </c>
      <c r="H800" s="7" t="str">
        <f aca="false">IF(F800&gt;=0,A800,"")</f>
        <v/>
      </c>
      <c r="I800" s="7" t="n">
        <f aca="false">IF(F800&lt;0,A800,0)</f>
        <v>795</v>
      </c>
      <c r="J800" s="7" t="str">
        <f aca="false">IF(G800&gt;=0,A800,"")</f>
        <v/>
      </c>
      <c r="K800" s="7" t="n">
        <f aca="false">IF(G800&lt;0,A800,0)</f>
        <v>795</v>
      </c>
    </row>
    <row r="801" customFormat="false" ht="15" hidden="false" customHeight="false" outlineLevel="0" collapsed="false">
      <c r="A801" s="7" t="n">
        <f aca="false">A800+1</f>
        <v>796</v>
      </c>
      <c r="B801" s="7" t="n">
        <f aca="false">MAX('Giả định'!$B$9,ROUNDUP(A801/'Giả định'!$B$7,0)+'Giả định'!$B$8)</f>
        <v>81</v>
      </c>
      <c r="C801" s="25" t="n">
        <f aca="false">('Chi phí'!$C$76+'Chi phí'!$D$76*B801+'Chi phí'!$E$76*A801+'Giả định'!$B$15*('Chi phí'!$F$76+'Chi phí'!$G$76*B801+'Chi phí'!$H$76*A801))*(1+'Giả định'!$B$16)</f>
        <v>831024040</v>
      </c>
      <c r="D801" s="25" t="n">
        <f aca="false">('Chi phí'!$C$77+'Chi phí'!$D$77*B801+'Chi phí'!$E$77*A801+'Giả định'!$B$15*('Chi phí'!$F$77+'Chi phí'!$G$77*B801+'Chi phí'!$H$77*A801))*(1+'Giả định'!$B$16)</f>
        <v>974629040</v>
      </c>
      <c r="E801" s="25" t="n">
        <f aca="false">A801/'Giả định'!$B$19*'Giả định'!$B$20+A801*'Giả định'!$B$23+'Giả định'!$B$24</f>
        <v>296326050.420168</v>
      </c>
      <c r="F801" s="25" t="n">
        <f aca="false">E801-D801</f>
        <v>-678302989.579832</v>
      </c>
      <c r="G801" s="25" t="n">
        <f aca="false">E801-C801</f>
        <v>-534697989.579832</v>
      </c>
      <c r="H801" s="7" t="str">
        <f aca="false">IF(F801&gt;=0,A801,"")</f>
        <v/>
      </c>
      <c r="I801" s="7" t="n">
        <f aca="false">IF(F801&lt;0,A801,0)</f>
        <v>796</v>
      </c>
      <c r="J801" s="7" t="str">
        <f aca="false">IF(G801&gt;=0,A801,"")</f>
        <v/>
      </c>
      <c r="K801" s="7" t="n">
        <f aca="false">IF(G801&lt;0,A801,0)</f>
        <v>796</v>
      </c>
    </row>
    <row r="802" customFormat="false" ht="15" hidden="false" customHeight="false" outlineLevel="0" collapsed="false">
      <c r="A802" s="7" t="n">
        <f aca="false">A801+1</f>
        <v>797</v>
      </c>
      <c r="B802" s="7" t="n">
        <f aca="false">MAX('Giả định'!$B$9,ROUNDUP(A802/'Giả định'!$B$7,0)+'Giả định'!$B$8)</f>
        <v>81</v>
      </c>
      <c r="C802" s="25" t="n">
        <f aca="false">('Chi phí'!$C$76+'Chi phí'!$D$76*B802+'Chi phí'!$E$76*A802+'Giả định'!$B$15*('Chi phí'!$F$76+'Chi phí'!$G$76*B802+'Chi phí'!$H$76*A802))*(1+'Giả định'!$B$16)</f>
        <v>831060780</v>
      </c>
      <c r="D802" s="25" t="n">
        <f aca="false">('Chi phí'!$C$77+'Chi phí'!$D$77*B802+'Chi phí'!$E$77*A802+'Giả định'!$B$15*('Chi phí'!$F$77+'Chi phí'!$G$77*B802+'Chi phí'!$H$77*A802))*(1+'Giả định'!$B$16)</f>
        <v>974665780</v>
      </c>
      <c r="E802" s="25" t="n">
        <f aca="false">A802/'Giả định'!$B$19*'Giả định'!$B$20+A802*'Giả định'!$B$23+'Giả định'!$B$24</f>
        <v>296698319.327731</v>
      </c>
      <c r="F802" s="25" t="n">
        <f aca="false">E802-D802</f>
        <v>-677967460.672269</v>
      </c>
      <c r="G802" s="25" t="n">
        <f aca="false">E802-C802</f>
        <v>-534362460.672269</v>
      </c>
      <c r="H802" s="7" t="str">
        <f aca="false">IF(F802&gt;=0,A802,"")</f>
        <v/>
      </c>
      <c r="I802" s="7" t="n">
        <f aca="false">IF(F802&lt;0,A802,0)</f>
        <v>797</v>
      </c>
      <c r="J802" s="7" t="str">
        <f aca="false">IF(G802&gt;=0,A802,"")</f>
        <v/>
      </c>
      <c r="K802" s="7" t="n">
        <f aca="false">IF(G802&lt;0,A802,0)</f>
        <v>797</v>
      </c>
    </row>
    <row r="803" customFormat="false" ht="15" hidden="false" customHeight="false" outlineLevel="0" collapsed="false">
      <c r="A803" s="7" t="n">
        <f aca="false">A802+1</f>
        <v>798</v>
      </c>
      <c r="B803" s="7" t="n">
        <f aca="false">MAX('Giả định'!$B$9,ROUNDUP(A803/'Giả định'!$B$7,0)+'Giả định'!$B$8)</f>
        <v>81</v>
      </c>
      <c r="C803" s="25" t="n">
        <f aca="false">('Chi phí'!$C$76+'Chi phí'!$D$76*B803+'Chi phí'!$E$76*A803+'Giả định'!$B$15*('Chi phí'!$F$76+'Chi phí'!$G$76*B803+'Chi phí'!$H$76*A803))*(1+'Giả định'!$B$16)</f>
        <v>831097520</v>
      </c>
      <c r="D803" s="25" t="n">
        <f aca="false">('Chi phí'!$C$77+'Chi phí'!$D$77*B803+'Chi phí'!$E$77*A803+'Giả định'!$B$15*('Chi phí'!$F$77+'Chi phí'!$G$77*B803+'Chi phí'!$H$77*A803))*(1+'Giả định'!$B$16)</f>
        <v>974702520</v>
      </c>
      <c r="E803" s="25" t="n">
        <f aca="false">A803/'Giả định'!$B$19*'Giả định'!$B$20+A803*'Giả định'!$B$23+'Giả định'!$B$24</f>
        <v>297070588.235294</v>
      </c>
      <c r="F803" s="25" t="n">
        <f aca="false">E803-D803</f>
        <v>-677631931.764706</v>
      </c>
      <c r="G803" s="25" t="n">
        <f aca="false">E803-C803</f>
        <v>-534026931.764706</v>
      </c>
      <c r="H803" s="7" t="str">
        <f aca="false">IF(F803&gt;=0,A803,"")</f>
        <v/>
      </c>
      <c r="I803" s="7" t="n">
        <f aca="false">IF(F803&lt;0,A803,0)</f>
        <v>798</v>
      </c>
      <c r="J803" s="7" t="str">
        <f aca="false">IF(G803&gt;=0,A803,"")</f>
        <v/>
      </c>
      <c r="K803" s="7" t="n">
        <f aca="false">IF(G803&lt;0,A803,0)</f>
        <v>798</v>
      </c>
    </row>
    <row r="804" customFormat="false" ht="15" hidden="false" customHeight="false" outlineLevel="0" collapsed="false">
      <c r="A804" s="7" t="n">
        <f aca="false">A803+1</f>
        <v>799</v>
      </c>
      <c r="B804" s="7" t="n">
        <f aca="false">MAX('Giả định'!$B$9,ROUNDUP(A804/'Giả định'!$B$7,0)+'Giả định'!$B$8)</f>
        <v>81</v>
      </c>
      <c r="C804" s="25" t="n">
        <f aca="false">('Chi phí'!$C$76+'Chi phí'!$D$76*B804+'Chi phí'!$E$76*A804+'Giả định'!$B$15*('Chi phí'!$F$76+'Chi phí'!$G$76*B804+'Chi phí'!$H$76*A804))*(1+'Giả định'!$B$16)</f>
        <v>831134260</v>
      </c>
      <c r="D804" s="25" t="n">
        <f aca="false">('Chi phí'!$C$77+'Chi phí'!$D$77*B804+'Chi phí'!$E$77*A804+'Giả định'!$B$15*('Chi phí'!$F$77+'Chi phí'!$G$77*B804+'Chi phí'!$H$77*A804))*(1+'Giả định'!$B$16)</f>
        <v>974739260</v>
      </c>
      <c r="E804" s="25" t="n">
        <f aca="false">A804/'Giả định'!$B$19*'Giả định'!$B$20+A804*'Giả định'!$B$23+'Giả định'!$B$24</f>
        <v>297442857.142857</v>
      </c>
      <c r="F804" s="25" t="n">
        <f aca="false">E804-D804</f>
        <v>-677296402.857143</v>
      </c>
      <c r="G804" s="25" t="n">
        <f aca="false">E804-C804</f>
        <v>-533691402.857143</v>
      </c>
      <c r="H804" s="7" t="str">
        <f aca="false">IF(F804&gt;=0,A804,"")</f>
        <v/>
      </c>
      <c r="I804" s="7" t="n">
        <f aca="false">IF(F804&lt;0,A804,0)</f>
        <v>799</v>
      </c>
      <c r="J804" s="7" t="str">
        <f aca="false">IF(G804&gt;=0,A804,"")</f>
        <v/>
      </c>
      <c r="K804" s="7" t="n">
        <f aca="false">IF(G804&lt;0,A804,0)</f>
        <v>799</v>
      </c>
    </row>
    <row r="805" customFormat="false" ht="15" hidden="false" customHeight="false" outlineLevel="0" collapsed="false">
      <c r="A805" s="7" t="n">
        <f aca="false">A804+1</f>
        <v>800</v>
      </c>
      <c r="B805" s="7" t="n">
        <f aca="false">MAX('Giả định'!$B$9,ROUNDUP(A805/'Giả định'!$B$7,0)+'Giả định'!$B$8)</f>
        <v>81</v>
      </c>
      <c r="C805" s="25" t="n">
        <f aca="false">('Chi phí'!$C$76+'Chi phí'!$D$76*B805+'Chi phí'!$E$76*A805+'Giả định'!$B$15*('Chi phí'!$F$76+'Chi phí'!$G$76*B805+'Chi phí'!$H$76*A805))*(1+'Giả định'!$B$16)</f>
        <v>831171000</v>
      </c>
      <c r="D805" s="25" t="n">
        <f aca="false">('Chi phí'!$C$77+'Chi phí'!$D$77*B805+'Chi phí'!$E$77*A805+'Giả định'!$B$15*('Chi phí'!$F$77+'Chi phí'!$G$77*B805+'Chi phí'!$H$77*A805))*(1+'Giả định'!$B$16)</f>
        <v>974776000</v>
      </c>
      <c r="E805" s="25" t="n">
        <f aca="false">A805/'Giả định'!$B$19*'Giả định'!$B$20+A805*'Giả định'!$B$23+'Giả định'!$B$24</f>
        <v>297815126.05042</v>
      </c>
      <c r="F805" s="25" t="n">
        <f aca="false">E805-D805</f>
        <v>-676960873.94958</v>
      </c>
      <c r="G805" s="25" t="n">
        <f aca="false">E805-C805</f>
        <v>-533355873.94958</v>
      </c>
      <c r="H805" s="7" t="str">
        <f aca="false">IF(F805&gt;=0,A805,"")</f>
        <v/>
      </c>
      <c r="I805" s="7" t="n">
        <f aca="false">IF(F805&lt;0,A805,0)</f>
        <v>800</v>
      </c>
      <c r="J805" s="7" t="str">
        <f aca="false">IF(G805&gt;=0,A805,"")</f>
        <v/>
      </c>
      <c r="K805" s="7" t="n">
        <f aca="false">IF(G805&lt;0,A805,0)</f>
        <v>800</v>
      </c>
    </row>
    <row r="806" customFormat="false" ht="15" hidden="false" customHeight="false" outlineLevel="0" collapsed="false">
      <c r="A806" s="7" t="n">
        <f aca="false">A805+1</f>
        <v>801</v>
      </c>
      <c r="B806" s="7" t="n">
        <f aca="false">MAX('Giả định'!$B$9,ROUNDUP(A806/'Giả định'!$B$7,0)+'Giả định'!$B$8)</f>
        <v>82</v>
      </c>
      <c r="C806" s="25" t="n">
        <f aca="false">('Chi phí'!$C$76+'Chi phí'!$D$76*B806+'Chi phí'!$E$76*A806+'Giả định'!$B$15*('Chi phí'!$F$76+'Chi phí'!$G$76*B806+'Chi phí'!$H$76*A806))*(1+'Giả định'!$B$16)</f>
        <v>840381740</v>
      </c>
      <c r="D806" s="25" t="n">
        <f aca="false">('Chi phí'!$C$77+'Chi phí'!$D$77*B806+'Chi phí'!$E$77*A806+'Giả định'!$B$15*('Chi phí'!$F$77+'Chi phí'!$G$77*B806+'Chi phí'!$H$77*A806))*(1+'Giả định'!$B$16)</f>
        <v>983986740</v>
      </c>
      <c r="E806" s="25" t="n">
        <f aca="false">A806/'Giả định'!$B$19*'Giả định'!$B$20+A806*'Giả định'!$B$23+'Giả định'!$B$24</f>
        <v>298187394.957983</v>
      </c>
      <c r="F806" s="25" t="n">
        <f aca="false">E806-D806</f>
        <v>-685799345.042017</v>
      </c>
      <c r="G806" s="25" t="n">
        <f aca="false">E806-C806</f>
        <v>-542194345.042017</v>
      </c>
      <c r="H806" s="7" t="str">
        <f aca="false">IF(F806&gt;=0,A806,"")</f>
        <v/>
      </c>
      <c r="I806" s="7" t="n">
        <f aca="false">IF(F806&lt;0,A806,0)</f>
        <v>801</v>
      </c>
      <c r="J806" s="7" t="str">
        <f aca="false">IF(G806&gt;=0,A806,"")</f>
        <v/>
      </c>
      <c r="K806" s="7" t="n">
        <f aca="false">IF(G806&lt;0,A806,0)</f>
        <v>801</v>
      </c>
    </row>
    <row r="807" customFormat="false" ht="15" hidden="false" customHeight="false" outlineLevel="0" collapsed="false">
      <c r="A807" s="7" t="n">
        <f aca="false">A806+1</f>
        <v>802</v>
      </c>
      <c r="B807" s="7" t="n">
        <f aca="false">MAX('Giả định'!$B$9,ROUNDUP(A807/'Giả định'!$B$7,0)+'Giả định'!$B$8)</f>
        <v>82</v>
      </c>
      <c r="C807" s="25" t="n">
        <f aca="false">('Chi phí'!$C$76+'Chi phí'!$D$76*B807+'Chi phí'!$E$76*A807+'Giả định'!$B$15*('Chi phí'!$F$76+'Chi phí'!$G$76*B807+'Chi phí'!$H$76*A807))*(1+'Giả định'!$B$16)</f>
        <v>840418480</v>
      </c>
      <c r="D807" s="25" t="n">
        <f aca="false">('Chi phí'!$C$77+'Chi phí'!$D$77*B807+'Chi phí'!$E$77*A807+'Giả định'!$B$15*('Chi phí'!$F$77+'Chi phí'!$G$77*B807+'Chi phí'!$H$77*A807))*(1+'Giả định'!$B$16)</f>
        <v>984023480</v>
      </c>
      <c r="E807" s="25" t="n">
        <f aca="false">A807/'Giả định'!$B$19*'Giả định'!$B$20+A807*'Giả định'!$B$23+'Giả định'!$B$24</f>
        <v>298559663.865546</v>
      </c>
      <c r="F807" s="25" t="n">
        <f aca="false">E807-D807</f>
        <v>-685463816.134454</v>
      </c>
      <c r="G807" s="25" t="n">
        <f aca="false">E807-C807</f>
        <v>-541858816.134454</v>
      </c>
      <c r="H807" s="7" t="str">
        <f aca="false">IF(F807&gt;=0,A807,"")</f>
        <v/>
      </c>
      <c r="I807" s="7" t="n">
        <f aca="false">IF(F807&lt;0,A807,0)</f>
        <v>802</v>
      </c>
      <c r="J807" s="7" t="str">
        <f aca="false">IF(G807&gt;=0,A807,"")</f>
        <v/>
      </c>
      <c r="K807" s="7" t="n">
        <f aca="false">IF(G807&lt;0,A807,0)</f>
        <v>802</v>
      </c>
    </row>
    <row r="808" customFormat="false" ht="15" hidden="false" customHeight="false" outlineLevel="0" collapsed="false">
      <c r="A808" s="7" t="n">
        <f aca="false">A807+1</f>
        <v>803</v>
      </c>
      <c r="B808" s="7" t="n">
        <f aca="false">MAX('Giả định'!$B$9,ROUNDUP(A808/'Giả định'!$B$7,0)+'Giả định'!$B$8)</f>
        <v>82</v>
      </c>
      <c r="C808" s="25" t="n">
        <f aca="false">('Chi phí'!$C$76+'Chi phí'!$D$76*B808+'Chi phí'!$E$76*A808+'Giả định'!$B$15*('Chi phí'!$F$76+'Chi phí'!$G$76*B808+'Chi phí'!$H$76*A808))*(1+'Giả định'!$B$16)</f>
        <v>840455220</v>
      </c>
      <c r="D808" s="25" t="n">
        <f aca="false">('Chi phí'!$C$77+'Chi phí'!$D$77*B808+'Chi phí'!$E$77*A808+'Giả định'!$B$15*('Chi phí'!$F$77+'Chi phí'!$G$77*B808+'Chi phí'!$H$77*A808))*(1+'Giả định'!$B$16)</f>
        <v>984060220</v>
      </c>
      <c r="E808" s="25" t="n">
        <f aca="false">A808/'Giả định'!$B$19*'Giả định'!$B$20+A808*'Giả định'!$B$23+'Giả định'!$B$24</f>
        <v>298931932.773109</v>
      </c>
      <c r="F808" s="25" t="n">
        <f aca="false">E808-D808</f>
        <v>-685128287.226891</v>
      </c>
      <c r="G808" s="25" t="n">
        <f aca="false">E808-C808</f>
        <v>-541523287.226891</v>
      </c>
      <c r="H808" s="7" t="str">
        <f aca="false">IF(F808&gt;=0,A808,"")</f>
        <v/>
      </c>
      <c r="I808" s="7" t="n">
        <f aca="false">IF(F808&lt;0,A808,0)</f>
        <v>803</v>
      </c>
      <c r="J808" s="7" t="str">
        <f aca="false">IF(G808&gt;=0,A808,"")</f>
        <v/>
      </c>
      <c r="K808" s="7" t="n">
        <f aca="false">IF(G808&lt;0,A808,0)</f>
        <v>803</v>
      </c>
    </row>
    <row r="809" customFormat="false" ht="15" hidden="false" customHeight="false" outlineLevel="0" collapsed="false">
      <c r="A809" s="7" t="n">
        <f aca="false">A808+1</f>
        <v>804</v>
      </c>
      <c r="B809" s="7" t="n">
        <f aca="false">MAX('Giả định'!$B$9,ROUNDUP(A809/'Giả định'!$B$7,0)+'Giả định'!$B$8)</f>
        <v>82</v>
      </c>
      <c r="C809" s="25" t="n">
        <f aca="false">('Chi phí'!$C$76+'Chi phí'!$D$76*B809+'Chi phí'!$E$76*A809+'Giả định'!$B$15*('Chi phí'!$F$76+'Chi phí'!$G$76*B809+'Chi phí'!$H$76*A809))*(1+'Giả định'!$B$16)</f>
        <v>840491960</v>
      </c>
      <c r="D809" s="25" t="n">
        <f aca="false">('Chi phí'!$C$77+'Chi phí'!$D$77*B809+'Chi phí'!$E$77*A809+'Giả định'!$B$15*('Chi phí'!$F$77+'Chi phí'!$G$77*B809+'Chi phí'!$H$77*A809))*(1+'Giả định'!$B$16)</f>
        <v>984096960</v>
      </c>
      <c r="E809" s="25" t="n">
        <f aca="false">A809/'Giả định'!$B$19*'Giả định'!$B$20+A809*'Giả định'!$B$23+'Giả định'!$B$24</f>
        <v>299304201.680672</v>
      </c>
      <c r="F809" s="25" t="n">
        <f aca="false">E809-D809</f>
        <v>-684792758.319328</v>
      </c>
      <c r="G809" s="25" t="n">
        <f aca="false">E809-C809</f>
        <v>-541187758.319328</v>
      </c>
      <c r="H809" s="7" t="str">
        <f aca="false">IF(F809&gt;=0,A809,"")</f>
        <v/>
      </c>
      <c r="I809" s="7" t="n">
        <f aca="false">IF(F809&lt;0,A809,0)</f>
        <v>804</v>
      </c>
      <c r="J809" s="7" t="str">
        <f aca="false">IF(G809&gt;=0,A809,"")</f>
        <v/>
      </c>
      <c r="K809" s="7" t="n">
        <f aca="false">IF(G809&lt;0,A809,0)</f>
        <v>804</v>
      </c>
    </row>
    <row r="810" customFormat="false" ht="15" hidden="false" customHeight="false" outlineLevel="0" collapsed="false">
      <c r="A810" s="7" t="n">
        <f aca="false">A809+1</f>
        <v>805</v>
      </c>
      <c r="B810" s="7" t="n">
        <f aca="false">MAX('Giả định'!$B$9,ROUNDUP(A810/'Giả định'!$B$7,0)+'Giả định'!$B$8)</f>
        <v>82</v>
      </c>
      <c r="C810" s="25" t="n">
        <f aca="false">('Chi phí'!$C$76+'Chi phí'!$D$76*B810+'Chi phí'!$E$76*A810+'Giả định'!$B$15*('Chi phí'!$F$76+'Chi phí'!$G$76*B810+'Chi phí'!$H$76*A810))*(1+'Giả định'!$B$16)</f>
        <v>840528700</v>
      </c>
      <c r="D810" s="25" t="n">
        <f aca="false">('Chi phí'!$C$77+'Chi phí'!$D$77*B810+'Chi phí'!$E$77*A810+'Giả định'!$B$15*('Chi phí'!$F$77+'Chi phí'!$G$77*B810+'Chi phí'!$H$77*A810))*(1+'Giả định'!$B$16)</f>
        <v>984133700</v>
      </c>
      <c r="E810" s="25" t="n">
        <f aca="false">A810/'Giả định'!$B$19*'Giả định'!$B$20+A810*'Giả định'!$B$23+'Giả định'!$B$24</f>
        <v>299676470.588235</v>
      </c>
      <c r="F810" s="25" t="n">
        <f aca="false">E810-D810</f>
        <v>-684457229.411765</v>
      </c>
      <c r="G810" s="25" t="n">
        <f aca="false">E810-C810</f>
        <v>-540852229.411765</v>
      </c>
      <c r="H810" s="7" t="str">
        <f aca="false">IF(F810&gt;=0,A810,"")</f>
        <v/>
      </c>
      <c r="I810" s="7" t="n">
        <f aca="false">IF(F810&lt;0,A810,0)</f>
        <v>805</v>
      </c>
      <c r="J810" s="7" t="str">
        <f aca="false">IF(G810&gt;=0,A810,"")</f>
        <v/>
      </c>
      <c r="K810" s="7" t="n">
        <f aca="false">IF(G810&lt;0,A810,0)</f>
        <v>805</v>
      </c>
    </row>
    <row r="811" customFormat="false" ht="15" hidden="false" customHeight="false" outlineLevel="0" collapsed="false">
      <c r="A811" s="7" t="n">
        <f aca="false">A810+1</f>
        <v>806</v>
      </c>
      <c r="B811" s="7" t="n">
        <f aca="false">MAX('Giả định'!$B$9,ROUNDUP(A811/'Giả định'!$B$7,0)+'Giả định'!$B$8)</f>
        <v>82</v>
      </c>
      <c r="C811" s="25" t="n">
        <f aca="false">('Chi phí'!$C$76+'Chi phí'!$D$76*B811+'Chi phí'!$E$76*A811+'Giả định'!$B$15*('Chi phí'!$F$76+'Chi phí'!$G$76*B811+'Chi phí'!$H$76*A811))*(1+'Giả định'!$B$16)</f>
        <v>840565440</v>
      </c>
      <c r="D811" s="25" t="n">
        <f aca="false">('Chi phí'!$C$77+'Chi phí'!$D$77*B811+'Chi phí'!$E$77*A811+'Giả định'!$B$15*('Chi phí'!$F$77+'Chi phí'!$G$77*B811+'Chi phí'!$H$77*A811))*(1+'Giả định'!$B$16)</f>
        <v>984170440</v>
      </c>
      <c r="E811" s="25" t="n">
        <f aca="false">A811/'Giả định'!$B$19*'Giả định'!$B$20+A811*'Giả định'!$B$23+'Giả định'!$B$24</f>
        <v>300048739.495798</v>
      </c>
      <c r="F811" s="25" t="n">
        <f aca="false">E811-D811</f>
        <v>-684121700.504202</v>
      </c>
      <c r="G811" s="25" t="n">
        <f aca="false">E811-C811</f>
        <v>-540516700.504202</v>
      </c>
      <c r="H811" s="7" t="str">
        <f aca="false">IF(F811&gt;=0,A811,"")</f>
        <v/>
      </c>
      <c r="I811" s="7" t="n">
        <f aca="false">IF(F811&lt;0,A811,0)</f>
        <v>806</v>
      </c>
      <c r="J811" s="7" t="str">
        <f aca="false">IF(G811&gt;=0,A811,"")</f>
        <v/>
      </c>
      <c r="K811" s="7" t="n">
        <f aca="false">IF(G811&lt;0,A811,0)</f>
        <v>806</v>
      </c>
    </row>
    <row r="812" customFormat="false" ht="15" hidden="false" customHeight="false" outlineLevel="0" collapsed="false">
      <c r="A812" s="7" t="n">
        <f aca="false">A811+1</f>
        <v>807</v>
      </c>
      <c r="B812" s="7" t="n">
        <f aca="false">MAX('Giả định'!$B$9,ROUNDUP(A812/'Giả định'!$B$7,0)+'Giả định'!$B$8)</f>
        <v>82</v>
      </c>
      <c r="C812" s="25" t="n">
        <f aca="false">('Chi phí'!$C$76+'Chi phí'!$D$76*B812+'Chi phí'!$E$76*A812+'Giả định'!$B$15*('Chi phí'!$F$76+'Chi phí'!$G$76*B812+'Chi phí'!$H$76*A812))*(1+'Giả định'!$B$16)</f>
        <v>840602180</v>
      </c>
      <c r="D812" s="25" t="n">
        <f aca="false">('Chi phí'!$C$77+'Chi phí'!$D$77*B812+'Chi phí'!$E$77*A812+'Giả định'!$B$15*('Chi phí'!$F$77+'Chi phí'!$G$77*B812+'Chi phí'!$H$77*A812))*(1+'Giả định'!$B$16)</f>
        <v>984207180</v>
      </c>
      <c r="E812" s="25" t="n">
        <f aca="false">A812/'Giả định'!$B$19*'Giả định'!$B$20+A812*'Giả định'!$B$23+'Giả định'!$B$24</f>
        <v>300421008.403361</v>
      </c>
      <c r="F812" s="25" t="n">
        <f aca="false">E812-D812</f>
        <v>-683786171.596639</v>
      </c>
      <c r="G812" s="25" t="n">
        <f aca="false">E812-C812</f>
        <v>-540181171.596639</v>
      </c>
      <c r="H812" s="7" t="str">
        <f aca="false">IF(F812&gt;=0,A812,"")</f>
        <v/>
      </c>
      <c r="I812" s="7" t="n">
        <f aca="false">IF(F812&lt;0,A812,0)</f>
        <v>807</v>
      </c>
      <c r="J812" s="7" t="str">
        <f aca="false">IF(G812&gt;=0,A812,"")</f>
        <v/>
      </c>
      <c r="K812" s="7" t="n">
        <f aca="false">IF(G812&lt;0,A812,0)</f>
        <v>807</v>
      </c>
    </row>
    <row r="813" customFormat="false" ht="15" hidden="false" customHeight="false" outlineLevel="0" collapsed="false">
      <c r="A813" s="7" t="n">
        <f aca="false">A812+1</f>
        <v>808</v>
      </c>
      <c r="B813" s="7" t="n">
        <f aca="false">MAX('Giả định'!$B$9,ROUNDUP(A813/'Giả định'!$B$7,0)+'Giả định'!$B$8)</f>
        <v>82</v>
      </c>
      <c r="C813" s="25" t="n">
        <f aca="false">('Chi phí'!$C$76+'Chi phí'!$D$76*B813+'Chi phí'!$E$76*A813+'Giả định'!$B$15*('Chi phí'!$F$76+'Chi phí'!$G$76*B813+'Chi phí'!$H$76*A813))*(1+'Giả định'!$B$16)</f>
        <v>840638920</v>
      </c>
      <c r="D813" s="25" t="n">
        <f aca="false">('Chi phí'!$C$77+'Chi phí'!$D$77*B813+'Chi phí'!$E$77*A813+'Giả định'!$B$15*('Chi phí'!$F$77+'Chi phí'!$G$77*B813+'Chi phí'!$H$77*A813))*(1+'Giả định'!$B$16)</f>
        <v>984243920</v>
      </c>
      <c r="E813" s="25" t="n">
        <f aca="false">A813/'Giả định'!$B$19*'Giả định'!$B$20+A813*'Giả định'!$B$23+'Giả định'!$B$24</f>
        <v>300793277.310924</v>
      </c>
      <c r="F813" s="25" t="n">
        <f aca="false">E813-D813</f>
        <v>-683450642.689076</v>
      </c>
      <c r="G813" s="25" t="n">
        <f aca="false">E813-C813</f>
        <v>-539845642.689076</v>
      </c>
      <c r="H813" s="7" t="str">
        <f aca="false">IF(F813&gt;=0,A813,"")</f>
        <v/>
      </c>
      <c r="I813" s="7" t="n">
        <f aca="false">IF(F813&lt;0,A813,0)</f>
        <v>808</v>
      </c>
      <c r="J813" s="7" t="str">
        <f aca="false">IF(G813&gt;=0,A813,"")</f>
        <v/>
      </c>
      <c r="K813" s="7" t="n">
        <f aca="false">IF(G813&lt;0,A813,0)</f>
        <v>808</v>
      </c>
    </row>
    <row r="814" customFormat="false" ht="15" hidden="false" customHeight="false" outlineLevel="0" collapsed="false">
      <c r="A814" s="7" t="n">
        <f aca="false">A813+1</f>
        <v>809</v>
      </c>
      <c r="B814" s="7" t="n">
        <f aca="false">MAX('Giả định'!$B$9,ROUNDUP(A814/'Giả định'!$B$7,0)+'Giả định'!$B$8)</f>
        <v>82</v>
      </c>
      <c r="C814" s="25" t="n">
        <f aca="false">('Chi phí'!$C$76+'Chi phí'!$D$76*B814+'Chi phí'!$E$76*A814+'Giả định'!$B$15*('Chi phí'!$F$76+'Chi phí'!$G$76*B814+'Chi phí'!$H$76*A814))*(1+'Giả định'!$B$16)</f>
        <v>840675660</v>
      </c>
      <c r="D814" s="25" t="n">
        <f aca="false">('Chi phí'!$C$77+'Chi phí'!$D$77*B814+'Chi phí'!$E$77*A814+'Giả định'!$B$15*('Chi phí'!$F$77+'Chi phí'!$G$77*B814+'Chi phí'!$H$77*A814))*(1+'Giả định'!$B$16)</f>
        <v>984280660</v>
      </c>
      <c r="E814" s="25" t="n">
        <f aca="false">A814/'Giả định'!$B$19*'Giả định'!$B$20+A814*'Giả định'!$B$23+'Giả định'!$B$24</f>
        <v>301165546.218487</v>
      </c>
      <c r="F814" s="25" t="n">
        <f aca="false">E814-D814</f>
        <v>-683115113.781513</v>
      </c>
      <c r="G814" s="25" t="n">
        <f aca="false">E814-C814</f>
        <v>-539510113.781513</v>
      </c>
      <c r="H814" s="7" t="str">
        <f aca="false">IF(F814&gt;=0,A814,"")</f>
        <v/>
      </c>
      <c r="I814" s="7" t="n">
        <f aca="false">IF(F814&lt;0,A814,0)</f>
        <v>809</v>
      </c>
      <c r="J814" s="7" t="str">
        <f aca="false">IF(G814&gt;=0,A814,"")</f>
        <v/>
      </c>
      <c r="K814" s="7" t="n">
        <f aca="false">IF(G814&lt;0,A814,0)</f>
        <v>809</v>
      </c>
    </row>
    <row r="815" customFormat="false" ht="15" hidden="false" customHeight="false" outlineLevel="0" collapsed="false">
      <c r="A815" s="7" t="n">
        <f aca="false">A814+1</f>
        <v>810</v>
      </c>
      <c r="B815" s="7" t="n">
        <f aca="false">MAX('Giả định'!$B$9,ROUNDUP(A815/'Giả định'!$B$7,0)+'Giả định'!$B$8)</f>
        <v>82</v>
      </c>
      <c r="C815" s="25" t="n">
        <f aca="false">('Chi phí'!$C$76+'Chi phí'!$D$76*B815+'Chi phí'!$E$76*A815+'Giả định'!$B$15*('Chi phí'!$F$76+'Chi phí'!$G$76*B815+'Chi phí'!$H$76*A815))*(1+'Giả định'!$B$16)</f>
        <v>840712400</v>
      </c>
      <c r="D815" s="25" t="n">
        <f aca="false">('Chi phí'!$C$77+'Chi phí'!$D$77*B815+'Chi phí'!$E$77*A815+'Giả định'!$B$15*('Chi phí'!$F$77+'Chi phí'!$G$77*B815+'Chi phí'!$H$77*A815))*(1+'Giả định'!$B$16)</f>
        <v>984317400</v>
      </c>
      <c r="E815" s="25" t="n">
        <f aca="false">A815/'Giả định'!$B$19*'Giả định'!$B$20+A815*'Giả định'!$B$23+'Giả định'!$B$24</f>
        <v>301537815.12605</v>
      </c>
      <c r="F815" s="25" t="n">
        <f aca="false">E815-D815</f>
        <v>-682779584.87395</v>
      </c>
      <c r="G815" s="25" t="n">
        <f aca="false">E815-C815</f>
        <v>-539174584.87395</v>
      </c>
      <c r="H815" s="7" t="str">
        <f aca="false">IF(F815&gt;=0,A815,"")</f>
        <v/>
      </c>
      <c r="I815" s="7" t="n">
        <f aca="false">IF(F815&lt;0,A815,0)</f>
        <v>810</v>
      </c>
      <c r="J815" s="7" t="str">
        <f aca="false">IF(G815&gt;=0,A815,"")</f>
        <v/>
      </c>
      <c r="K815" s="7" t="n">
        <f aca="false">IF(G815&lt;0,A815,0)</f>
        <v>810</v>
      </c>
    </row>
    <row r="816" customFormat="false" ht="15" hidden="false" customHeight="false" outlineLevel="0" collapsed="false">
      <c r="A816" s="7" t="n">
        <f aca="false">A815+1</f>
        <v>811</v>
      </c>
      <c r="B816" s="7" t="n">
        <f aca="false">MAX('Giả định'!$B$9,ROUNDUP(A816/'Giả định'!$B$7,0)+'Giả định'!$B$8)</f>
        <v>83</v>
      </c>
      <c r="C816" s="25" t="n">
        <f aca="false">('Chi phí'!$C$76+'Chi phí'!$D$76*B816+'Chi phí'!$E$76*A816+'Giả định'!$B$15*('Chi phí'!$F$76+'Chi phí'!$G$76*B816+'Chi phí'!$H$76*A816))*(1+'Giả định'!$B$16)</f>
        <v>849923140</v>
      </c>
      <c r="D816" s="25" t="n">
        <f aca="false">('Chi phí'!$C$77+'Chi phí'!$D$77*B816+'Chi phí'!$E$77*A816+'Giả định'!$B$15*('Chi phí'!$F$77+'Chi phí'!$G$77*B816+'Chi phí'!$H$77*A816))*(1+'Giả định'!$B$16)</f>
        <v>993528140</v>
      </c>
      <c r="E816" s="25" t="n">
        <f aca="false">A816/'Giả định'!$B$19*'Giả định'!$B$20+A816*'Giả định'!$B$23+'Giả định'!$B$24</f>
        <v>301910084.033614</v>
      </c>
      <c r="F816" s="25" t="n">
        <f aca="false">E816-D816</f>
        <v>-691618055.966387</v>
      </c>
      <c r="G816" s="25" t="n">
        <f aca="false">E816-C816</f>
        <v>-548013055.966387</v>
      </c>
      <c r="H816" s="7" t="str">
        <f aca="false">IF(F816&gt;=0,A816,"")</f>
        <v/>
      </c>
      <c r="I816" s="7" t="n">
        <f aca="false">IF(F816&lt;0,A816,0)</f>
        <v>811</v>
      </c>
      <c r="J816" s="7" t="str">
        <f aca="false">IF(G816&gt;=0,A816,"")</f>
        <v/>
      </c>
      <c r="K816" s="7" t="n">
        <f aca="false">IF(G816&lt;0,A816,0)</f>
        <v>811</v>
      </c>
    </row>
    <row r="817" customFormat="false" ht="15" hidden="false" customHeight="false" outlineLevel="0" collapsed="false">
      <c r="A817" s="7" t="n">
        <f aca="false">A816+1</f>
        <v>812</v>
      </c>
      <c r="B817" s="7" t="n">
        <f aca="false">MAX('Giả định'!$B$9,ROUNDUP(A817/'Giả định'!$B$7,0)+'Giả định'!$B$8)</f>
        <v>83</v>
      </c>
      <c r="C817" s="25" t="n">
        <f aca="false">('Chi phí'!$C$76+'Chi phí'!$D$76*B817+'Chi phí'!$E$76*A817+'Giả định'!$B$15*('Chi phí'!$F$76+'Chi phí'!$G$76*B817+'Chi phí'!$H$76*A817))*(1+'Giả định'!$B$16)</f>
        <v>849959880</v>
      </c>
      <c r="D817" s="25" t="n">
        <f aca="false">('Chi phí'!$C$77+'Chi phí'!$D$77*B817+'Chi phí'!$E$77*A817+'Giả định'!$B$15*('Chi phí'!$F$77+'Chi phí'!$G$77*B817+'Chi phí'!$H$77*A817))*(1+'Giả định'!$B$16)</f>
        <v>993564880</v>
      </c>
      <c r="E817" s="25" t="n">
        <f aca="false">A817/'Giả định'!$B$19*'Giả định'!$B$20+A817*'Giả định'!$B$23+'Giả định'!$B$24</f>
        <v>302282352.941177</v>
      </c>
      <c r="F817" s="25" t="n">
        <f aca="false">E817-D817</f>
        <v>-691282527.058824</v>
      </c>
      <c r="G817" s="25" t="n">
        <f aca="false">E817-C817</f>
        <v>-547677527.058824</v>
      </c>
      <c r="H817" s="7" t="str">
        <f aca="false">IF(F817&gt;=0,A817,"")</f>
        <v/>
      </c>
      <c r="I817" s="7" t="n">
        <f aca="false">IF(F817&lt;0,A817,0)</f>
        <v>812</v>
      </c>
      <c r="J817" s="7" t="str">
        <f aca="false">IF(G817&gt;=0,A817,"")</f>
        <v/>
      </c>
      <c r="K817" s="7" t="n">
        <f aca="false">IF(G817&lt;0,A817,0)</f>
        <v>812</v>
      </c>
    </row>
    <row r="818" customFormat="false" ht="15" hidden="false" customHeight="false" outlineLevel="0" collapsed="false">
      <c r="A818" s="7" t="n">
        <f aca="false">A817+1</f>
        <v>813</v>
      </c>
      <c r="B818" s="7" t="n">
        <f aca="false">MAX('Giả định'!$B$9,ROUNDUP(A818/'Giả định'!$B$7,0)+'Giả định'!$B$8)</f>
        <v>83</v>
      </c>
      <c r="C818" s="25" t="n">
        <f aca="false">('Chi phí'!$C$76+'Chi phí'!$D$76*B818+'Chi phí'!$E$76*A818+'Giả định'!$B$15*('Chi phí'!$F$76+'Chi phí'!$G$76*B818+'Chi phí'!$H$76*A818))*(1+'Giả định'!$B$16)</f>
        <v>849996620</v>
      </c>
      <c r="D818" s="25" t="n">
        <f aca="false">('Chi phí'!$C$77+'Chi phí'!$D$77*B818+'Chi phí'!$E$77*A818+'Giả định'!$B$15*('Chi phí'!$F$77+'Chi phí'!$G$77*B818+'Chi phí'!$H$77*A818))*(1+'Giả định'!$B$16)</f>
        <v>993601620</v>
      </c>
      <c r="E818" s="25" t="n">
        <f aca="false">A818/'Giả định'!$B$19*'Giả định'!$B$20+A818*'Giả định'!$B$23+'Giả định'!$B$24</f>
        <v>302654621.84874</v>
      </c>
      <c r="F818" s="25" t="n">
        <f aca="false">E818-D818</f>
        <v>-690946998.151261</v>
      </c>
      <c r="G818" s="25" t="n">
        <f aca="false">E818-C818</f>
        <v>-547341998.151261</v>
      </c>
      <c r="H818" s="7" t="str">
        <f aca="false">IF(F818&gt;=0,A818,"")</f>
        <v/>
      </c>
      <c r="I818" s="7" t="n">
        <f aca="false">IF(F818&lt;0,A818,0)</f>
        <v>813</v>
      </c>
      <c r="J818" s="7" t="str">
        <f aca="false">IF(G818&gt;=0,A818,"")</f>
        <v/>
      </c>
      <c r="K818" s="7" t="n">
        <f aca="false">IF(G818&lt;0,A818,0)</f>
        <v>813</v>
      </c>
    </row>
    <row r="819" customFormat="false" ht="15" hidden="false" customHeight="false" outlineLevel="0" collapsed="false">
      <c r="A819" s="7" t="n">
        <f aca="false">A818+1</f>
        <v>814</v>
      </c>
      <c r="B819" s="7" t="n">
        <f aca="false">MAX('Giả định'!$B$9,ROUNDUP(A819/'Giả định'!$B$7,0)+'Giả định'!$B$8)</f>
        <v>83</v>
      </c>
      <c r="C819" s="25" t="n">
        <f aca="false">('Chi phí'!$C$76+'Chi phí'!$D$76*B819+'Chi phí'!$E$76*A819+'Giả định'!$B$15*('Chi phí'!$F$76+'Chi phí'!$G$76*B819+'Chi phí'!$H$76*A819))*(1+'Giả định'!$B$16)</f>
        <v>850033360</v>
      </c>
      <c r="D819" s="25" t="n">
        <f aca="false">('Chi phí'!$C$77+'Chi phí'!$D$77*B819+'Chi phí'!$E$77*A819+'Giả định'!$B$15*('Chi phí'!$F$77+'Chi phí'!$G$77*B819+'Chi phí'!$H$77*A819))*(1+'Giả định'!$B$16)</f>
        <v>993638360</v>
      </c>
      <c r="E819" s="25" t="n">
        <f aca="false">A819/'Giả định'!$B$19*'Giả định'!$B$20+A819*'Giả định'!$B$23+'Giả định'!$B$24</f>
        <v>303026890.756303</v>
      </c>
      <c r="F819" s="25" t="n">
        <f aca="false">E819-D819</f>
        <v>-690611469.243698</v>
      </c>
      <c r="G819" s="25" t="n">
        <f aca="false">E819-C819</f>
        <v>-547006469.243698</v>
      </c>
      <c r="H819" s="7" t="str">
        <f aca="false">IF(F819&gt;=0,A819,"")</f>
        <v/>
      </c>
      <c r="I819" s="7" t="n">
        <f aca="false">IF(F819&lt;0,A819,0)</f>
        <v>814</v>
      </c>
      <c r="J819" s="7" t="str">
        <f aca="false">IF(G819&gt;=0,A819,"")</f>
        <v/>
      </c>
      <c r="K819" s="7" t="n">
        <f aca="false">IF(G819&lt;0,A819,0)</f>
        <v>814</v>
      </c>
    </row>
    <row r="820" customFormat="false" ht="15" hidden="false" customHeight="false" outlineLevel="0" collapsed="false">
      <c r="A820" s="7" t="n">
        <f aca="false">A819+1</f>
        <v>815</v>
      </c>
      <c r="B820" s="7" t="n">
        <f aca="false">MAX('Giả định'!$B$9,ROUNDUP(A820/'Giả định'!$B$7,0)+'Giả định'!$B$8)</f>
        <v>83</v>
      </c>
      <c r="C820" s="25" t="n">
        <f aca="false">('Chi phí'!$C$76+'Chi phí'!$D$76*B820+'Chi phí'!$E$76*A820+'Giả định'!$B$15*('Chi phí'!$F$76+'Chi phí'!$G$76*B820+'Chi phí'!$H$76*A820))*(1+'Giả định'!$B$16)</f>
        <v>850070100</v>
      </c>
      <c r="D820" s="25" t="n">
        <f aca="false">('Chi phí'!$C$77+'Chi phí'!$D$77*B820+'Chi phí'!$E$77*A820+'Giả định'!$B$15*('Chi phí'!$F$77+'Chi phí'!$G$77*B820+'Chi phí'!$H$77*A820))*(1+'Giả định'!$B$16)</f>
        <v>993675100</v>
      </c>
      <c r="E820" s="25" t="n">
        <f aca="false">A820/'Giả định'!$B$19*'Giả định'!$B$20+A820*'Giả định'!$B$23+'Giả định'!$B$24</f>
        <v>303399159.663866</v>
      </c>
      <c r="F820" s="25" t="n">
        <f aca="false">E820-D820</f>
        <v>-690275940.336135</v>
      </c>
      <c r="G820" s="25" t="n">
        <f aca="false">E820-C820</f>
        <v>-546670940.336135</v>
      </c>
      <c r="H820" s="7" t="str">
        <f aca="false">IF(F820&gt;=0,A820,"")</f>
        <v/>
      </c>
      <c r="I820" s="7" t="n">
        <f aca="false">IF(F820&lt;0,A820,0)</f>
        <v>815</v>
      </c>
      <c r="J820" s="7" t="str">
        <f aca="false">IF(G820&gt;=0,A820,"")</f>
        <v/>
      </c>
      <c r="K820" s="7" t="n">
        <f aca="false">IF(G820&lt;0,A820,0)</f>
        <v>815</v>
      </c>
    </row>
    <row r="821" customFormat="false" ht="15" hidden="false" customHeight="false" outlineLevel="0" collapsed="false">
      <c r="A821" s="7" t="n">
        <f aca="false">A820+1</f>
        <v>816</v>
      </c>
      <c r="B821" s="7" t="n">
        <f aca="false">MAX('Giả định'!$B$9,ROUNDUP(A821/'Giả định'!$B$7,0)+'Giả định'!$B$8)</f>
        <v>83</v>
      </c>
      <c r="C821" s="25" t="n">
        <f aca="false">('Chi phí'!$C$76+'Chi phí'!$D$76*B821+'Chi phí'!$E$76*A821+'Giả định'!$B$15*('Chi phí'!$F$76+'Chi phí'!$G$76*B821+'Chi phí'!$H$76*A821))*(1+'Giả định'!$B$16)</f>
        <v>850106840</v>
      </c>
      <c r="D821" s="25" t="n">
        <f aca="false">('Chi phí'!$C$77+'Chi phí'!$D$77*B821+'Chi phí'!$E$77*A821+'Giả định'!$B$15*('Chi phí'!$F$77+'Chi phí'!$G$77*B821+'Chi phí'!$H$77*A821))*(1+'Giả định'!$B$16)</f>
        <v>993711840</v>
      </c>
      <c r="E821" s="25" t="n">
        <f aca="false">A821/'Giả định'!$B$19*'Giả định'!$B$20+A821*'Giả định'!$B$23+'Giả định'!$B$24</f>
        <v>303771428.571429</v>
      </c>
      <c r="F821" s="25" t="n">
        <f aca="false">E821-D821</f>
        <v>-689940411.428572</v>
      </c>
      <c r="G821" s="25" t="n">
        <f aca="false">E821-C821</f>
        <v>-546335411.428572</v>
      </c>
      <c r="H821" s="7" t="str">
        <f aca="false">IF(F821&gt;=0,A821,"")</f>
        <v/>
      </c>
      <c r="I821" s="7" t="n">
        <f aca="false">IF(F821&lt;0,A821,0)</f>
        <v>816</v>
      </c>
      <c r="J821" s="7" t="str">
        <f aca="false">IF(G821&gt;=0,A821,"")</f>
        <v/>
      </c>
      <c r="K821" s="7" t="n">
        <f aca="false">IF(G821&lt;0,A821,0)</f>
        <v>816</v>
      </c>
    </row>
    <row r="822" customFormat="false" ht="15" hidden="false" customHeight="false" outlineLevel="0" collapsed="false">
      <c r="A822" s="7" t="n">
        <f aca="false">A821+1</f>
        <v>817</v>
      </c>
      <c r="B822" s="7" t="n">
        <f aca="false">MAX('Giả định'!$B$9,ROUNDUP(A822/'Giả định'!$B$7,0)+'Giả định'!$B$8)</f>
        <v>83</v>
      </c>
      <c r="C822" s="25" t="n">
        <f aca="false">('Chi phí'!$C$76+'Chi phí'!$D$76*B822+'Chi phí'!$E$76*A822+'Giả định'!$B$15*('Chi phí'!$F$76+'Chi phí'!$G$76*B822+'Chi phí'!$H$76*A822))*(1+'Giả định'!$B$16)</f>
        <v>850143580</v>
      </c>
      <c r="D822" s="25" t="n">
        <f aca="false">('Chi phí'!$C$77+'Chi phí'!$D$77*B822+'Chi phí'!$E$77*A822+'Giả định'!$B$15*('Chi phí'!$F$77+'Chi phí'!$G$77*B822+'Chi phí'!$H$77*A822))*(1+'Giả định'!$B$16)</f>
        <v>993748580</v>
      </c>
      <c r="E822" s="25" t="n">
        <f aca="false">A822/'Giả định'!$B$19*'Giả định'!$B$20+A822*'Giả định'!$B$23+'Giả định'!$B$24</f>
        <v>304143697.478992</v>
      </c>
      <c r="F822" s="25" t="n">
        <f aca="false">E822-D822</f>
        <v>-689604882.521009</v>
      </c>
      <c r="G822" s="25" t="n">
        <f aca="false">E822-C822</f>
        <v>-545999882.521009</v>
      </c>
      <c r="H822" s="7" t="str">
        <f aca="false">IF(F822&gt;=0,A822,"")</f>
        <v/>
      </c>
      <c r="I822" s="7" t="n">
        <f aca="false">IF(F822&lt;0,A822,0)</f>
        <v>817</v>
      </c>
      <c r="J822" s="7" t="str">
        <f aca="false">IF(G822&gt;=0,A822,"")</f>
        <v/>
      </c>
      <c r="K822" s="7" t="n">
        <f aca="false">IF(G822&lt;0,A822,0)</f>
        <v>817</v>
      </c>
    </row>
    <row r="823" customFormat="false" ht="15" hidden="false" customHeight="false" outlineLevel="0" collapsed="false">
      <c r="A823" s="7" t="n">
        <f aca="false">A822+1</f>
        <v>818</v>
      </c>
      <c r="B823" s="7" t="n">
        <f aca="false">MAX('Giả định'!$B$9,ROUNDUP(A823/'Giả định'!$B$7,0)+'Giả định'!$B$8)</f>
        <v>83</v>
      </c>
      <c r="C823" s="25" t="n">
        <f aca="false">('Chi phí'!$C$76+'Chi phí'!$D$76*B823+'Chi phí'!$E$76*A823+'Giả định'!$B$15*('Chi phí'!$F$76+'Chi phí'!$G$76*B823+'Chi phí'!$H$76*A823))*(1+'Giả định'!$B$16)</f>
        <v>850180320</v>
      </c>
      <c r="D823" s="25" t="n">
        <f aca="false">('Chi phí'!$C$77+'Chi phí'!$D$77*B823+'Chi phí'!$E$77*A823+'Giả định'!$B$15*('Chi phí'!$F$77+'Chi phí'!$G$77*B823+'Chi phí'!$H$77*A823))*(1+'Giả định'!$B$16)</f>
        <v>993785320</v>
      </c>
      <c r="E823" s="25" t="n">
        <f aca="false">A823/'Giả định'!$B$19*'Giả định'!$B$20+A823*'Giả định'!$B$23+'Giả định'!$B$24</f>
        <v>304515966.386555</v>
      </c>
      <c r="F823" s="25" t="n">
        <f aca="false">E823-D823</f>
        <v>-689269353.613446</v>
      </c>
      <c r="G823" s="25" t="n">
        <f aca="false">E823-C823</f>
        <v>-545664353.613446</v>
      </c>
      <c r="H823" s="7" t="str">
        <f aca="false">IF(F823&gt;=0,A823,"")</f>
        <v/>
      </c>
      <c r="I823" s="7" t="n">
        <f aca="false">IF(F823&lt;0,A823,0)</f>
        <v>818</v>
      </c>
      <c r="J823" s="7" t="str">
        <f aca="false">IF(G823&gt;=0,A823,"")</f>
        <v/>
      </c>
      <c r="K823" s="7" t="n">
        <f aca="false">IF(G823&lt;0,A823,0)</f>
        <v>818</v>
      </c>
    </row>
    <row r="824" customFormat="false" ht="15" hidden="false" customHeight="false" outlineLevel="0" collapsed="false">
      <c r="A824" s="7" t="n">
        <f aca="false">A823+1</f>
        <v>819</v>
      </c>
      <c r="B824" s="7" t="n">
        <f aca="false">MAX('Giả định'!$B$9,ROUNDUP(A824/'Giả định'!$B$7,0)+'Giả định'!$B$8)</f>
        <v>83</v>
      </c>
      <c r="C824" s="25" t="n">
        <f aca="false">('Chi phí'!$C$76+'Chi phí'!$D$76*B824+'Chi phí'!$E$76*A824+'Giả định'!$B$15*('Chi phí'!$F$76+'Chi phí'!$G$76*B824+'Chi phí'!$H$76*A824))*(1+'Giả định'!$B$16)</f>
        <v>850217060</v>
      </c>
      <c r="D824" s="25" t="n">
        <f aca="false">('Chi phí'!$C$77+'Chi phí'!$D$77*B824+'Chi phí'!$E$77*A824+'Giả định'!$B$15*('Chi phí'!$F$77+'Chi phí'!$G$77*B824+'Chi phí'!$H$77*A824))*(1+'Giả định'!$B$16)</f>
        <v>993822060</v>
      </c>
      <c r="E824" s="25" t="n">
        <f aca="false">A824/'Giả định'!$B$19*'Giả định'!$B$20+A824*'Giả định'!$B$23+'Giả định'!$B$24</f>
        <v>304888235.294118</v>
      </c>
      <c r="F824" s="25" t="n">
        <f aca="false">E824-D824</f>
        <v>-688933824.705883</v>
      </c>
      <c r="G824" s="25" t="n">
        <f aca="false">E824-C824</f>
        <v>-545328824.705883</v>
      </c>
      <c r="H824" s="7" t="str">
        <f aca="false">IF(F824&gt;=0,A824,"")</f>
        <v/>
      </c>
      <c r="I824" s="7" t="n">
        <f aca="false">IF(F824&lt;0,A824,0)</f>
        <v>819</v>
      </c>
      <c r="J824" s="7" t="str">
        <f aca="false">IF(G824&gt;=0,A824,"")</f>
        <v/>
      </c>
      <c r="K824" s="7" t="n">
        <f aca="false">IF(G824&lt;0,A824,0)</f>
        <v>819</v>
      </c>
    </row>
    <row r="825" customFormat="false" ht="15" hidden="false" customHeight="false" outlineLevel="0" collapsed="false">
      <c r="A825" s="7" t="n">
        <f aca="false">A824+1</f>
        <v>820</v>
      </c>
      <c r="B825" s="7" t="n">
        <f aca="false">MAX('Giả định'!$B$9,ROUNDUP(A825/'Giả định'!$B$7,0)+'Giả định'!$B$8)</f>
        <v>83</v>
      </c>
      <c r="C825" s="25" t="n">
        <f aca="false">('Chi phí'!$C$76+'Chi phí'!$D$76*B825+'Chi phí'!$E$76*A825+'Giả định'!$B$15*('Chi phí'!$F$76+'Chi phí'!$G$76*B825+'Chi phí'!$H$76*A825))*(1+'Giả định'!$B$16)</f>
        <v>850253800</v>
      </c>
      <c r="D825" s="25" t="n">
        <f aca="false">('Chi phí'!$C$77+'Chi phí'!$D$77*B825+'Chi phí'!$E$77*A825+'Giả định'!$B$15*('Chi phí'!$F$77+'Chi phí'!$G$77*B825+'Chi phí'!$H$77*A825))*(1+'Giả định'!$B$16)</f>
        <v>993858800</v>
      </c>
      <c r="E825" s="25" t="n">
        <f aca="false">A825/'Giả định'!$B$19*'Giả định'!$B$20+A825*'Giả định'!$B$23+'Giả định'!$B$24</f>
        <v>305260504.201681</v>
      </c>
      <c r="F825" s="25" t="n">
        <f aca="false">E825-D825</f>
        <v>-688598295.79832</v>
      </c>
      <c r="G825" s="25" t="n">
        <f aca="false">E825-C825</f>
        <v>-544993295.79832</v>
      </c>
      <c r="H825" s="7" t="str">
        <f aca="false">IF(F825&gt;=0,A825,"")</f>
        <v/>
      </c>
      <c r="I825" s="7" t="n">
        <f aca="false">IF(F825&lt;0,A825,0)</f>
        <v>820</v>
      </c>
      <c r="J825" s="7" t="str">
        <f aca="false">IF(G825&gt;=0,A825,"")</f>
        <v/>
      </c>
      <c r="K825" s="7" t="n">
        <f aca="false">IF(G825&lt;0,A825,0)</f>
        <v>820</v>
      </c>
    </row>
    <row r="826" customFormat="false" ht="15" hidden="false" customHeight="false" outlineLevel="0" collapsed="false">
      <c r="A826" s="7" t="n">
        <f aca="false">A825+1</f>
        <v>821</v>
      </c>
      <c r="B826" s="7" t="n">
        <f aca="false">MAX('Giả định'!$B$9,ROUNDUP(A826/'Giả định'!$B$7,0)+'Giả định'!$B$8)</f>
        <v>84</v>
      </c>
      <c r="C826" s="25" t="n">
        <f aca="false">('Chi phí'!$C$76+'Chi phí'!$D$76*B826+'Chi phí'!$E$76*A826+'Giả định'!$B$15*('Chi phí'!$F$76+'Chi phí'!$G$76*B826+'Chi phí'!$H$76*A826))*(1+'Giả định'!$B$16)</f>
        <v>859464540</v>
      </c>
      <c r="D826" s="25" t="n">
        <f aca="false">('Chi phí'!$C$77+'Chi phí'!$D$77*B826+'Chi phí'!$E$77*A826+'Giả định'!$B$15*('Chi phí'!$F$77+'Chi phí'!$G$77*B826+'Chi phí'!$H$77*A826))*(1+'Giả định'!$B$16)</f>
        <v>1003069540</v>
      </c>
      <c r="E826" s="25" t="n">
        <f aca="false">A826/'Giả định'!$B$19*'Giả định'!$B$20+A826*'Giả định'!$B$23+'Giả định'!$B$24</f>
        <v>305632773.109244</v>
      </c>
      <c r="F826" s="25" t="n">
        <f aca="false">E826-D826</f>
        <v>-697436766.890756</v>
      </c>
      <c r="G826" s="25" t="n">
        <f aca="false">E826-C826</f>
        <v>-553831766.890756</v>
      </c>
      <c r="H826" s="7" t="str">
        <f aca="false">IF(F826&gt;=0,A826,"")</f>
        <v/>
      </c>
      <c r="I826" s="7" t="n">
        <f aca="false">IF(F826&lt;0,A826,0)</f>
        <v>821</v>
      </c>
      <c r="J826" s="7" t="str">
        <f aca="false">IF(G826&gt;=0,A826,"")</f>
        <v/>
      </c>
      <c r="K826" s="7" t="n">
        <f aca="false">IF(G826&lt;0,A826,0)</f>
        <v>821</v>
      </c>
    </row>
    <row r="827" customFormat="false" ht="15" hidden="false" customHeight="false" outlineLevel="0" collapsed="false">
      <c r="A827" s="7" t="n">
        <f aca="false">A826+1</f>
        <v>822</v>
      </c>
      <c r="B827" s="7" t="n">
        <f aca="false">MAX('Giả định'!$B$9,ROUNDUP(A827/'Giả định'!$B$7,0)+'Giả định'!$B$8)</f>
        <v>84</v>
      </c>
      <c r="C827" s="25" t="n">
        <f aca="false">('Chi phí'!$C$76+'Chi phí'!$D$76*B827+'Chi phí'!$E$76*A827+'Giả định'!$B$15*('Chi phí'!$F$76+'Chi phí'!$G$76*B827+'Chi phí'!$H$76*A827))*(1+'Giả định'!$B$16)</f>
        <v>859501280</v>
      </c>
      <c r="D827" s="25" t="n">
        <f aca="false">('Chi phí'!$C$77+'Chi phí'!$D$77*B827+'Chi phí'!$E$77*A827+'Giả định'!$B$15*('Chi phí'!$F$77+'Chi phí'!$G$77*B827+'Chi phí'!$H$77*A827))*(1+'Giả định'!$B$16)</f>
        <v>1003106280</v>
      </c>
      <c r="E827" s="25" t="n">
        <f aca="false">A827/'Giả định'!$B$19*'Giả định'!$B$20+A827*'Giả định'!$B$23+'Giả định'!$B$24</f>
        <v>306005042.016807</v>
      </c>
      <c r="F827" s="25" t="n">
        <f aca="false">E827-D827</f>
        <v>-697101237.983193</v>
      </c>
      <c r="G827" s="25" t="n">
        <f aca="false">E827-C827</f>
        <v>-553496237.983193</v>
      </c>
      <c r="H827" s="7" t="str">
        <f aca="false">IF(F827&gt;=0,A827,"")</f>
        <v/>
      </c>
      <c r="I827" s="7" t="n">
        <f aca="false">IF(F827&lt;0,A827,0)</f>
        <v>822</v>
      </c>
      <c r="J827" s="7" t="str">
        <f aca="false">IF(G827&gt;=0,A827,"")</f>
        <v/>
      </c>
      <c r="K827" s="7" t="n">
        <f aca="false">IF(G827&lt;0,A827,0)</f>
        <v>822</v>
      </c>
    </row>
    <row r="828" customFormat="false" ht="15" hidden="false" customHeight="false" outlineLevel="0" collapsed="false">
      <c r="A828" s="7" t="n">
        <f aca="false">A827+1</f>
        <v>823</v>
      </c>
      <c r="B828" s="7" t="n">
        <f aca="false">MAX('Giả định'!$B$9,ROUNDUP(A828/'Giả định'!$B$7,0)+'Giả định'!$B$8)</f>
        <v>84</v>
      </c>
      <c r="C828" s="25" t="n">
        <f aca="false">('Chi phí'!$C$76+'Chi phí'!$D$76*B828+'Chi phí'!$E$76*A828+'Giả định'!$B$15*('Chi phí'!$F$76+'Chi phí'!$G$76*B828+'Chi phí'!$H$76*A828))*(1+'Giả định'!$B$16)</f>
        <v>859538020</v>
      </c>
      <c r="D828" s="25" t="n">
        <f aca="false">('Chi phí'!$C$77+'Chi phí'!$D$77*B828+'Chi phí'!$E$77*A828+'Giả định'!$B$15*('Chi phí'!$F$77+'Chi phí'!$G$77*B828+'Chi phí'!$H$77*A828))*(1+'Giả định'!$B$16)</f>
        <v>1003143020</v>
      </c>
      <c r="E828" s="25" t="n">
        <f aca="false">A828/'Giả định'!$B$19*'Giả định'!$B$20+A828*'Giả định'!$B$23+'Giả định'!$B$24</f>
        <v>306377310.92437</v>
      </c>
      <c r="F828" s="25" t="n">
        <f aca="false">E828-D828</f>
        <v>-696765709.07563</v>
      </c>
      <c r="G828" s="25" t="n">
        <f aca="false">E828-C828</f>
        <v>-553160709.07563</v>
      </c>
      <c r="H828" s="7" t="str">
        <f aca="false">IF(F828&gt;=0,A828,"")</f>
        <v/>
      </c>
      <c r="I828" s="7" t="n">
        <f aca="false">IF(F828&lt;0,A828,0)</f>
        <v>823</v>
      </c>
      <c r="J828" s="7" t="str">
        <f aca="false">IF(G828&gt;=0,A828,"")</f>
        <v/>
      </c>
      <c r="K828" s="7" t="n">
        <f aca="false">IF(G828&lt;0,A828,0)</f>
        <v>823</v>
      </c>
    </row>
    <row r="829" customFormat="false" ht="15" hidden="false" customHeight="false" outlineLevel="0" collapsed="false">
      <c r="A829" s="7" t="n">
        <f aca="false">A828+1</f>
        <v>824</v>
      </c>
      <c r="B829" s="7" t="n">
        <f aca="false">MAX('Giả định'!$B$9,ROUNDUP(A829/'Giả định'!$B$7,0)+'Giả định'!$B$8)</f>
        <v>84</v>
      </c>
      <c r="C829" s="25" t="n">
        <f aca="false">('Chi phí'!$C$76+'Chi phí'!$D$76*B829+'Chi phí'!$E$76*A829+'Giả định'!$B$15*('Chi phí'!$F$76+'Chi phí'!$G$76*B829+'Chi phí'!$H$76*A829))*(1+'Giả định'!$B$16)</f>
        <v>859574760</v>
      </c>
      <c r="D829" s="25" t="n">
        <f aca="false">('Chi phí'!$C$77+'Chi phí'!$D$77*B829+'Chi phí'!$E$77*A829+'Giả định'!$B$15*('Chi phí'!$F$77+'Chi phí'!$G$77*B829+'Chi phí'!$H$77*A829))*(1+'Giả định'!$B$16)</f>
        <v>1003179760</v>
      </c>
      <c r="E829" s="25" t="n">
        <f aca="false">A829/'Giả định'!$B$19*'Giả định'!$B$20+A829*'Giả định'!$B$23+'Giả định'!$B$24</f>
        <v>306749579.831933</v>
      </c>
      <c r="F829" s="25" t="n">
        <f aca="false">E829-D829</f>
        <v>-696430180.168067</v>
      </c>
      <c r="G829" s="25" t="n">
        <f aca="false">E829-C829</f>
        <v>-552825180.168067</v>
      </c>
      <c r="H829" s="7" t="str">
        <f aca="false">IF(F829&gt;=0,A829,"")</f>
        <v/>
      </c>
      <c r="I829" s="7" t="n">
        <f aca="false">IF(F829&lt;0,A829,0)</f>
        <v>824</v>
      </c>
      <c r="J829" s="7" t="str">
        <f aca="false">IF(G829&gt;=0,A829,"")</f>
        <v/>
      </c>
      <c r="K829" s="7" t="n">
        <f aca="false">IF(G829&lt;0,A829,0)</f>
        <v>824</v>
      </c>
    </row>
    <row r="830" customFormat="false" ht="15" hidden="false" customHeight="false" outlineLevel="0" collapsed="false">
      <c r="A830" s="7" t="n">
        <f aca="false">A829+1</f>
        <v>825</v>
      </c>
      <c r="B830" s="7" t="n">
        <f aca="false">MAX('Giả định'!$B$9,ROUNDUP(A830/'Giả định'!$B$7,0)+'Giả định'!$B$8)</f>
        <v>84</v>
      </c>
      <c r="C830" s="25" t="n">
        <f aca="false">('Chi phí'!$C$76+'Chi phí'!$D$76*B830+'Chi phí'!$E$76*A830+'Giả định'!$B$15*('Chi phí'!$F$76+'Chi phí'!$G$76*B830+'Chi phí'!$H$76*A830))*(1+'Giả định'!$B$16)</f>
        <v>859611500</v>
      </c>
      <c r="D830" s="25" t="n">
        <f aca="false">('Chi phí'!$C$77+'Chi phí'!$D$77*B830+'Chi phí'!$E$77*A830+'Giả định'!$B$15*('Chi phí'!$F$77+'Chi phí'!$G$77*B830+'Chi phí'!$H$77*A830))*(1+'Giả định'!$B$16)</f>
        <v>1003216500</v>
      </c>
      <c r="E830" s="25" t="n">
        <f aca="false">A830/'Giả định'!$B$19*'Giả định'!$B$20+A830*'Giả định'!$B$23+'Giả định'!$B$24</f>
        <v>307121848.739496</v>
      </c>
      <c r="F830" s="25" t="n">
        <f aca="false">E830-D830</f>
        <v>-696094651.260504</v>
      </c>
      <c r="G830" s="25" t="n">
        <f aca="false">E830-C830</f>
        <v>-552489651.260504</v>
      </c>
      <c r="H830" s="7" t="str">
        <f aca="false">IF(F830&gt;=0,A830,"")</f>
        <v/>
      </c>
      <c r="I830" s="7" t="n">
        <f aca="false">IF(F830&lt;0,A830,0)</f>
        <v>825</v>
      </c>
      <c r="J830" s="7" t="str">
        <f aca="false">IF(G830&gt;=0,A830,"")</f>
        <v/>
      </c>
      <c r="K830" s="7" t="n">
        <f aca="false">IF(G830&lt;0,A830,0)</f>
        <v>825</v>
      </c>
    </row>
    <row r="831" customFormat="false" ht="15" hidden="false" customHeight="false" outlineLevel="0" collapsed="false">
      <c r="A831" s="7" t="n">
        <f aca="false">A830+1</f>
        <v>826</v>
      </c>
      <c r="B831" s="7" t="n">
        <f aca="false">MAX('Giả định'!$B$9,ROUNDUP(A831/'Giả định'!$B$7,0)+'Giả định'!$B$8)</f>
        <v>84</v>
      </c>
      <c r="C831" s="25" t="n">
        <f aca="false">('Chi phí'!$C$76+'Chi phí'!$D$76*B831+'Chi phí'!$E$76*A831+'Giả định'!$B$15*('Chi phí'!$F$76+'Chi phí'!$G$76*B831+'Chi phí'!$H$76*A831))*(1+'Giả định'!$B$16)</f>
        <v>859648240</v>
      </c>
      <c r="D831" s="25" t="n">
        <f aca="false">('Chi phí'!$C$77+'Chi phí'!$D$77*B831+'Chi phí'!$E$77*A831+'Giả định'!$B$15*('Chi phí'!$F$77+'Chi phí'!$G$77*B831+'Chi phí'!$H$77*A831))*(1+'Giả định'!$B$16)</f>
        <v>1003253240</v>
      </c>
      <c r="E831" s="25" t="n">
        <f aca="false">A831/'Giả định'!$B$19*'Giả định'!$B$20+A831*'Giả định'!$B$23+'Giả định'!$B$24</f>
        <v>307494117.647059</v>
      </c>
      <c r="F831" s="25" t="n">
        <f aca="false">E831-D831</f>
        <v>-695759122.352941</v>
      </c>
      <c r="G831" s="25" t="n">
        <f aca="false">E831-C831</f>
        <v>-552154122.352941</v>
      </c>
      <c r="H831" s="7" t="str">
        <f aca="false">IF(F831&gt;=0,A831,"")</f>
        <v/>
      </c>
      <c r="I831" s="7" t="n">
        <f aca="false">IF(F831&lt;0,A831,0)</f>
        <v>826</v>
      </c>
      <c r="J831" s="7" t="str">
        <f aca="false">IF(G831&gt;=0,A831,"")</f>
        <v/>
      </c>
      <c r="K831" s="7" t="n">
        <f aca="false">IF(G831&lt;0,A831,0)</f>
        <v>826</v>
      </c>
    </row>
    <row r="832" customFormat="false" ht="15" hidden="false" customHeight="false" outlineLevel="0" collapsed="false">
      <c r="A832" s="7" t="n">
        <f aca="false">A831+1</f>
        <v>827</v>
      </c>
      <c r="B832" s="7" t="n">
        <f aca="false">MAX('Giả định'!$B$9,ROUNDUP(A832/'Giả định'!$B$7,0)+'Giả định'!$B$8)</f>
        <v>84</v>
      </c>
      <c r="C832" s="25" t="n">
        <f aca="false">('Chi phí'!$C$76+'Chi phí'!$D$76*B832+'Chi phí'!$E$76*A832+'Giả định'!$B$15*('Chi phí'!$F$76+'Chi phí'!$G$76*B832+'Chi phí'!$H$76*A832))*(1+'Giả định'!$B$16)</f>
        <v>859684980</v>
      </c>
      <c r="D832" s="25" t="n">
        <f aca="false">('Chi phí'!$C$77+'Chi phí'!$D$77*B832+'Chi phí'!$E$77*A832+'Giả định'!$B$15*('Chi phí'!$F$77+'Chi phí'!$G$77*B832+'Chi phí'!$H$77*A832))*(1+'Giả định'!$B$16)</f>
        <v>1003289980</v>
      </c>
      <c r="E832" s="25" t="n">
        <f aca="false">A832/'Giả định'!$B$19*'Giả định'!$B$20+A832*'Giả định'!$B$23+'Giả định'!$B$24</f>
        <v>307866386.554622</v>
      </c>
      <c r="F832" s="25" t="n">
        <f aca="false">E832-D832</f>
        <v>-695423593.445378</v>
      </c>
      <c r="G832" s="25" t="n">
        <f aca="false">E832-C832</f>
        <v>-551818593.445378</v>
      </c>
      <c r="H832" s="7" t="str">
        <f aca="false">IF(F832&gt;=0,A832,"")</f>
        <v/>
      </c>
      <c r="I832" s="7" t="n">
        <f aca="false">IF(F832&lt;0,A832,0)</f>
        <v>827</v>
      </c>
      <c r="J832" s="7" t="str">
        <f aca="false">IF(G832&gt;=0,A832,"")</f>
        <v/>
      </c>
      <c r="K832" s="7" t="n">
        <f aca="false">IF(G832&lt;0,A832,0)</f>
        <v>827</v>
      </c>
    </row>
    <row r="833" customFormat="false" ht="15" hidden="false" customHeight="false" outlineLevel="0" collapsed="false">
      <c r="A833" s="7" t="n">
        <f aca="false">A832+1</f>
        <v>828</v>
      </c>
      <c r="B833" s="7" t="n">
        <f aca="false">MAX('Giả định'!$B$9,ROUNDUP(A833/'Giả định'!$B$7,0)+'Giả định'!$B$8)</f>
        <v>84</v>
      </c>
      <c r="C833" s="25" t="n">
        <f aca="false">('Chi phí'!$C$76+'Chi phí'!$D$76*B833+'Chi phí'!$E$76*A833+'Giả định'!$B$15*('Chi phí'!$F$76+'Chi phí'!$G$76*B833+'Chi phí'!$H$76*A833))*(1+'Giả định'!$B$16)</f>
        <v>859721720</v>
      </c>
      <c r="D833" s="25" t="n">
        <f aca="false">('Chi phí'!$C$77+'Chi phí'!$D$77*B833+'Chi phí'!$E$77*A833+'Giả định'!$B$15*('Chi phí'!$F$77+'Chi phí'!$G$77*B833+'Chi phí'!$H$77*A833))*(1+'Giả định'!$B$16)</f>
        <v>1003326720</v>
      </c>
      <c r="E833" s="25" t="n">
        <f aca="false">A833/'Giả định'!$B$19*'Giả định'!$B$20+A833*'Giả định'!$B$23+'Giả định'!$B$24</f>
        <v>308238655.462185</v>
      </c>
      <c r="F833" s="25" t="n">
        <f aca="false">E833-D833</f>
        <v>-695088064.537815</v>
      </c>
      <c r="G833" s="25" t="n">
        <f aca="false">E833-C833</f>
        <v>-551483064.537815</v>
      </c>
      <c r="H833" s="7" t="str">
        <f aca="false">IF(F833&gt;=0,A833,"")</f>
        <v/>
      </c>
      <c r="I833" s="7" t="n">
        <f aca="false">IF(F833&lt;0,A833,0)</f>
        <v>828</v>
      </c>
      <c r="J833" s="7" t="str">
        <f aca="false">IF(G833&gt;=0,A833,"")</f>
        <v/>
      </c>
      <c r="K833" s="7" t="n">
        <f aca="false">IF(G833&lt;0,A833,0)</f>
        <v>828</v>
      </c>
    </row>
    <row r="834" customFormat="false" ht="15" hidden="false" customHeight="false" outlineLevel="0" collapsed="false">
      <c r="A834" s="7" t="n">
        <f aca="false">A833+1</f>
        <v>829</v>
      </c>
      <c r="B834" s="7" t="n">
        <f aca="false">MAX('Giả định'!$B$9,ROUNDUP(A834/'Giả định'!$B$7,0)+'Giả định'!$B$8)</f>
        <v>84</v>
      </c>
      <c r="C834" s="25" t="n">
        <f aca="false">('Chi phí'!$C$76+'Chi phí'!$D$76*B834+'Chi phí'!$E$76*A834+'Giả định'!$B$15*('Chi phí'!$F$76+'Chi phí'!$G$76*B834+'Chi phí'!$H$76*A834))*(1+'Giả định'!$B$16)</f>
        <v>859758460</v>
      </c>
      <c r="D834" s="25" t="n">
        <f aca="false">('Chi phí'!$C$77+'Chi phí'!$D$77*B834+'Chi phí'!$E$77*A834+'Giả định'!$B$15*('Chi phí'!$F$77+'Chi phí'!$G$77*B834+'Chi phí'!$H$77*A834))*(1+'Giả định'!$B$16)</f>
        <v>1003363460</v>
      </c>
      <c r="E834" s="25" t="n">
        <f aca="false">A834/'Giả định'!$B$19*'Giả định'!$B$20+A834*'Giả định'!$B$23+'Giả định'!$B$24</f>
        <v>308610924.369748</v>
      </c>
      <c r="F834" s="25" t="n">
        <f aca="false">E834-D834</f>
        <v>-694752535.630252</v>
      </c>
      <c r="G834" s="25" t="n">
        <f aca="false">E834-C834</f>
        <v>-551147535.630252</v>
      </c>
      <c r="H834" s="7" t="str">
        <f aca="false">IF(F834&gt;=0,A834,"")</f>
        <v/>
      </c>
      <c r="I834" s="7" t="n">
        <f aca="false">IF(F834&lt;0,A834,0)</f>
        <v>829</v>
      </c>
      <c r="J834" s="7" t="str">
        <f aca="false">IF(G834&gt;=0,A834,"")</f>
        <v/>
      </c>
      <c r="K834" s="7" t="n">
        <f aca="false">IF(G834&lt;0,A834,0)</f>
        <v>829</v>
      </c>
    </row>
    <row r="835" customFormat="false" ht="15" hidden="false" customHeight="false" outlineLevel="0" collapsed="false">
      <c r="A835" s="7" t="n">
        <f aca="false">A834+1</f>
        <v>830</v>
      </c>
      <c r="B835" s="7" t="n">
        <f aca="false">MAX('Giả định'!$B$9,ROUNDUP(A835/'Giả định'!$B$7,0)+'Giả định'!$B$8)</f>
        <v>84</v>
      </c>
      <c r="C835" s="25" t="n">
        <f aca="false">('Chi phí'!$C$76+'Chi phí'!$D$76*B835+'Chi phí'!$E$76*A835+'Giả định'!$B$15*('Chi phí'!$F$76+'Chi phí'!$G$76*B835+'Chi phí'!$H$76*A835))*(1+'Giả định'!$B$16)</f>
        <v>859795200</v>
      </c>
      <c r="D835" s="25" t="n">
        <f aca="false">('Chi phí'!$C$77+'Chi phí'!$D$77*B835+'Chi phí'!$E$77*A835+'Giả định'!$B$15*('Chi phí'!$F$77+'Chi phí'!$G$77*B835+'Chi phí'!$H$77*A835))*(1+'Giả định'!$B$16)</f>
        <v>1003400200</v>
      </c>
      <c r="E835" s="25" t="n">
        <f aca="false">A835/'Giả định'!$B$19*'Giả định'!$B$20+A835*'Giả định'!$B$23+'Giả định'!$B$24</f>
        <v>308983193.277311</v>
      </c>
      <c r="F835" s="25" t="n">
        <f aca="false">E835-D835</f>
        <v>-694417006.722689</v>
      </c>
      <c r="G835" s="25" t="n">
        <f aca="false">E835-C835</f>
        <v>-550812006.722689</v>
      </c>
      <c r="H835" s="7" t="str">
        <f aca="false">IF(F835&gt;=0,A835,"")</f>
        <v/>
      </c>
      <c r="I835" s="7" t="n">
        <f aca="false">IF(F835&lt;0,A835,0)</f>
        <v>830</v>
      </c>
      <c r="J835" s="7" t="str">
        <f aca="false">IF(G835&gt;=0,A835,"")</f>
        <v/>
      </c>
      <c r="K835" s="7" t="n">
        <f aca="false">IF(G835&lt;0,A835,0)</f>
        <v>830</v>
      </c>
    </row>
    <row r="836" customFormat="false" ht="15" hidden="false" customHeight="false" outlineLevel="0" collapsed="false">
      <c r="A836" s="7" t="n">
        <f aca="false">A835+1</f>
        <v>831</v>
      </c>
      <c r="B836" s="7" t="n">
        <f aca="false">MAX('Giả định'!$B$9,ROUNDUP(A836/'Giả định'!$B$7,0)+'Giả định'!$B$8)</f>
        <v>85</v>
      </c>
      <c r="C836" s="25" t="n">
        <f aca="false">('Chi phí'!$C$76+'Chi phí'!$D$76*B836+'Chi phí'!$E$76*A836+'Giả định'!$B$15*('Chi phí'!$F$76+'Chi phí'!$G$76*B836+'Chi phí'!$H$76*A836))*(1+'Giả định'!$B$16)</f>
        <v>869005940</v>
      </c>
      <c r="D836" s="25" t="n">
        <f aca="false">('Chi phí'!$C$77+'Chi phí'!$D$77*B836+'Chi phí'!$E$77*A836+'Giả định'!$B$15*('Chi phí'!$F$77+'Chi phí'!$G$77*B836+'Chi phí'!$H$77*A836))*(1+'Giả định'!$B$16)</f>
        <v>1012610940</v>
      </c>
      <c r="E836" s="25" t="n">
        <f aca="false">A836/'Giả định'!$B$19*'Giả định'!$B$20+A836*'Giả định'!$B$23+'Giả định'!$B$24</f>
        <v>309355462.184874</v>
      </c>
      <c r="F836" s="25" t="n">
        <f aca="false">E836-D836</f>
        <v>-703255477.815126</v>
      </c>
      <c r="G836" s="25" t="n">
        <f aca="false">E836-C836</f>
        <v>-559650477.815126</v>
      </c>
      <c r="H836" s="7" t="str">
        <f aca="false">IF(F836&gt;=0,A836,"")</f>
        <v/>
      </c>
      <c r="I836" s="7" t="n">
        <f aca="false">IF(F836&lt;0,A836,0)</f>
        <v>831</v>
      </c>
      <c r="J836" s="7" t="str">
        <f aca="false">IF(G836&gt;=0,A836,"")</f>
        <v/>
      </c>
      <c r="K836" s="7" t="n">
        <f aca="false">IF(G836&lt;0,A836,0)</f>
        <v>831</v>
      </c>
    </row>
    <row r="837" customFormat="false" ht="15" hidden="false" customHeight="false" outlineLevel="0" collapsed="false">
      <c r="A837" s="7" t="n">
        <f aca="false">A836+1</f>
        <v>832</v>
      </c>
      <c r="B837" s="7" t="n">
        <f aca="false">MAX('Giả định'!$B$9,ROUNDUP(A837/'Giả định'!$B$7,0)+'Giả định'!$B$8)</f>
        <v>85</v>
      </c>
      <c r="C837" s="25" t="n">
        <f aca="false">('Chi phí'!$C$76+'Chi phí'!$D$76*B837+'Chi phí'!$E$76*A837+'Giả định'!$B$15*('Chi phí'!$F$76+'Chi phí'!$G$76*B837+'Chi phí'!$H$76*A837))*(1+'Giả định'!$B$16)</f>
        <v>869042680</v>
      </c>
      <c r="D837" s="25" t="n">
        <f aca="false">('Chi phí'!$C$77+'Chi phí'!$D$77*B837+'Chi phí'!$E$77*A837+'Giả định'!$B$15*('Chi phí'!$F$77+'Chi phí'!$G$77*B837+'Chi phí'!$H$77*A837))*(1+'Giả định'!$B$16)</f>
        <v>1012647680</v>
      </c>
      <c r="E837" s="25" t="n">
        <f aca="false">A837/'Giả định'!$B$19*'Giả định'!$B$20+A837*'Giả định'!$B$23+'Giả định'!$B$24</f>
        <v>309727731.092437</v>
      </c>
      <c r="F837" s="25" t="n">
        <f aca="false">E837-D837</f>
        <v>-702919948.907563</v>
      </c>
      <c r="G837" s="25" t="n">
        <f aca="false">E837-C837</f>
        <v>-559314948.907563</v>
      </c>
      <c r="H837" s="7" t="str">
        <f aca="false">IF(F837&gt;=0,A837,"")</f>
        <v/>
      </c>
      <c r="I837" s="7" t="n">
        <f aca="false">IF(F837&lt;0,A837,0)</f>
        <v>832</v>
      </c>
      <c r="J837" s="7" t="str">
        <f aca="false">IF(G837&gt;=0,A837,"")</f>
        <v/>
      </c>
      <c r="K837" s="7" t="n">
        <f aca="false">IF(G837&lt;0,A837,0)</f>
        <v>832</v>
      </c>
    </row>
    <row r="838" customFormat="false" ht="15" hidden="false" customHeight="false" outlineLevel="0" collapsed="false">
      <c r="A838" s="7" t="n">
        <f aca="false">A837+1</f>
        <v>833</v>
      </c>
      <c r="B838" s="7" t="n">
        <f aca="false">MAX('Giả định'!$B$9,ROUNDUP(A838/'Giả định'!$B$7,0)+'Giả định'!$B$8)</f>
        <v>85</v>
      </c>
      <c r="C838" s="25" t="n">
        <f aca="false">('Chi phí'!$C$76+'Chi phí'!$D$76*B838+'Chi phí'!$E$76*A838+'Giả định'!$B$15*('Chi phí'!$F$76+'Chi phí'!$G$76*B838+'Chi phí'!$H$76*A838))*(1+'Giả định'!$B$16)</f>
        <v>869079420</v>
      </c>
      <c r="D838" s="25" t="n">
        <f aca="false">('Chi phí'!$C$77+'Chi phí'!$D$77*B838+'Chi phí'!$E$77*A838+'Giả định'!$B$15*('Chi phí'!$F$77+'Chi phí'!$G$77*B838+'Chi phí'!$H$77*A838))*(1+'Giả định'!$B$16)</f>
        <v>1012684420</v>
      </c>
      <c r="E838" s="25" t="n">
        <f aca="false">A838/'Giả định'!$B$19*'Giả định'!$B$20+A838*'Giả định'!$B$23+'Giả định'!$B$24</f>
        <v>310100000</v>
      </c>
      <c r="F838" s="25" t="n">
        <f aca="false">E838-D838</f>
        <v>-702584420</v>
      </c>
      <c r="G838" s="25" t="n">
        <f aca="false">E838-C838</f>
        <v>-558979420</v>
      </c>
      <c r="H838" s="7" t="str">
        <f aca="false">IF(F838&gt;=0,A838,"")</f>
        <v/>
      </c>
      <c r="I838" s="7" t="n">
        <f aca="false">IF(F838&lt;0,A838,0)</f>
        <v>833</v>
      </c>
      <c r="J838" s="7" t="str">
        <f aca="false">IF(G838&gt;=0,A838,"")</f>
        <v/>
      </c>
      <c r="K838" s="7" t="n">
        <f aca="false">IF(G838&lt;0,A838,0)</f>
        <v>833</v>
      </c>
    </row>
    <row r="839" customFormat="false" ht="15" hidden="false" customHeight="false" outlineLevel="0" collapsed="false">
      <c r="A839" s="7" t="n">
        <f aca="false">A838+1</f>
        <v>834</v>
      </c>
      <c r="B839" s="7" t="n">
        <f aca="false">MAX('Giả định'!$B$9,ROUNDUP(A839/'Giả định'!$B$7,0)+'Giả định'!$B$8)</f>
        <v>85</v>
      </c>
      <c r="C839" s="25" t="n">
        <f aca="false">('Chi phí'!$C$76+'Chi phí'!$D$76*B839+'Chi phí'!$E$76*A839+'Giả định'!$B$15*('Chi phí'!$F$76+'Chi phí'!$G$76*B839+'Chi phí'!$H$76*A839))*(1+'Giả định'!$B$16)</f>
        <v>869116160</v>
      </c>
      <c r="D839" s="25" t="n">
        <f aca="false">('Chi phí'!$C$77+'Chi phí'!$D$77*B839+'Chi phí'!$E$77*A839+'Giả định'!$B$15*('Chi phí'!$F$77+'Chi phí'!$G$77*B839+'Chi phí'!$H$77*A839))*(1+'Giả định'!$B$16)</f>
        <v>1012721160</v>
      </c>
      <c r="E839" s="25" t="n">
        <f aca="false">A839/'Giả định'!$B$19*'Giả định'!$B$20+A839*'Giả định'!$B$23+'Giả định'!$B$24</f>
        <v>310472268.907563</v>
      </c>
      <c r="F839" s="25" t="n">
        <f aca="false">E839-D839</f>
        <v>-702248891.092437</v>
      </c>
      <c r="G839" s="25" t="n">
        <f aca="false">E839-C839</f>
        <v>-558643891.092437</v>
      </c>
      <c r="H839" s="7" t="str">
        <f aca="false">IF(F839&gt;=0,A839,"")</f>
        <v/>
      </c>
      <c r="I839" s="7" t="n">
        <f aca="false">IF(F839&lt;0,A839,0)</f>
        <v>834</v>
      </c>
      <c r="J839" s="7" t="str">
        <f aca="false">IF(G839&gt;=0,A839,"")</f>
        <v/>
      </c>
      <c r="K839" s="7" t="n">
        <f aca="false">IF(G839&lt;0,A839,0)</f>
        <v>834</v>
      </c>
    </row>
    <row r="840" customFormat="false" ht="15" hidden="false" customHeight="false" outlineLevel="0" collapsed="false">
      <c r="A840" s="7" t="n">
        <f aca="false">A839+1</f>
        <v>835</v>
      </c>
      <c r="B840" s="7" t="n">
        <f aca="false">MAX('Giả định'!$B$9,ROUNDUP(A840/'Giả định'!$B$7,0)+'Giả định'!$B$8)</f>
        <v>85</v>
      </c>
      <c r="C840" s="25" t="n">
        <f aca="false">('Chi phí'!$C$76+'Chi phí'!$D$76*B840+'Chi phí'!$E$76*A840+'Giả định'!$B$15*('Chi phí'!$F$76+'Chi phí'!$G$76*B840+'Chi phí'!$H$76*A840))*(1+'Giả định'!$B$16)</f>
        <v>869152900</v>
      </c>
      <c r="D840" s="25" t="n">
        <f aca="false">('Chi phí'!$C$77+'Chi phí'!$D$77*B840+'Chi phí'!$E$77*A840+'Giả định'!$B$15*('Chi phí'!$F$77+'Chi phí'!$G$77*B840+'Chi phí'!$H$77*A840))*(1+'Giả định'!$B$16)</f>
        <v>1012757900</v>
      </c>
      <c r="E840" s="25" t="n">
        <f aca="false">A840/'Giả định'!$B$19*'Giả định'!$B$20+A840*'Giả định'!$B$23+'Giả định'!$B$24</f>
        <v>310844537.815126</v>
      </c>
      <c r="F840" s="25" t="n">
        <f aca="false">E840-D840</f>
        <v>-701913362.184874</v>
      </c>
      <c r="G840" s="25" t="n">
        <f aca="false">E840-C840</f>
        <v>-558308362.184874</v>
      </c>
      <c r="H840" s="7" t="str">
        <f aca="false">IF(F840&gt;=0,A840,"")</f>
        <v/>
      </c>
      <c r="I840" s="7" t="n">
        <f aca="false">IF(F840&lt;0,A840,0)</f>
        <v>835</v>
      </c>
      <c r="J840" s="7" t="str">
        <f aca="false">IF(G840&gt;=0,A840,"")</f>
        <v/>
      </c>
      <c r="K840" s="7" t="n">
        <f aca="false">IF(G840&lt;0,A840,0)</f>
        <v>835</v>
      </c>
    </row>
    <row r="841" customFormat="false" ht="15" hidden="false" customHeight="false" outlineLevel="0" collapsed="false">
      <c r="A841" s="7" t="n">
        <f aca="false">A840+1</f>
        <v>836</v>
      </c>
      <c r="B841" s="7" t="n">
        <f aca="false">MAX('Giả định'!$B$9,ROUNDUP(A841/'Giả định'!$B$7,0)+'Giả định'!$B$8)</f>
        <v>85</v>
      </c>
      <c r="C841" s="25" t="n">
        <f aca="false">('Chi phí'!$C$76+'Chi phí'!$D$76*B841+'Chi phí'!$E$76*A841+'Giả định'!$B$15*('Chi phí'!$F$76+'Chi phí'!$G$76*B841+'Chi phí'!$H$76*A841))*(1+'Giả định'!$B$16)</f>
        <v>869189640</v>
      </c>
      <c r="D841" s="25" t="n">
        <f aca="false">('Chi phí'!$C$77+'Chi phí'!$D$77*B841+'Chi phí'!$E$77*A841+'Giả định'!$B$15*('Chi phí'!$F$77+'Chi phí'!$G$77*B841+'Chi phí'!$H$77*A841))*(1+'Giả định'!$B$16)</f>
        <v>1012794640</v>
      </c>
      <c r="E841" s="25" t="n">
        <f aca="false">A841/'Giả định'!$B$19*'Giả định'!$B$20+A841*'Giả định'!$B$23+'Giả định'!$B$24</f>
        <v>311216806.722689</v>
      </c>
      <c r="F841" s="25" t="n">
        <f aca="false">E841-D841</f>
        <v>-701577833.277311</v>
      </c>
      <c r="G841" s="25" t="n">
        <f aca="false">E841-C841</f>
        <v>-557972833.277311</v>
      </c>
      <c r="H841" s="7" t="str">
        <f aca="false">IF(F841&gt;=0,A841,"")</f>
        <v/>
      </c>
      <c r="I841" s="7" t="n">
        <f aca="false">IF(F841&lt;0,A841,0)</f>
        <v>836</v>
      </c>
      <c r="J841" s="7" t="str">
        <f aca="false">IF(G841&gt;=0,A841,"")</f>
        <v/>
      </c>
      <c r="K841" s="7" t="n">
        <f aca="false">IF(G841&lt;0,A841,0)</f>
        <v>836</v>
      </c>
    </row>
    <row r="842" customFormat="false" ht="15" hidden="false" customHeight="false" outlineLevel="0" collapsed="false">
      <c r="A842" s="7" t="n">
        <f aca="false">A841+1</f>
        <v>837</v>
      </c>
      <c r="B842" s="7" t="n">
        <f aca="false">MAX('Giả định'!$B$9,ROUNDUP(A842/'Giả định'!$B$7,0)+'Giả định'!$B$8)</f>
        <v>85</v>
      </c>
      <c r="C842" s="25" t="n">
        <f aca="false">('Chi phí'!$C$76+'Chi phí'!$D$76*B842+'Chi phí'!$E$76*A842+'Giả định'!$B$15*('Chi phí'!$F$76+'Chi phí'!$G$76*B842+'Chi phí'!$H$76*A842))*(1+'Giả định'!$B$16)</f>
        <v>869226380</v>
      </c>
      <c r="D842" s="25" t="n">
        <f aca="false">('Chi phí'!$C$77+'Chi phí'!$D$77*B842+'Chi phí'!$E$77*A842+'Giả định'!$B$15*('Chi phí'!$F$77+'Chi phí'!$G$77*B842+'Chi phí'!$H$77*A842))*(1+'Giả định'!$B$16)</f>
        <v>1012831380</v>
      </c>
      <c r="E842" s="25" t="n">
        <f aca="false">A842/'Giả định'!$B$19*'Giả định'!$B$20+A842*'Giả định'!$B$23+'Giả định'!$B$24</f>
        <v>311589075.630252</v>
      </c>
      <c r="F842" s="25" t="n">
        <f aca="false">E842-D842</f>
        <v>-701242304.369748</v>
      </c>
      <c r="G842" s="25" t="n">
        <f aca="false">E842-C842</f>
        <v>-557637304.369748</v>
      </c>
      <c r="H842" s="7" t="str">
        <f aca="false">IF(F842&gt;=0,A842,"")</f>
        <v/>
      </c>
      <c r="I842" s="7" t="n">
        <f aca="false">IF(F842&lt;0,A842,0)</f>
        <v>837</v>
      </c>
      <c r="J842" s="7" t="str">
        <f aca="false">IF(G842&gt;=0,A842,"")</f>
        <v/>
      </c>
      <c r="K842" s="7" t="n">
        <f aca="false">IF(G842&lt;0,A842,0)</f>
        <v>837</v>
      </c>
    </row>
    <row r="843" customFormat="false" ht="15" hidden="false" customHeight="false" outlineLevel="0" collapsed="false">
      <c r="A843" s="7" t="n">
        <f aca="false">A842+1</f>
        <v>838</v>
      </c>
      <c r="B843" s="7" t="n">
        <f aca="false">MAX('Giả định'!$B$9,ROUNDUP(A843/'Giả định'!$B$7,0)+'Giả định'!$B$8)</f>
        <v>85</v>
      </c>
      <c r="C843" s="25" t="n">
        <f aca="false">('Chi phí'!$C$76+'Chi phí'!$D$76*B843+'Chi phí'!$E$76*A843+'Giả định'!$B$15*('Chi phí'!$F$76+'Chi phí'!$G$76*B843+'Chi phí'!$H$76*A843))*(1+'Giả định'!$B$16)</f>
        <v>869263120</v>
      </c>
      <c r="D843" s="25" t="n">
        <f aca="false">('Chi phí'!$C$77+'Chi phí'!$D$77*B843+'Chi phí'!$E$77*A843+'Giả định'!$B$15*('Chi phí'!$F$77+'Chi phí'!$G$77*B843+'Chi phí'!$H$77*A843))*(1+'Giả định'!$B$16)</f>
        <v>1012868120</v>
      </c>
      <c r="E843" s="25" t="n">
        <f aca="false">A843/'Giả định'!$B$19*'Giả định'!$B$20+A843*'Giả định'!$B$23+'Giả định'!$B$24</f>
        <v>311961344.537815</v>
      </c>
      <c r="F843" s="25" t="n">
        <f aca="false">E843-D843</f>
        <v>-700906775.462185</v>
      </c>
      <c r="G843" s="25" t="n">
        <f aca="false">E843-C843</f>
        <v>-557301775.462185</v>
      </c>
      <c r="H843" s="7" t="str">
        <f aca="false">IF(F843&gt;=0,A843,"")</f>
        <v/>
      </c>
      <c r="I843" s="7" t="n">
        <f aca="false">IF(F843&lt;0,A843,0)</f>
        <v>838</v>
      </c>
      <c r="J843" s="7" t="str">
        <f aca="false">IF(G843&gt;=0,A843,"")</f>
        <v/>
      </c>
      <c r="K843" s="7" t="n">
        <f aca="false">IF(G843&lt;0,A843,0)</f>
        <v>838</v>
      </c>
    </row>
    <row r="844" customFormat="false" ht="15" hidden="false" customHeight="false" outlineLevel="0" collapsed="false">
      <c r="A844" s="7" t="n">
        <f aca="false">A843+1</f>
        <v>839</v>
      </c>
      <c r="B844" s="7" t="n">
        <f aca="false">MAX('Giả định'!$B$9,ROUNDUP(A844/'Giả định'!$B$7,0)+'Giả định'!$B$8)</f>
        <v>85</v>
      </c>
      <c r="C844" s="25" t="n">
        <f aca="false">('Chi phí'!$C$76+'Chi phí'!$D$76*B844+'Chi phí'!$E$76*A844+'Giả định'!$B$15*('Chi phí'!$F$76+'Chi phí'!$G$76*B844+'Chi phí'!$H$76*A844))*(1+'Giả định'!$B$16)</f>
        <v>869299860</v>
      </c>
      <c r="D844" s="25" t="n">
        <f aca="false">('Chi phí'!$C$77+'Chi phí'!$D$77*B844+'Chi phí'!$E$77*A844+'Giả định'!$B$15*('Chi phí'!$F$77+'Chi phí'!$G$77*B844+'Chi phí'!$H$77*A844))*(1+'Giả định'!$B$16)</f>
        <v>1012904860</v>
      </c>
      <c r="E844" s="25" t="n">
        <f aca="false">A844/'Giả định'!$B$19*'Giả định'!$B$20+A844*'Giả định'!$B$23+'Giả định'!$B$24</f>
        <v>312333613.445378</v>
      </c>
      <c r="F844" s="25" t="n">
        <f aca="false">E844-D844</f>
        <v>-700571246.554622</v>
      </c>
      <c r="G844" s="25" t="n">
        <f aca="false">E844-C844</f>
        <v>-556966246.554622</v>
      </c>
      <c r="H844" s="7" t="str">
        <f aca="false">IF(F844&gt;=0,A844,"")</f>
        <v/>
      </c>
      <c r="I844" s="7" t="n">
        <f aca="false">IF(F844&lt;0,A844,0)</f>
        <v>839</v>
      </c>
      <c r="J844" s="7" t="str">
        <f aca="false">IF(G844&gt;=0,A844,"")</f>
        <v/>
      </c>
      <c r="K844" s="7" t="n">
        <f aca="false">IF(G844&lt;0,A844,0)</f>
        <v>839</v>
      </c>
    </row>
    <row r="845" customFormat="false" ht="15" hidden="false" customHeight="false" outlineLevel="0" collapsed="false">
      <c r="A845" s="7" t="n">
        <f aca="false">A844+1</f>
        <v>840</v>
      </c>
      <c r="B845" s="7" t="n">
        <f aca="false">MAX('Giả định'!$B$9,ROUNDUP(A845/'Giả định'!$B$7,0)+'Giả định'!$B$8)</f>
        <v>85</v>
      </c>
      <c r="C845" s="25" t="n">
        <f aca="false">('Chi phí'!$C$76+'Chi phí'!$D$76*B845+'Chi phí'!$E$76*A845+'Giả định'!$B$15*('Chi phí'!$F$76+'Chi phí'!$G$76*B845+'Chi phí'!$H$76*A845))*(1+'Giả định'!$B$16)</f>
        <v>869336600</v>
      </c>
      <c r="D845" s="25" t="n">
        <f aca="false">('Chi phí'!$C$77+'Chi phí'!$D$77*B845+'Chi phí'!$E$77*A845+'Giả định'!$B$15*('Chi phí'!$F$77+'Chi phí'!$G$77*B845+'Chi phí'!$H$77*A845))*(1+'Giả định'!$B$16)</f>
        <v>1012941600</v>
      </c>
      <c r="E845" s="25" t="n">
        <f aca="false">A845/'Giả định'!$B$19*'Giả định'!$B$20+A845*'Giả định'!$B$23+'Giả định'!$B$24</f>
        <v>312705882.352941</v>
      </c>
      <c r="F845" s="25" t="n">
        <f aca="false">E845-D845</f>
        <v>-700235717.647059</v>
      </c>
      <c r="G845" s="25" t="n">
        <f aca="false">E845-C845</f>
        <v>-556630717.647059</v>
      </c>
      <c r="H845" s="7" t="str">
        <f aca="false">IF(F845&gt;=0,A845,"")</f>
        <v/>
      </c>
      <c r="I845" s="7" t="n">
        <f aca="false">IF(F845&lt;0,A845,0)</f>
        <v>840</v>
      </c>
      <c r="J845" s="7" t="str">
        <f aca="false">IF(G845&gt;=0,A845,"")</f>
        <v/>
      </c>
      <c r="K845" s="7" t="n">
        <f aca="false">IF(G845&lt;0,A845,0)</f>
        <v>840</v>
      </c>
    </row>
    <row r="846" customFormat="false" ht="15" hidden="false" customHeight="false" outlineLevel="0" collapsed="false">
      <c r="A846" s="7" t="n">
        <f aca="false">A845+1</f>
        <v>841</v>
      </c>
      <c r="B846" s="7" t="n">
        <f aca="false">MAX('Giả định'!$B$9,ROUNDUP(A846/'Giả định'!$B$7,0)+'Giả định'!$B$8)</f>
        <v>86</v>
      </c>
      <c r="C846" s="25" t="n">
        <f aca="false">('Chi phí'!$C$76+'Chi phí'!$D$76*B846+'Chi phí'!$E$76*A846+'Giả định'!$B$15*('Chi phí'!$F$76+'Chi phí'!$G$76*B846+'Chi phí'!$H$76*A846))*(1+'Giả định'!$B$16)</f>
        <v>878547340</v>
      </c>
      <c r="D846" s="25" t="n">
        <f aca="false">('Chi phí'!$C$77+'Chi phí'!$D$77*B846+'Chi phí'!$E$77*A846+'Giả định'!$B$15*('Chi phí'!$F$77+'Chi phí'!$G$77*B846+'Chi phí'!$H$77*A846))*(1+'Giả định'!$B$16)</f>
        <v>1022152340</v>
      </c>
      <c r="E846" s="25" t="n">
        <f aca="false">A846/'Giả định'!$B$19*'Giả định'!$B$20+A846*'Giả định'!$B$23+'Giả định'!$B$24</f>
        <v>313078151.260504</v>
      </c>
      <c r="F846" s="25" t="n">
        <f aca="false">E846-D846</f>
        <v>-709074188.739496</v>
      </c>
      <c r="G846" s="25" t="n">
        <f aca="false">E846-C846</f>
        <v>-565469188.739496</v>
      </c>
      <c r="H846" s="7" t="str">
        <f aca="false">IF(F846&gt;=0,A846,"")</f>
        <v/>
      </c>
      <c r="I846" s="7" t="n">
        <f aca="false">IF(F846&lt;0,A846,0)</f>
        <v>841</v>
      </c>
      <c r="J846" s="7" t="str">
        <f aca="false">IF(G846&gt;=0,A846,"")</f>
        <v/>
      </c>
      <c r="K846" s="7" t="n">
        <f aca="false">IF(G846&lt;0,A846,0)</f>
        <v>841</v>
      </c>
    </row>
    <row r="847" customFormat="false" ht="15" hidden="false" customHeight="false" outlineLevel="0" collapsed="false">
      <c r="A847" s="7" t="n">
        <f aca="false">A846+1</f>
        <v>842</v>
      </c>
      <c r="B847" s="7" t="n">
        <f aca="false">MAX('Giả định'!$B$9,ROUNDUP(A847/'Giả định'!$B$7,0)+'Giả định'!$B$8)</f>
        <v>86</v>
      </c>
      <c r="C847" s="25" t="n">
        <f aca="false">('Chi phí'!$C$76+'Chi phí'!$D$76*B847+'Chi phí'!$E$76*A847+'Giả định'!$B$15*('Chi phí'!$F$76+'Chi phí'!$G$76*B847+'Chi phí'!$H$76*A847))*(1+'Giả định'!$B$16)</f>
        <v>878584080</v>
      </c>
      <c r="D847" s="25" t="n">
        <f aca="false">('Chi phí'!$C$77+'Chi phí'!$D$77*B847+'Chi phí'!$E$77*A847+'Giả định'!$B$15*('Chi phí'!$F$77+'Chi phí'!$G$77*B847+'Chi phí'!$H$77*A847))*(1+'Giả định'!$B$16)</f>
        <v>1022189080</v>
      </c>
      <c r="E847" s="25" t="n">
        <f aca="false">A847/'Giả định'!$B$19*'Giả định'!$B$20+A847*'Giả định'!$B$23+'Giả định'!$B$24</f>
        <v>313450420.168067</v>
      </c>
      <c r="F847" s="25" t="n">
        <f aca="false">E847-D847</f>
        <v>-708738659.831933</v>
      </c>
      <c r="G847" s="25" t="n">
        <f aca="false">E847-C847</f>
        <v>-565133659.831933</v>
      </c>
      <c r="H847" s="7" t="str">
        <f aca="false">IF(F847&gt;=0,A847,"")</f>
        <v/>
      </c>
      <c r="I847" s="7" t="n">
        <f aca="false">IF(F847&lt;0,A847,0)</f>
        <v>842</v>
      </c>
      <c r="J847" s="7" t="str">
        <f aca="false">IF(G847&gt;=0,A847,"")</f>
        <v/>
      </c>
      <c r="K847" s="7" t="n">
        <f aca="false">IF(G847&lt;0,A847,0)</f>
        <v>842</v>
      </c>
    </row>
    <row r="848" customFormat="false" ht="15" hidden="false" customHeight="false" outlineLevel="0" collapsed="false">
      <c r="A848" s="7" t="n">
        <f aca="false">A847+1</f>
        <v>843</v>
      </c>
      <c r="B848" s="7" t="n">
        <f aca="false">MAX('Giả định'!$B$9,ROUNDUP(A848/'Giả định'!$B$7,0)+'Giả định'!$B$8)</f>
        <v>86</v>
      </c>
      <c r="C848" s="25" t="n">
        <f aca="false">('Chi phí'!$C$76+'Chi phí'!$D$76*B848+'Chi phí'!$E$76*A848+'Giả định'!$B$15*('Chi phí'!$F$76+'Chi phí'!$G$76*B848+'Chi phí'!$H$76*A848))*(1+'Giả định'!$B$16)</f>
        <v>878620820</v>
      </c>
      <c r="D848" s="25" t="n">
        <f aca="false">('Chi phí'!$C$77+'Chi phí'!$D$77*B848+'Chi phí'!$E$77*A848+'Giả định'!$B$15*('Chi phí'!$F$77+'Chi phí'!$G$77*B848+'Chi phí'!$H$77*A848))*(1+'Giả định'!$B$16)</f>
        <v>1022225820</v>
      </c>
      <c r="E848" s="25" t="n">
        <f aca="false">A848/'Giả định'!$B$19*'Giả định'!$B$20+A848*'Giả định'!$B$23+'Giả định'!$B$24</f>
        <v>313822689.07563</v>
      </c>
      <c r="F848" s="25" t="n">
        <f aca="false">E848-D848</f>
        <v>-708403130.92437</v>
      </c>
      <c r="G848" s="25" t="n">
        <f aca="false">E848-C848</f>
        <v>-564798130.92437</v>
      </c>
      <c r="H848" s="7" t="str">
        <f aca="false">IF(F848&gt;=0,A848,"")</f>
        <v/>
      </c>
      <c r="I848" s="7" t="n">
        <f aca="false">IF(F848&lt;0,A848,0)</f>
        <v>843</v>
      </c>
      <c r="J848" s="7" t="str">
        <f aca="false">IF(G848&gt;=0,A848,"")</f>
        <v/>
      </c>
      <c r="K848" s="7" t="n">
        <f aca="false">IF(G848&lt;0,A848,0)</f>
        <v>843</v>
      </c>
    </row>
    <row r="849" customFormat="false" ht="15" hidden="false" customHeight="false" outlineLevel="0" collapsed="false">
      <c r="A849" s="7" t="n">
        <f aca="false">A848+1</f>
        <v>844</v>
      </c>
      <c r="B849" s="7" t="n">
        <f aca="false">MAX('Giả định'!$B$9,ROUNDUP(A849/'Giả định'!$B$7,0)+'Giả định'!$B$8)</f>
        <v>86</v>
      </c>
      <c r="C849" s="25" t="n">
        <f aca="false">('Chi phí'!$C$76+'Chi phí'!$D$76*B849+'Chi phí'!$E$76*A849+'Giả định'!$B$15*('Chi phí'!$F$76+'Chi phí'!$G$76*B849+'Chi phí'!$H$76*A849))*(1+'Giả định'!$B$16)</f>
        <v>878657560</v>
      </c>
      <c r="D849" s="25" t="n">
        <f aca="false">('Chi phí'!$C$77+'Chi phí'!$D$77*B849+'Chi phí'!$E$77*A849+'Giả định'!$B$15*('Chi phí'!$F$77+'Chi phí'!$G$77*B849+'Chi phí'!$H$77*A849))*(1+'Giả định'!$B$16)</f>
        <v>1022262560</v>
      </c>
      <c r="E849" s="25" t="n">
        <f aca="false">A849/'Giả định'!$B$19*'Giả định'!$B$20+A849*'Giả định'!$B$23+'Giả định'!$B$24</f>
        <v>314194957.983193</v>
      </c>
      <c r="F849" s="25" t="n">
        <f aca="false">E849-D849</f>
        <v>-708067602.016807</v>
      </c>
      <c r="G849" s="25" t="n">
        <f aca="false">E849-C849</f>
        <v>-564462602.016807</v>
      </c>
      <c r="H849" s="7" t="str">
        <f aca="false">IF(F849&gt;=0,A849,"")</f>
        <v/>
      </c>
      <c r="I849" s="7" t="n">
        <f aca="false">IF(F849&lt;0,A849,0)</f>
        <v>844</v>
      </c>
      <c r="J849" s="7" t="str">
        <f aca="false">IF(G849&gt;=0,A849,"")</f>
        <v/>
      </c>
      <c r="K849" s="7" t="n">
        <f aca="false">IF(G849&lt;0,A849,0)</f>
        <v>844</v>
      </c>
    </row>
    <row r="850" customFormat="false" ht="15" hidden="false" customHeight="false" outlineLevel="0" collapsed="false">
      <c r="A850" s="7" t="n">
        <f aca="false">A849+1</f>
        <v>845</v>
      </c>
      <c r="B850" s="7" t="n">
        <f aca="false">MAX('Giả định'!$B$9,ROUNDUP(A850/'Giả định'!$B$7,0)+'Giả định'!$B$8)</f>
        <v>86</v>
      </c>
      <c r="C850" s="25" t="n">
        <f aca="false">('Chi phí'!$C$76+'Chi phí'!$D$76*B850+'Chi phí'!$E$76*A850+'Giả định'!$B$15*('Chi phí'!$F$76+'Chi phí'!$G$76*B850+'Chi phí'!$H$76*A850))*(1+'Giả định'!$B$16)</f>
        <v>878694300</v>
      </c>
      <c r="D850" s="25" t="n">
        <f aca="false">('Chi phí'!$C$77+'Chi phí'!$D$77*B850+'Chi phí'!$E$77*A850+'Giả định'!$B$15*('Chi phí'!$F$77+'Chi phí'!$G$77*B850+'Chi phí'!$H$77*A850))*(1+'Giả định'!$B$16)</f>
        <v>1022299300</v>
      </c>
      <c r="E850" s="25" t="n">
        <f aca="false">A850/'Giả định'!$B$19*'Giả định'!$B$20+A850*'Giả định'!$B$23+'Giả định'!$B$24</f>
        <v>314567226.890756</v>
      </c>
      <c r="F850" s="25" t="n">
        <f aca="false">E850-D850</f>
        <v>-707732073.109244</v>
      </c>
      <c r="G850" s="25" t="n">
        <f aca="false">E850-C850</f>
        <v>-564127073.109244</v>
      </c>
      <c r="H850" s="7" t="str">
        <f aca="false">IF(F850&gt;=0,A850,"")</f>
        <v/>
      </c>
      <c r="I850" s="7" t="n">
        <f aca="false">IF(F850&lt;0,A850,0)</f>
        <v>845</v>
      </c>
      <c r="J850" s="7" t="str">
        <f aca="false">IF(G850&gt;=0,A850,"")</f>
        <v/>
      </c>
      <c r="K850" s="7" t="n">
        <f aca="false">IF(G850&lt;0,A850,0)</f>
        <v>845</v>
      </c>
    </row>
    <row r="851" customFormat="false" ht="15" hidden="false" customHeight="false" outlineLevel="0" collapsed="false">
      <c r="A851" s="7" t="n">
        <f aca="false">A850+1</f>
        <v>846</v>
      </c>
      <c r="B851" s="7" t="n">
        <f aca="false">MAX('Giả định'!$B$9,ROUNDUP(A851/'Giả định'!$B$7,0)+'Giả định'!$B$8)</f>
        <v>86</v>
      </c>
      <c r="C851" s="25" t="n">
        <f aca="false">('Chi phí'!$C$76+'Chi phí'!$D$76*B851+'Chi phí'!$E$76*A851+'Giả định'!$B$15*('Chi phí'!$F$76+'Chi phí'!$G$76*B851+'Chi phí'!$H$76*A851))*(1+'Giả định'!$B$16)</f>
        <v>878731040</v>
      </c>
      <c r="D851" s="25" t="n">
        <f aca="false">('Chi phí'!$C$77+'Chi phí'!$D$77*B851+'Chi phí'!$E$77*A851+'Giả định'!$B$15*('Chi phí'!$F$77+'Chi phí'!$G$77*B851+'Chi phí'!$H$77*A851))*(1+'Giả định'!$B$16)</f>
        <v>1022336040</v>
      </c>
      <c r="E851" s="25" t="n">
        <f aca="false">A851/'Giả định'!$B$19*'Giả định'!$B$20+A851*'Giả định'!$B$23+'Giả định'!$B$24</f>
        <v>314939495.798319</v>
      </c>
      <c r="F851" s="25" t="n">
        <f aca="false">E851-D851</f>
        <v>-707396544.201681</v>
      </c>
      <c r="G851" s="25" t="n">
        <f aca="false">E851-C851</f>
        <v>-563791544.201681</v>
      </c>
      <c r="H851" s="7" t="str">
        <f aca="false">IF(F851&gt;=0,A851,"")</f>
        <v/>
      </c>
      <c r="I851" s="7" t="n">
        <f aca="false">IF(F851&lt;0,A851,0)</f>
        <v>846</v>
      </c>
      <c r="J851" s="7" t="str">
        <f aca="false">IF(G851&gt;=0,A851,"")</f>
        <v/>
      </c>
      <c r="K851" s="7" t="n">
        <f aca="false">IF(G851&lt;0,A851,0)</f>
        <v>846</v>
      </c>
    </row>
    <row r="852" customFormat="false" ht="15" hidden="false" customHeight="false" outlineLevel="0" collapsed="false">
      <c r="A852" s="7" t="n">
        <f aca="false">A851+1</f>
        <v>847</v>
      </c>
      <c r="B852" s="7" t="n">
        <f aca="false">MAX('Giả định'!$B$9,ROUNDUP(A852/'Giả định'!$B$7,0)+'Giả định'!$B$8)</f>
        <v>86</v>
      </c>
      <c r="C852" s="25" t="n">
        <f aca="false">('Chi phí'!$C$76+'Chi phí'!$D$76*B852+'Chi phí'!$E$76*A852+'Giả định'!$B$15*('Chi phí'!$F$76+'Chi phí'!$G$76*B852+'Chi phí'!$H$76*A852))*(1+'Giả định'!$B$16)</f>
        <v>878767780</v>
      </c>
      <c r="D852" s="25" t="n">
        <f aca="false">('Chi phí'!$C$77+'Chi phí'!$D$77*B852+'Chi phí'!$E$77*A852+'Giả định'!$B$15*('Chi phí'!$F$77+'Chi phí'!$G$77*B852+'Chi phí'!$H$77*A852))*(1+'Giả định'!$B$16)</f>
        <v>1022372780</v>
      </c>
      <c r="E852" s="25" t="n">
        <f aca="false">A852/'Giả định'!$B$19*'Giả định'!$B$20+A852*'Giả định'!$B$23+'Giả định'!$B$24</f>
        <v>315311764.705882</v>
      </c>
      <c r="F852" s="25" t="n">
        <f aca="false">E852-D852</f>
        <v>-707061015.294118</v>
      </c>
      <c r="G852" s="25" t="n">
        <f aca="false">E852-C852</f>
        <v>-563456015.294118</v>
      </c>
      <c r="H852" s="7" t="str">
        <f aca="false">IF(F852&gt;=0,A852,"")</f>
        <v/>
      </c>
      <c r="I852" s="7" t="n">
        <f aca="false">IF(F852&lt;0,A852,0)</f>
        <v>847</v>
      </c>
      <c r="J852" s="7" t="str">
        <f aca="false">IF(G852&gt;=0,A852,"")</f>
        <v/>
      </c>
      <c r="K852" s="7" t="n">
        <f aca="false">IF(G852&lt;0,A852,0)</f>
        <v>847</v>
      </c>
    </row>
    <row r="853" customFormat="false" ht="15" hidden="false" customHeight="false" outlineLevel="0" collapsed="false">
      <c r="A853" s="7" t="n">
        <f aca="false">A852+1</f>
        <v>848</v>
      </c>
      <c r="B853" s="7" t="n">
        <f aca="false">MAX('Giả định'!$B$9,ROUNDUP(A853/'Giả định'!$B$7,0)+'Giả định'!$B$8)</f>
        <v>86</v>
      </c>
      <c r="C853" s="25" t="n">
        <f aca="false">('Chi phí'!$C$76+'Chi phí'!$D$76*B853+'Chi phí'!$E$76*A853+'Giả định'!$B$15*('Chi phí'!$F$76+'Chi phí'!$G$76*B853+'Chi phí'!$H$76*A853))*(1+'Giả định'!$B$16)</f>
        <v>878804520</v>
      </c>
      <c r="D853" s="25" t="n">
        <f aca="false">('Chi phí'!$C$77+'Chi phí'!$D$77*B853+'Chi phí'!$E$77*A853+'Giả định'!$B$15*('Chi phí'!$F$77+'Chi phí'!$G$77*B853+'Chi phí'!$H$77*A853))*(1+'Giả định'!$B$16)</f>
        <v>1022409520</v>
      </c>
      <c r="E853" s="25" t="n">
        <f aca="false">A853/'Giả định'!$B$19*'Giả định'!$B$20+A853*'Giả định'!$B$23+'Giả định'!$B$24</f>
        <v>315684033.613445</v>
      </c>
      <c r="F853" s="25" t="n">
        <f aca="false">E853-D853</f>
        <v>-706725486.386555</v>
      </c>
      <c r="G853" s="25" t="n">
        <f aca="false">E853-C853</f>
        <v>-563120486.386555</v>
      </c>
      <c r="H853" s="7" t="str">
        <f aca="false">IF(F853&gt;=0,A853,"")</f>
        <v/>
      </c>
      <c r="I853" s="7" t="n">
        <f aca="false">IF(F853&lt;0,A853,0)</f>
        <v>848</v>
      </c>
      <c r="J853" s="7" t="str">
        <f aca="false">IF(G853&gt;=0,A853,"")</f>
        <v/>
      </c>
      <c r="K853" s="7" t="n">
        <f aca="false">IF(G853&lt;0,A853,0)</f>
        <v>848</v>
      </c>
    </row>
    <row r="854" customFormat="false" ht="15" hidden="false" customHeight="false" outlineLevel="0" collapsed="false">
      <c r="A854" s="7" t="n">
        <f aca="false">A853+1</f>
        <v>849</v>
      </c>
      <c r="B854" s="7" t="n">
        <f aca="false">MAX('Giả định'!$B$9,ROUNDUP(A854/'Giả định'!$B$7,0)+'Giả định'!$B$8)</f>
        <v>86</v>
      </c>
      <c r="C854" s="25" t="n">
        <f aca="false">('Chi phí'!$C$76+'Chi phí'!$D$76*B854+'Chi phí'!$E$76*A854+'Giả định'!$B$15*('Chi phí'!$F$76+'Chi phí'!$G$76*B854+'Chi phí'!$H$76*A854))*(1+'Giả định'!$B$16)</f>
        <v>878841260</v>
      </c>
      <c r="D854" s="25" t="n">
        <f aca="false">('Chi phí'!$C$77+'Chi phí'!$D$77*B854+'Chi phí'!$E$77*A854+'Giả định'!$B$15*('Chi phí'!$F$77+'Chi phí'!$G$77*B854+'Chi phí'!$H$77*A854))*(1+'Giả định'!$B$16)</f>
        <v>1022446260</v>
      </c>
      <c r="E854" s="25" t="n">
        <f aca="false">A854/'Giả định'!$B$19*'Giả định'!$B$20+A854*'Giả định'!$B$23+'Giả định'!$B$24</f>
        <v>316056302.521008</v>
      </c>
      <c r="F854" s="25" t="n">
        <f aca="false">E854-D854</f>
        <v>-706389957.478992</v>
      </c>
      <c r="G854" s="25" t="n">
        <f aca="false">E854-C854</f>
        <v>-562784957.478992</v>
      </c>
      <c r="H854" s="7" t="str">
        <f aca="false">IF(F854&gt;=0,A854,"")</f>
        <v/>
      </c>
      <c r="I854" s="7" t="n">
        <f aca="false">IF(F854&lt;0,A854,0)</f>
        <v>849</v>
      </c>
      <c r="J854" s="7" t="str">
        <f aca="false">IF(G854&gt;=0,A854,"")</f>
        <v/>
      </c>
      <c r="K854" s="7" t="n">
        <f aca="false">IF(G854&lt;0,A854,0)</f>
        <v>849</v>
      </c>
    </row>
    <row r="855" customFormat="false" ht="15" hidden="false" customHeight="false" outlineLevel="0" collapsed="false">
      <c r="A855" s="7" t="n">
        <f aca="false">A854+1</f>
        <v>850</v>
      </c>
      <c r="B855" s="7" t="n">
        <f aca="false">MAX('Giả định'!$B$9,ROUNDUP(A855/'Giả định'!$B$7,0)+'Giả định'!$B$8)</f>
        <v>86</v>
      </c>
      <c r="C855" s="25" t="n">
        <f aca="false">('Chi phí'!$C$76+'Chi phí'!$D$76*B855+'Chi phí'!$E$76*A855+'Giả định'!$B$15*('Chi phí'!$F$76+'Chi phí'!$G$76*B855+'Chi phí'!$H$76*A855))*(1+'Giả định'!$B$16)</f>
        <v>878878000</v>
      </c>
      <c r="D855" s="25" t="n">
        <f aca="false">('Chi phí'!$C$77+'Chi phí'!$D$77*B855+'Chi phí'!$E$77*A855+'Giả định'!$B$15*('Chi phí'!$F$77+'Chi phí'!$G$77*B855+'Chi phí'!$H$77*A855))*(1+'Giả định'!$B$16)</f>
        <v>1022483000</v>
      </c>
      <c r="E855" s="25" t="n">
        <f aca="false">A855/'Giả định'!$B$19*'Giả định'!$B$20+A855*'Giả định'!$B$23+'Giả định'!$B$24</f>
        <v>316428571.428571</v>
      </c>
      <c r="F855" s="25" t="n">
        <f aca="false">E855-D855</f>
        <v>-706054428.571429</v>
      </c>
      <c r="G855" s="25" t="n">
        <f aca="false">E855-C855</f>
        <v>-562449428.571429</v>
      </c>
      <c r="H855" s="7" t="str">
        <f aca="false">IF(F855&gt;=0,A855,"")</f>
        <v/>
      </c>
      <c r="I855" s="7" t="n">
        <f aca="false">IF(F855&lt;0,A855,0)</f>
        <v>850</v>
      </c>
      <c r="J855" s="7" t="str">
        <f aca="false">IF(G855&gt;=0,A855,"")</f>
        <v/>
      </c>
      <c r="K855" s="7" t="n">
        <f aca="false">IF(G855&lt;0,A855,0)</f>
        <v>850</v>
      </c>
    </row>
    <row r="856" customFormat="false" ht="15" hidden="false" customHeight="false" outlineLevel="0" collapsed="false">
      <c r="A856" s="7" t="n">
        <f aca="false">A855+1</f>
        <v>851</v>
      </c>
      <c r="B856" s="7" t="n">
        <f aca="false">MAX('Giả định'!$B$9,ROUNDUP(A856/'Giả định'!$B$7,0)+'Giả định'!$B$8)</f>
        <v>87</v>
      </c>
      <c r="C856" s="25" t="n">
        <f aca="false">('Chi phí'!$C$76+'Chi phí'!$D$76*B856+'Chi phí'!$E$76*A856+'Giả định'!$B$15*('Chi phí'!$F$76+'Chi phí'!$G$76*B856+'Chi phí'!$H$76*A856))*(1+'Giả định'!$B$16)</f>
        <v>888088740</v>
      </c>
      <c r="D856" s="25" t="n">
        <f aca="false">('Chi phí'!$C$77+'Chi phí'!$D$77*B856+'Chi phí'!$E$77*A856+'Giả định'!$B$15*('Chi phí'!$F$77+'Chi phí'!$G$77*B856+'Chi phí'!$H$77*A856))*(1+'Giả định'!$B$16)</f>
        <v>1031693740</v>
      </c>
      <c r="E856" s="25" t="n">
        <f aca="false">A856/'Giả định'!$B$19*'Giả định'!$B$20+A856*'Giả định'!$B$23+'Giả định'!$B$24</f>
        <v>316800840.336135</v>
      </c>
      <c r="F856" s="25" t="n">
        <f aca="false">E856-D856</f>
        <v>-714892899.663866</v>
      </c>
      <c r="G856" s="25" t="n">
        <f aca="false">E856-C856</f>
        <v>-571287899.663866</v>
      </c>
      <c r="H856" s="7" t="str">
        <f aca="false">IF(F856&gt;=0,A856,"")</f>
        <v/>
      </c>
      <c r="I856" s="7" t="n">
        <f aca="false">IF(F856&lt;0,A856,0)</f>
        <v>851</v>
      </c>
      <c r="J856" s="7" t="str">
        <f aca="false">IF(G856&gt;=0,A856,"")</f>
        <v/>
      </c>
      <c r="K856" s="7" t="n">
        <f aca="false">IF(G856&lt;0,A856,0)</f>
        <v>851</v>
      </c>
    </row>
    <row r="857" customFormat="false" ht="15" hidden="false" customHeight="false" outlineLevel="0" collapsed="false">
      <c r="A857" s="7" t="n">
        <f aca="false">A856+1</f>
        <v>852</v>
      </c>
      <c r="B857" s="7" t="n">
        <f aca="false">MAX('Giả định'!$B$9,ROUNDUP(A857/'Giả định'!$B$7,0)+'Giả định'!$B$8)</f>
        <v>87</v>
      </c>
      <c r="C857" s="25" t="n">
        <f aca="false">('Chi phí'!$C$76+'Chi phí'!$D$76*B857+'Chi phí'!$E$76*A857+'Giả định'!$B$15*('Chi phí'!$F$76+'Chi phí'!$G$76*B857+'Chi phí'!$H$76*A857))*(1+'Giả định'!$B$16)</f>
        <v>888125480</v>
      </c>
      <c r="D857" s="25" t="n">
        <f aca="false">('Chi phí'!$C$77+'Chi phí'!$D$77*B857+'Chi phí'!$E$77*A857+'Giả định'!$B$15*('Chi phí'!$F$77+'Chi phí'!$G$77*B857+'Chi phí'!$H$77*A857))*(1+'Giả định'!$B$16)</f>
        <v>1031730480</v>
      </c>
      <c r="E857" s="25" t="n">
        <f aca="false">A857/'Giả định'!$B$19*'Giả định'!$B$20+A857*'Giả định'!$B$23+'Giả định'!$B$24</f>
        <v>317173109.243697</v>
      </c>
      <c r="F857" s="25" t="n">
        <f aca="false">E857-D857</f>
        <v>-714557370.756303</v>
      </c>
      <c r="G857" s="25" t="n">
        <f aca="false">E857-C857</f>
        <v>-570952370.756303</v>
      </c>
      <c r="H857" s="7" t="str">
        <f aca="false">IF(F857&gt;=0,A857,"")</f>
        <v/>
      </c>
      <c r="I857" s="7" t="n">
        <f aca="false">IF(F857&lt;0,A857,0)</f>
        <v>852</v>
      </c>
      <c r="J857" s="7" t="str">
        <f aca="false">IF(G857&gt;=0,A857,"")</f>
        <v/>
      </c>
      <c r="K857" s="7" t="n">
        <f aca="false">IF(G857&lt;0,A857,0)</f>
        <v>852</v>
      </c>
    </row>
    <row r="858" customFormat="false" ht="15" hidden="false" customHeight="false" outlineLevel="0" collapsed="false">
      <c r="A858" s="7" t="n">
        <f aca="false">A857+1</f>
        <v>853</v>
      </c>
      <c r="B858" s="7" t="n">
        <f aca="false">MAX('Giả định'!$B$9,ROUNDUP(A858/'Giả định'!$B$7,0)+'Giả định'!$B$8)</f>
        <v>87</v>
      </c>
      <c r="C858" s="25" t="n">
        <f aca="false">('Chi phí'!$C$76+'Chi phí'!$D$76*B858+'Chi phí'!$E$76*A858+'Giả định'!$B$15*('Chi phí'!$F$76+'Chi phí'!$G$76*B858+'Chi phí'!$H$76*A858))*(1+'Giả định'!$B$16)</f>
        <v>888162220</v>
      </c>
      <c r="D858" s="25" t="n">
        <f aca="false">('Chi phí'!$C$77+'Chi phí'!$D$77*B858+'Chi phí'!$E$77*A858+'Giả định'!$B$15*('Chi phí'!$F$77+'Chi phí'!$G$77*B858+'Chi phí'!$H$77*A858))*(1+'Giả định'!$B$16)</f>
        <v>1031767220</v>
      </c>
      <c r="E858" s="25" t="n">
        <f aca="false">A858/'Giả định'!$B$19*'Giả định'!$B$20+A858*'Giả định'!$B$23+'Giả định'!$B$24</f>
        <v>317545378.151261</v>
      </c>
      <c r="F858" s="25" t="n">
        <f aca="false">E858-D858</f>
        <v>-714221841.84874</v>
      </c>
      <c r="G858" s="25" t="n">
        <f aca="false">E858-C858</f>
        <v>-570616841.84874</v>
      </c>
      <c r="H858" s="7" t="str">
        <f aca="false">IF(F858&gt;=0,A858,"")</f>
        <v/>
      </c>
      <c r="I858" s="7" t="n">
        <f aca="false">IF(F858&lt;0,A858,0)</f>
        <v>853</v>
      </c>
      <c r="J858" s="7" t="str">
        <f aca="false">IF(G858&gt;=0,A858,"")</f>
        <v/>
      </c>
      <c r="K858" s="7" t="n">
        <f aca="false">IF(G858&lt;0,A858,0)</f>
        <v>853</v>
      </c>
    </row>
    <row r="859" customFormat="false" ht="15" hidden="false" customHeight="false" outlineLevel="0" collapsed="false">
      <c r="A859" s="7" t="n">
        <f aca="false">A858+1</f>
        <v>854</v>
      </c>
      <c r="B859" s="7" t="n">
        <f aca="false">MAX('Giả định'!$B$9,ROUNDUP(A859/'Giả định'!$B$7,0)+'Giả định'!$B$8)</f>
        <v>87</v>
      </c>
      <c r="C859" s="25" t="n">
        <f aca="false">('Chi phí'!$C$76+'Chi phí'!$D$76*B859+'Chi phí'!$E$76*A859+'Giả định'!$B$15*('Chi phí'!$F$76+'Chi phí'!$G$76*B859+'Chi phí'!$H$76*A859))*(1+'Giả định'!$B$16)</f>
        <v>888198960</v>
      </c>
      <c r="D859" s="25" t="n">
        <f aca="false">('Chi phí'!$C$77+'Chi phí'!$D$77*B859+'Chi phí'!$E$77*A859+'Giả định'!$B$15*('Chi phí'!$F$77+'Chi phí'!$G$77*B859+'Chi phí'!$H$77*A859))*(1+'Giả định'!$B$16)</f>
        <v>1031803960</v>
      </c>
      <c r="E859" s="25" t="n">
        <f aca="false">A859/'Giả định'!$B$19*'Giả định'!$B$20+A859*'Giả định'!$B$23+'Giả định'!$B$24</f>
        <v>317917647.058824</v>
      </c>
      <c r="F859" s="25" t="n">
        <f aca="false">E859-D859</f>
        <v>-713886312.941177</v>
      </c>
      <c r="G859" s="25" t="n">
        <f aca="false">E859-C859</f>
        <v>-570281312.941177</v>
      </c>
      <c r="H859" s="7" t="str">
        <f aca="false">IF(F859&gt;=0,A859,"")</f>
        <v/>
      </c>
      <c r="I859" s="7" t="n">
        <f aca="false">IF(F859&lt;0,A859,0)</f>
        <v>854</v>
      </c>
      <c r="J859" s="7" t="str">
        <f aca="false">IF(G859&gt;=0,A859,"")</f>
        <v/>
      </c>
      <c r="K859" s="7" t="n">
        <f aca="false">IF(G859&lt;0,A859,0)</f>
        <v>854</v>
      </c>
    </row>
    <row r="860" customFormat="false" ht="15" hidden="false" customHeight="false" outlineLevel="0" collapsed="false">
      <c r="A860" s="7" t="n">
        <f aca="false">A859+1</f>
        <v>855</v>
      </c>
      <c r="B860" s="7" t="n">
        <f aca="false">MAX('Giả định'!$B$9,ROUNDUP(A860/'Giả định'!$B$7,0)+'Giả định'!$B$8)</f>
        <v>87</v>
      </c>
      <c r="C860" s="25" t="n">
        <f aca="false">('Chi phí'!$C$76+'Chi phí'!$D$76*B860+'Chi phí'!$E$76*A860+'Giả định'!$B$15*('Chi phí'!$F$76+'Chi phí'!$G$76*B860+'Chi phí'!$H$76*A860))*(1+'Giả định'!$B$16)</f>
        <v>888235700</v>
      </c>
      <c r="D860" s="25" t="n">
        <f aca="false">('Chi phí'!$C$77+'Chi phí'!$D$77*B860+'Chi phí'!$E$77*A860+'Giả định'!$B$15*('Chi phí'!$F$77+'Chi phí'!$G$77*B860+'Chi phí'!$H$77*A860))*(1+'Giả định'!$B$16)</f>
        <v>1031840700</v>
      </c>
      <c r="E860" s="25" t="n">
        <f aca="false">A860/'Giả định'!$B$19*'Giả định'!$B$20+A860*'Giả định'!$B$23+'Giả định'!$B$24</f>
        <v>318289915.966387</v>
      </c>
      <c r="F860" s="25" t="n">
        <f aca="false">E860-D860</f>
        <v>-713550784.033614</v>
      </c>
      <c r="G860" s="25" t="n">
        <f aca="false">E860-C860</f>
        <v>-569945784.033614</v>
      </c>
      <c r="H860" s="7" t="str">
        <f aca="false">IF(F860&gt;=0,A860,"")</f>
        <v/>
      </c>
      <c r="I860" s="7" t="n">
        <f aca="false">IF(F860&lt;0,A860,0)</f>
        <v>855</v>
      </c>
      <c r="J860" s="7" t="str">
        <f aca="false">IF(G860&gt;=0,A860,"")</f>
        <v/>
      </c>
      <c r="K860" s="7" t="n">
        <f aca="false">IF(G860&lt;0,A860,0)</f>
        <v>855</v>
      </c>
    </row>
    <row r="861" customFormat="false" ht="15" hidden="false" customHeight="false" outlineLevel="0" collapsed="false">
      <c r="A861" s="7" t="n">
        <f aca="false">A860+1</f>
        <v>856</v>
      </c>
      <c r="B861" s="7" t="n">
        <f aca="false">MAX('Giả định'!$B$9,ROUNDUP(A861/'Giả định'!$B$7,0)+'Giả định'!$B$8)</f>
        <v>87</v>
      </c>
      <c r="C861" s="25" t="n">
        <f aca="false">('Chi phí'!$C$76+'Chi phí'!$D$76*B861+'Chi phí'!$E$76*A861+'Giả định'!$B$15*('Chi phí'!$F$76+'Chi phí'!$G$76*B861+'Chi phí'!$H$76*A861))*(1+'Giả định'!$B$16)</f>
        <v>888272440</v>
      </c>
      <c r="D861" s="25" t="n">
        <f aca="false">('Chi phí'!$C$77+'Chi phí'!$D$77*B861+'Chi phí'!$E$77*A861+'Giả định'!$B$15*('Chi phí'!$F$77+'Chi phí'!$G$77*B861+'Chi phí'!$H$77*A861))*(1+'Giả định'!$B$16)</f>
        <v>1031877440</v>
      </c>
      <c r="E861" s="25" t="n">
        <f aca="false">A861/'Giả định'!$B$19*'Giả định'!$B$20+A861*'Giả định'!$B$23+'Giả định'!$B$24</f>
        <v>318662184.87395</v>
      </c>
      <c r="F861" s="25" t="n">
        <f aca="false">E861-D861</f>
        <v>-713215255.126051</v>
      </c>
      <c r="G861" s="25" t="n">
        <f aca="false">E861-C861</f>
        <v>-569610255.126051</v>
      </c>
      <c r="H861" s="7" t="str">
        <f aca="false">IF(F861&gt;=0,A861,"")</f>
        <v/>
      </c>
      <c r="I861" s="7" t="n">
        <f aca="false">IF(F861&lt;0,A861,0)</f>
        <v>856</v>
      </c>
      <c r="J861" s="7" t="str">
        <f aca="false">IF(G861&gt;=0,A861,"")</f>
        <v/>
      </c>
      <c r="K861" s="7" t="n">
        <f aca="false">IF(G861&lt;0,A861,0)</f>
        <v>856</v>
      </c>
    </row>
    <row r="862" customFormat="false" ht="15" hidden="false" customHeight="false" outlineLevel="0" collapsed="false">
      <c r="A862" s="7" t="n">
        <f aca="false">A861+1</f>
        <v>857</v>
      </c>
      <c r="B862" s="7" t="n">
        <f aca="false">MAX('Giả định'!$B$9,ROUNDUP(A862/'Giả định'!$B$7,0)+'Giả định'!$B$8)</f>
        <v>87</v>
      </c>
      <c r="C862" s="25" t="n">
        <f aca="false">('Chi phí'!$C$76+'Chi phí'!$D$76*B862+'Chi phí'!$E$76*A862+'Giả định'!$B$15*('Chi phí'!$F$76+'Chi phí'!$G$76*B862+'Chi phí'!$H$76*A862))*(1+'Giả định'!$B$16)</f>
        <v>888309180</v>
      </c>
      <c r="D862" s="25" t="n">
        <f aca="false">('Chi phí'!$C$77+'Chi phí'!$D$77*B862+'Chi phí'!$E$77*A862+'Giả định'!$B$15*('Chi phí'!$F$77+'Chi phí'!$G$77*B862+'Chi phí'!$H$77*A862))*(1+'Giả định'!$B$16)</f>
        <v>1031914180</v>
      </c>
      <c r="E862" s="25" t="n">
        <f aca="false">A862/'Giả định'!$B$19*'Giả định'!$B$20+A862*'Giả định'!$B$23+'Giả định'!$B$24</f>
        <v>319034453.781513</v>
      </c>
      <c r="F862" s="25" t="n">
        <f aca="false">E862-D862</f>
        <v>-712879726.218488</v>
      </c>
      <c r="G862" s="25" t="n">
        <f aca="false">E862-C862</f>
        <v>-569274726.218488</v>
      </c>
      <c r="H862" s="7" t="str">
        <f aca="false">IF(F862&gt;=0,A862,"")</f>
        <v/>
      </c>
      <c r="I862" s="7" t="n">
        <f aca="false">IF(F862&lt;0,A862,0)</f>
        <v>857</v>
      </c>
      <c r="J862" s="7" t="str">
        <f aca="false">IF(G862&gt;=0,A862,"")</f>
        <v/>
      </c>
      <c r="K862" s="7" t="n">
        <f aca="false">IF(G862&lt;0,A862,0)</f>
        <v>857</v>
      </c>
    </row>
    <row r="863" customFormat="false" ht="15" hidden="false" customHeight="false" outlineLevel="0" collapsed="false">
      <c r="A863" s="7" t="n">
        <f aca="false">A862+1</f>
        <v>858</v>
      </c>
      <c r="B863" s="7" t="n">
        <f aca="false">MAX('Giả định'!$B$9,ROUNDUP(A863/'Giả định'!$B$7,0)+'Giả định'!$B$8)</f>
        <v>87</v>
      </c>
      <c r="C863" s="25" t="n">
        <f aca="false">('Chi phí'!$C$76+'Chi phí'!$D$76*B863+'Chi phí'!$E$76*A863+'Giả định'!$B$15*('Chi phí'!$F$76+'Chi phí'!$G$76*B863+'Chi phí'!$H$76*A863))*(1+'Giả định'!$B$16)</f>
        <v>888345920</v>
      </c>
      <c r="D863" s="25" t="n">
        <f aca="false">('Chi phí'!$C$77+'Chi phí'!$D$77*B863+'Chi phí'!$E$77*A863+'Giả định'!$B$15*('Chi phí'!$F$77+'Chi phí'!$G$77*B863+'Chi phí'!$H$77*A863))*(1+'Giả định'!$B$16)</f>
        <v>1031950920</v>
      </c>
      <c r="E863" s="25" t="n">
        <f aca="false">A863/'Giả định'!$B$19*'Giả định'!$B$20+A863*'Giả định'!$B$23+'Giả định'!$B$24</f>
        <v>319406722.689076</v>
      </c>
      <c r="F863" s="25" t="n">
        <f aca="false">E863-D863</f>
        <v>-712544197.310925</v>
      </c>
      <c r="G863" s="25" t="n">
        <f aca="false">E863-C863</f>
        <v>-568939197.310925</v>
      </c>
      <c r="H863" s="7" t="str">
        <f aca="false">IF(F863&gt;=0,A863,"")</f>
        <v/>
      </c>
      <c r="I863" s="7" t="n">
        <f aca="false">IF(F863&lt;0,A863,0)</f>
        <v>858</v>
      </c>
      <c r="J863" s="7" t="str">
        <f aca="false">IF(G863&gt;=0,A863,"")</f>
        <v/>
      </c>
      <c r="K863" s="7" t="n">
        <f aca="false">IF(G863&lt;0,A863,0)</f>
        <v>858</v>
      </c>
    </row>
    <row r="864" customFormat="false" ht="15" hidden="false" customHeight="false" outlineLevel="0" collapsed="false">
      <c r="A864" s="7" t="n">
        <f aca="false">A863+1</f>
        <v>859</v>
      </c>
      <c r="B864" s="7" t="n">
        <f aca="false">MAX('Giả định'!$B$9,ROUNDUP(A864/'Giả định'!$B$7,0)+'Giả định'!$B$8)</f>
        <v>87</v>
      </c>
      <c r="C864" s="25" t="n">
        <f aca="false">('Chi phí'!$C$76+'Chi phí'!$D$76*B864+'Chi phí'!$E$76*A864+'Giả định'!$B$15*('Chi phí'!$F$76+'Chi phí'!$G$76*B864+'Chi phí'!$H$76*A864))*(1+'Giả định'!$B$16)</f>
        <v>888382660</v>
      </c>
      <c r="D864" s="25" t="n">
        <f aca="false">('Chi phí'!$C$77+'Chi phí'!$D$77*B864+'Chi phí'!$E$77*A864+'Giả định'!$B$15*('Chi phí'!$F$77+'Chi phí'!$G$77*B864+'Chi phí'!$H$77*A864))*(1+'Giả định'!$B$16)</f>
        <v>1031987660</v>
      </c>
      <c r="E864" s="25" t="n">
        <f aca="false">A864/'Giả định'!$B$19*'Giả định'!$B$20+A864*'Giả định'!$B$23+'Giả định'!$B$24</f>
        <v>319778991.596639</v>
      </c>
      <c r="F864" s="25" t="n">
        <f aca="false">E864-D864</f>
        <v>-712208668.403362</v>
      </c>
      <c r="G864" s="25" t="n">
        <f aca="false">E864-C864</f>
        <v>-568603668.403362</v>
      </c>
      <c r="H864" s="7" t="str">
        <f aca="false">IF(F864&gt;=0,A864,"")</f>
        <v/>
      </c>
      <c r="I864" s="7" t="n">
        <f aca="false">IF(F864&lt;0,A864,0)</f>
        <v>859</v>
      </c>
      <c r="J864" s="7" t="str">
        <f aca="false">IF(G864&gt;=0,A864,"")</f>
        <v/>
      </c>
      <c r="K864" s="7" t="n">
        <f aca="false">IF(G864&lt;0,A864,0)</f>
        <v>859</v>
      </c>
    </row>
    <row r="865" customFormat="false" ht="15" hidden="false" customHeight="false" outlineLevel="0" collapsed="false">
      <c r="A865" s="7" t="n">
        <f aca="false">A864+1</f>
        <v>860</v>
      </c>
      <c r="B865" s="7" t="n">
        <f aca="false">MAX('Giả định'!$B$9,ROUNDUP(A865/'Giả định'!$B$7,0)+'Giả định'!$B$8)</f>
        <v>87</v>
      </c>
      <c r="C865" s="25" t="n">
        <f aca="false">('Chi phí'!$C$76+'Chi phí'!$D$76*B865+'Chi phí'!$E$76*A865+'Giả định'!$B$15*('Chi phí'!$F$76+'Chi phí'!$G$76*B865+'Chi phí'!$H$76*A865))*(1+'Giả định'!$B$16)</f>
        <v>888419400</v>
      </c>
      <c r="D865" s="25" t="n">
        <f aca="false">('Chi phí'!$C$77+'Chi phí'!$D$77*B865+'Chi phí'!$E$77*A865+'Giả định'!$B$15*('Chi phí'!$F$77+'Chi phí'!$G$77*B865+'Chi phí'!$H$77*A865))*(1+'Giả định'!$B$16)</f>
        <v>1032024400</v>
      </c>
      <c r="E865" s="25" t="n">
        <f aca="false">A865/'Giả định'!$B$19*'Giả định'!$B$20+A865*'Giả định'!$B$23+'Giả định'!$B$24</f>
        <v>320151260.504202</v>
      </c>
      <c r="F865" s="25" t="n">
        <f aca="false">E865-D865</f>
        <v>-711873139.495798</v>
      </c>
      <c r="G865" s="25" t="n">
        <f aca="false">E865-C865</f>
        <v>-568268139.495798</v>
      </c>
      <c r="H865" s="7" t="str">
        <f aca="false">IF(F865&gt;=0,A865,"")</f>
        <v/>
      </c>
      <c r="I865" s="7" t="n">
        <f aca="false">IF(F865&lt;0,A865,0)</f>
        <v>860</v>
      </c>
      <c r="J865" s="7" t="str">
        <f aca="false">IF(G865&gt;=0,A865,"")</f>
        <v/>
      </c>
      <c r="K865" s="7" t="n">
        <f aca="false">IF(G865&lt;0,A865,0)</f>
        <v>860</v>
      </c>
    </row>
    <row r="866" customFormat="false" ht="15" hidden="false" customHeight="false" outlineLevel="0" collapsed="false">
      <c r="A866" s="7" t="n">
        <f aca="false">A865+1</f>
        <v>861</v>
      </c>
      <c r="B866" s="7" t="n">
        <f aca="false">MAX('Giả định'!$B$9,ROUNDUP(A866/'Giả định'!$B$7,0)+'Giả định'!$B$8)</f>
        <v>88</v>
      </c>
      <c r="C866" s="25" t="n">
        <f aca="false">('Chi phí'!$C$76+'Chi phí'!$D$76*B866+'Chi phí'!$E$76*A866+'Giả định'!$B$15*('Chi phí'!$F$76+'Chi phí'!$G$76*B866+'Chi phí'!$H$76*A866))*(1+'Giả định'!$B$16)</f>
        <v>897630140</v>
      </c>
      <c r="D866" s="25" t="n">
        <f aca="false">('Chi phí'!$C$77+'Chi phí'!$D$77*B866+'Chi phí'!$E$77*A866+'Giả định'!$B$15*('Chi phí'!$F$77+'Chi phí'!$G$77*B866+'Chi phí'!$H$77*A866))*(1+'Giả định'!$B$16)</f>
        <v>1041235140</v>
      </c>
      <c r="E866" s="25" t="n">
        <f aca="false">A866/'Giả định'!$B$19*'Giả định'!$B$20+A866*'Giả định'!$B$23+'Giả định'!$B$24</f>
        <v>320523529.411765</v>
      </c>
      <c r="F866" s="25" t="n">
        <f aca="false">E866-D866</f>
        <v>-720711610.588235</v>
      </c>
      <c r="G866" s="25" t="n">
        <f aca="false">E866-C866</f>
        <v>-577106610.588235</v>
      </c>
      <c r="H866" s="7" t="str">
        <f aca="false">IF(F866&gt;=0,A866,"")</f>
        <v/>
      </c>
      <c r="I866" s="7" t="n">
        <f aca="false">IF(F866&lt;0,A866,0)</f>
        <v>861</v>
      </c>
      <c r="J866" s="7" t="str">
        <f aca="false">IF(G866&gt;=0,A866,"")</f>
        <v/>
      </c>
      <c r="K866" s="7" t="n">
        <f aca="false">IF(G866&lt;0,A866,0)</f>
        <v>861</v>
      </c>
    </row>
    <row r="867" customFormat="false" ht="15" hidden="false" customHeight="false" outlineLevel="0" collapsed="false">
      <c r="A867" s="7" t="n">
        <f aca="false">A866+1</f>
        <v>862</v>
      </c>
      <c r="B867" s="7" t="n">
        <f aca="false">MAX('Giả định'!$B$9,ROUNDUP(A867/'Giả định'!$B$7,0)+'Giả định'!$B$8)</f>
        <v>88</v>
      </c>
      <c r="C867" s="25" t="n">
        <f aca="false">('Chi phí'!$C$76+'Chi phí'!$D$76*B867+'Chi phí'!$E$76*A867+'Giả định'!$B$15*('Chi phí'!$F$76+'Chi phí'!$G$76*B867+'Chi phí'!$H$76*A867))*(1+'Giả định'!$B$16)</f>
        <v>897666880</v>
      </c>
      <c r="D867" s="25" t="n">
        <f aca="false">('Chi phí'!$C$77+'Chi phí'!$D$77*B867+'Chi phí'!$E$77*A867+'Giả định'!$B$15*('Chi phí'!$F$77+'Chi phí'!$G$77*B867+'Chi phí'!$H$77*A867))*(1+'Giả định'!$B$16)</f>
        <v>1041271880</v>
      </c>
      <c r="E867" s="25" t="n">
        <f aca="false">A867/'Giả định'!$B$19*'Giả định'!$B$20+A867*'Giả định'!$B$23+'Giả định'!$B$24</f>
        <v>320895798.319328</v>
      </c>
      <c r="F867" s="25" t="n">
        <f aca="false">E867-D867</f>
        <v>-720376081.680672</v>
      </c>
      <c r="G867" s="25" t="n">
        <f aca="false">E867-C867</f>
        <v>-576771081.680672</v>
      </c>
      <c r="H867" s="7" t="str">
        <f aca="false">IF(F867&gt;=0,A867,"")</f>
        <v/>
      </c>
      <c r="I867" s="7" t="n">
        <f aca="false">IF(F867&lt;0,A867,0)</f>
        <v>862</v>
      </c>
      <c r="J867" s="7" t="str">
        <f aca="false">IF(G867&gt;=0,A867,"")</f>
        <v/>
      </c>
      <c r="K867" s="7" t="n">
        <f aca="false">IF(G867&lt;0,A867,0)</f>
        <v>862</v>
      </c>
    </row>
    <row r="868" customFormat="false" ht="15" hidden="false" customHeight="false" outlineLevel="0" collapsed="false">
      <c r="A868" s="7" t="n">
        <f aca="false">A867+1</f>
        <v>863</v>
      </c>
      <c r="B868" s="7" t="n">
        <f aca="false">MAX('Giả định'!$B$9,ROUNDUP(A868/'Giả định'!$B$7,0)+'Giả định'!$B$8)</f>
        <v>88</v>
      </c>
      <c r="C868" s="25" t="n">
        <f aca="false">('Chi phí'!$C$76+'Chi phí'!$D$76*B868+'Chi phí'!$E$76*A868+'Giả định'!$B$15*('Chi phí'!$F$76+'Chi phí'!$G$76*B868+'Chi phí'!$H$76*A868))*(1+'Giả định'!$B$16)</f>
        <v>897703620</v>
      </c>
      <c r="D868" s="25" t="n">
        <f aca="false">('Chi phí'!$C$77+'Chi phí'!$D$77*B868+'Chi phí'!$E$77*A868+'Giả định'!$B$15*('Chi phí'!$F$77+'Chi phí'!$G$77*B868+'Chi phí'!$H$77*A868))*(1+'Giả định'!$B$16)</f>
        <v>1041308620</v>
      </c>
      <c r="E868" s="25" t="n">
        <f aca="false">A868/'Giả định'!$B$19*'Giả định'!$B$20+A868*'Giả định'!$B$23+'Giả định'!$B$24</f>
        <v>321268067.226891</v>
      </c>
      <c r="F868" s="25" t="n">
        <f aca="false">E868-D868</f>
        <v>-720040552.773109</v>
      </c>
      <c r="G868" s="25" t="n">
        <f aca="false">E868-C868</f>
        <v>-576435552.773109</v>
      </c>
      <c r="H868" s="7" t="str">
        <f aca="false">IF(F868&gt;=0,A868,"")</f>
        <v/>
      </c>
      <c r="I868" s="7" t="n">
        <f aca="false">IF(F868&lt;0,A868,0)</f>
        <v>863</v>
      </c>
      <c r="J868" s="7" t="str">
        <f aca="false">IF(G868&gt;=0,A868,"")</f>
        <v/>
      </c>
      <c r="K868" s="7" t="n">
        <f aca="false">IF(G868&lt;0,A868,0)</f>
        <v>863</v>
      </c>
    </row>
    <row r="869" customFormat="false" ht="15" hidden="false" customHeight="false" outlineLevel="0" collapsed="false">
      <c r="A869" s="7" t="n">
        <f aca="false">A868+1</f>
        <v>864</v>
      </c>
      <c r="B869" s="7" t="n">
        <f aca="false">MAX('Giả định'!$B$9,ROUNDUP(A869/'Giả định'!$B$7,0)+'Giả định'!$B$8)</f>
        <v>88</v>
      </c>
      <c r="C869" s="25" t="n">
        <f aca="false">('Chi phí'!$C$76+'Chi phí'!$D$76*B869+'Chi phí'!$E$76*A869+'Giả định'!$B$15*('Chi phí'!$F$76+'Chi phí'!$G$76*B869+'Chi phí'!$H$76*A869))*(1+'Giả định'!$B$16)</f>
        <v>897740360</v>
      </c>
      <c r="D869" s="25" t="n">
        <f aca="false">('Chi phí'!$C$77+'Chi phí'!$D$77*B869+'Chi phí'!$E$77*A869+'Giả định'!$B$15*('Chi phí'!$F$77+'Chi phí'!$G$77*B869+'Chi phí'!$H$77*A869))*(1+'Giả định'!$B$16)</f>
        <v>1041345360</v>
      </c>
      <c r="E869" s="25" t="n">
        <f aca="false">A869/'Giả định'!$B$19*'Giả định'!$B$20+A869*'Giả định'!$B$23+'Giả định'!$B$24</f>
        <v>321640336.134454</v>
      </c>
      <c r="F869" s="25" t="n">
        <f aca="false">E869-D869</f>
        <v>-719705023.865546</v>
      </c>
      <c r="G869" s="25" t="n">
        <f aca="false">E869-C869</f>
        <v>-576100023.865546</v>
      </c>
      <c r="H869" s="7" t="str">
        <f aca="false">IF(F869&gt;=0,A869,"")</f>
        <v/>
      </c>
      <c r="I869" s="7" t="n">
        <f aca="false">IF(F869&lt;0,A869,0)</f>
        <v>864</v>
      </c>
      <c r="J869" s="7" t="str">
        <f aca="false">IF(G869&gt;=0,A869,"")</f>
        <v/>
      </c>
      <c r="K869" s="7" t="n">
        <f aca="false">IF(G869&lt;0,A869,0)</f>
        <v>864</v>
      </c>
    </row>
    <row r="870" customFormat="false" ht="15" hidden="false" customHeight="false" outlineLevel="0" collapsed="false">
      <c r="A870" s="7" t="n">
        <f aca="false">A869+1</f>
        <v>865</v>
      </c>
      <c r="B870" s="7" t="n">
        <f aca="false">MAX('Giả định'!$B$9,ROUNDUP(A870/'Giả định'!$B$7,0)+'Giả định'!$B$8)</f>
        <v>88</v>
      </c>
      <c r="C870" s="25" t="n">
        <f aca="false">('Chi phí'!$C$76+'Chi phí'!$D$76*B870+'Chi phí'!$E$76*A870+'Giả định'!$B$15*('Chi phí'!$F$76+'Chi phí'!$G$76*B870+'Chi phí'!$H$76*A870))*(1+'Giả định'!$B$16)</f>
        <v>897777100</v>
      </c>
      <c r="D870" s="25" t="n">
        <f aca="false">('Chi phí'!$C$77+'Chi phí'!$D$77*B870+'Chi phí'!$E$77*A870+'Giả định'!$B$15*('Chi phí'!$F$77+'Chi phí'!$G$77*B870+'Chi phí'!$H$77*A870))*(1+'Giả định'!$B$16)</f>
        <v>1041382100</v>
      </c>
      <c r="E870" s="25" t="n">
        <f aca="false">A870/'Giả định'!$B$19*'Giả định'!$B$20+A870*'Giả định'!$B$23+'Giả định'!$B$24</f>
        <v>322012605.042017</v>
      </c>
      <c r="F870" s="25" t="n">
        <f aca="false">E870-D870</f>
        <v>-719369494.957983</v>
      </c>
      <c r="G870" s="25" t="n">
        <f aca="false">E870-C870</f>
        <v>-575764494.957983</v>
      </c>
      <c r="H870" s="7" t="str">
        <f aca="false">IF(F870&gt;=0,A870,"")</f>
        <v/>
      </c>
      <c r="I870" s="7" t="n">
        <f aca="false">IF(F870&lt;0,A870,0)</f>
        <v>865</v>
      </c>
      <c r="J870" s="7" t="str">
        <f aca="false">IF(G870&gt;=0,A870,"")</f>
        <v/>
      </c>
      <c r="K870" s="7" t="n">
        <f aca="false">IF(G870&lt;0,A870,0)</f>
        <v>865</v>
      </c>
    </row>
    <row r="871" customFormat="false" ht="15" hidden="false" customHeight="false" outlineLevel="0" collapsed="false">
      <c r="A871" s="7" t="n">
        <f aca="false">A870+1</f>
        <v>866</v>
      </c>
      <c r="B871" s="7" t="n">
        <f aca="false">MAX('Giả định'!$B$9,ROUNDUP(A871/'Giả định'!$B$7,0)+'Giả định'!$B$8)</f>
        <v>88</v>
      </c>
      <c r="C871" s="25" t="n">
        <f aca="false">('Chi phí'!$C$76+'Chi phí'!$D$76*B871+'Chi phí'!$E$76*A871+'Giả định'!$B$15*('Chi phí'!$F$76+'Chi phí'!$G$76*B871+'Chi phí'!$H$76*A871))*(1+'Giả định'!$B$16)</f>
        <v>897813840</v>
      </c>
      <c r="D871" s="25" t="n">
        <f aca="false">('Chi phí'!$C$77+'Chi phí'!$D$77*B871+'Chi phí'!$E$77*A871+'Giả định'!$B$15*('Chi phí'!$F$77+'Chi phí'!$G$77*B871+'Chi phí'!$H$77*A871))*(1+'Giả định'!$B$16)</f>
        <v>1041418840</v>
      </c>
      <c r="E871" s="25" t="n">
        <f aca="false">A871/'Giả định'!$B$19*'Giả định'!$B$20+A871*'Giả định'!$B$23+'Giả định'!$B$24</f>
        <v>322384873.94958</v>
      </c>
      <c r="F871" s="25" t="n">
        <f aca="false">E871-D871</f>
        <v>-719033966.05042</v>
      </c>
      <c r="G871" s="25" t="n">
        <f aca="false">E871-C871</f>
        <v>-575428966.05042</v>
      </c>
      <c r="H871" s="7" t="str">
        <f aca="false">IF(F871&gt;=0,A871,"")</f>
        <v/>
      </c>
      <c r="I871" s="7" t="n">
        <f aca="false">IF(F871&lt;0,A871,0)</f>
        <v>866</v>
      </c>
      <c r="J871" s="7" t="str">
        <f aca="false">IF(G871&gt;=0,A871,"")</f>
        <v/>
      </c>
      <c r="K871" s="7" t="n">
        <f aca="false">IF(G871&lt;0,A871,0)</f>
        <v>866</v>
      </c>
    </row>
    <row r="872" customFormat="false" ht="15" hidden="false" customHeight="false" outlineLevel="0" collapsed="false">
      <c r="A872" s="7" t="n">
        <f aca="false">A871+1</f>
        <v>867</v>
      </c>
      <c r="B872" s="7" t="n">
        <f aca="false">MAX('Giả định'!$B$9,ROUNDUP(A872/'Giả định'!$B$7,0)+'Giả định'!$B$8)</f>
        <v>88</v>
      </c>
      <c r="C872" s="25" t="n">
        <f aca="false">('Chi phí'!$C$76+'Chi phí'!$D$76*B872+'Chi phí'!$E$76*A872+'Giả định'!$B$15*('Chi phí'!$F$76+'Chi phí'!$G$76*B872+'Chi phí'!$H$76*A872))*(1+'Giả định'!$B$16)</f>
        <v>897850580</v>
      </c>
      <c r="D872" s="25" t="n">
        <f aca="false">('Chi phí'!$C$77+'Chi phí'!$D$77*B872+'Chi phí'!$E$77*A872+'Giả định'!$B$15*('Chi phí'!$F$77+'Chi phí'!$G$77*B872+'Chi phí'!$H$77*A872))*(1+'Giả định'!$B$16)</f>
        <v>1041455580</v>
      </c>
      <c r="E872" s="25" t="n">
        <f aca="false">A872/'Giả định'!$B$19*'Giả định'!$B$20+A872*'Giả định'!$B$23+'Giả định'!$B$24</f>
        <v>322757142.857143</v>
      </c>
      <c r="F872" s="25" t="n">
        <f aca="false">E872-D872</f>
        <v>-718698437.142857</v>
      </c>
      <c r="G872" s="25" t="n">
        <f aca="false">E872-C872</f>
        <v>-575093437.142857</v>
      </c>
      <c r="H872" s="7" t="str">
        <f aca="false">IF(F872&gt;=0,A872,"")</f>
        <v/>
      </c>
      <c r="I872" s="7" t="n">
        <f aca="false">IF(F872&lt;0,A872,0)</f>
        <v>867</v>
      </c>
      <c r="J872" s="7" t="str">
        <f aca="false">IF(G872&gt;=0,A872,"")</f>
        <v/>
      </c>
      <c r="K872" s="7" t="n">
        <f aca="false">IF(G872&lt;0,A872,0)</f>
        <v>867</v>
      </c>
    </row>
    <row r="873" customFormat="false" ht="15" hidden="false" customHeight="false" outlineLevel="0" collapsed="false">
      <c r="A873" s="7" t="n">
        <f aca="false">A872+1</f>
        <v>868</v>
      </c>
      <c r="B873" s="7" t="n">
        <f aca="false">MAX('Giả định'!$B$9,ROUNDUP(A873/'Giả định'!$B$7,0)+'Giả định'!$B$8)</f>
        <v>88</v>
      </c>
      <c r="C873" s="25" t="n">
        <f aca="false">('Chi phí'!$C$76+'Chi phí'!$D$76*B873+'Chi phí'!$E$76*A873+'Giả định'!$B$15*('Chi phí'!$F$76+'Chi phí'!$G$76*B873+'Chi phí'!$H$76*A873))*(1+'Giả định'!$B$16)</f>
        <v>897887320</v>
      </c>
      <c r="D873" s="25" t="n">
        <f aca="false">('Chi phí'!$C$77+'Chi phí'!$D$77*B873+'Chi phí'!$E$77*A873+'Giả định'!$B$15*('Chi phí'!$F$77+'Chi phí'!$G$77*B873+'Chi phí'!$H$77*A873))*(1+'Giả định'!$B$16)</f>
        <v>1041492320</v>
      </c>
      <c r="E873" s="25" t="n">
        <f aca="false">A873/'Giả định'!$B$19*'Giả định'!$B$20+A873*'Giả định'!$B$23+'Giả định'!$B$24</f>
        <v>323129411.764706</v>
      </c>
      <c r="F873" s="25" t="n">
        <f aca="false">E873-D873</f>
        <v>-718362908.235294</v>
      </c>
      <c r="G873" s="25" t="n">
        <f aca="false">E873-C873</f>
        <v>-574757908.235294</v>
      </c>
      <c r="H873" s="7" t="str">
        <f aca="false">IF(F873&gt;=0,A873,"")</f>
        <v/>
      </c>
      <c r="I873" s="7" t="n">
        <f aca="false">IF(F873&lt;0,A873,0)</f>
        <v>868</v>
      </c>
      <c r="J873" s="7" t="str">
        <f aca="false">IF(G873&gt;=0,A873,"")</f>
        <v/>
      </c>
      <c r="K873" s="7" t="n">
        <f aca="false">IF(G873&lt;0,A873,0)</f>
        <v>868</v>
      </c>
    </row>
    <row r="874" customFormat="false" ht="15" hidden="false" customHeight="false" outlineLevel="0" collapsed="false">
      <c r="A874" s="7" t="n">
        <f aca="false">A873+1</f>
        <v>869</v>
      </c>
      <c r="B874" s="7" t="n">
        <f aca="false">MAX('Giả định'!$B$9,ROUNDUP(A874/'Giả định'!$B$7,0)+'Giả định'!$B$8)</f>
        <v>88</v>
      </c>
      <c r="C874" s="25" t="n">
        <f aca="false">('Chi phí'!$C$76+'Chi phí'!$D$76*B874+'Chi phí'!$E$76*A874+'Giả định'!$B$15*('Chi phí'!$F$76+'Chi phí'!$G$76*B874+'Chi phí'!$H$76*A874))*(1+'Giả định'!$B$16)</f>
        <v>897924060</v>
      </c>
      <c r="D874" s="25" t="n">
        <f aca="false">('Chi phí'!$C$77+'Chi phí'!$D$77*B874+'Chi phí'!$E$77*A874+'Giả định'!$B$15*('Chi phí'!$F$77+'Chi phí'!$G$77*B874+'Chi phí'!$H$77*A874))*(1+'Giả định'!$B$16)</f>
        <v>1041529060</v>
      </c>
      <c r="E874" s="25" t="n">
        <f aca="false">A874/'Giả định'!$B$19*'Giả định'!$B$20+A874*'Giả định'!$B$23+'Giả định'!$B$24</f>
        <v>323501680.672269</v>
      </c>
      <c r="F874" s="25" t="n">
        <f aca="false">E874-D874</f>
        <v>-718027379.327731</v>
      </c>
      <c r="G874" s="25" t="n">
        <f aca="false">E874-C874</f>
        <v>-574422379.327731</v>
      </c>
      <c r="H874" s="7" t="str">
        <f aca="false">IF(F874&gt;=0,A874,"")</f>
        <v/>
      </c>
      <c r="I874" s="7" t="n">
        <f aca="false">IF(F874&lt;0,A874,0)</f>
        <v>869</v>
      </c>
      <c r="J874" s="7" t="str">
        <f aca="false">IF(G874&gt;=0,A874,"")</f>
        <v/>
      </c>
      <c r="K874" s="7" t="n">
        <f aca="false">IF(G874&lt;0,A874,0)</f>
        <v>869</v>
      </c>
    </row>
    <row r="875" customFormat="false" ht="15" hidden="false" customHeight="false" outlineLevel="0" collapsed="false">
      <c r="A875" s="7" t="n">
        <f aca="false">A874+1</f>
        <v>870</v>
      </c>
      <c r="B875" s="7" t="n">
        <f aca="false">MAX('Giả định'!$B$9,ROUNDUP(A875/'Giả định'!$B$7,0)+'Giả định'!$B$8)</f>
        <v>88</v>
      </c>
      <c r="C875" s="25" t="n">
        <f aca="false">('Chi phí'!$C$76+'Chi phí'!$D$76*B875+'Chi phí'!$E$76*A875+'Giả định'!$B$15*('Chi phí'!$F$76+'Chi phí'!$G$76*B875+'Chi phí'!$H$76*A875))*(1+'Giả định'!$B$16)</f>
        <v>897960800</v>
      </c>
      <c r="D875" s="25" t="n">
        <f aca="false">('Chi phí'!$C$77+'Chi phí'!$D$77*B875+'Chi phí'!$E$77*A875+'Giả định'!$B$15*('Chi phí'!$F$77+'Chi phí'!$G$77*B875+'Chi phí'!$H$77*A875))*(1+'Giả định'!$B$16)</f>
        <v>1041565800</v>
      </c>
      <c r="E875" s="25" t="n">
        <f aca="false">A875/'Giả định'!$B$19*'Giả định'!$B$20+A875*'Giả định'!$B$23+'Giả định'!$B$24</f>
        <v>323873949.579832</v>
      </c>
      <c r="F875" s="25" t="n">
        <f aca="false">E875-D875</f>
        <v>-717691850.420168</v>
      </c>
      <c r="G875" s="25" t="n">
        <f aca="false">E875-C875</f>
        <v>-574086850.420168</v>
      </c>
      <c r="H875" s="7" t="str">
        <f aca="false">IF(F875&gt;=0,A875,"")</f>
        <v/>
      </c>
      <c r="I875" s="7" t="n">
        <f aca="false">IF(F875&lt;0,A875,0)</f>
        <v>870</v>
      </c>
      <c r="J875" s="7" t="str">
        <f aca="false">IF(G875&gt;=0,A875,"")</f>
        <v/>
      </c>
      <c r="K875" s="7" t="n">
        <f aca="false">IF(G875&lt;0,A875,0)</f>
        <v>870</v>
      </c>
    </row>
    <row r="876" customFormat="false" ht="15" hidden="false" customHeight="false" outlineLevel="0" collapsed="false">
      <c r="A876" s="7" t="n">
        <f aca="false">A875+1</f>
        <v>871</v>
      </c>
      <c r="B876" s="7" t="n">
        <f aca="false">MAX('Giả định'!$B$9,ROUNDUP(A876/'Giả định'!$B$7,0)+'Giả định'!$B$8)</f>
        <v>89</v>
      </c>
      <c r="C876" s="25" t="n">
        <f aca="false">('Chi phí'!$C$76+'Chi phí'!$D$76*B876+'Chi phí'!$E$76*A876+'Giả định'!$B$15*('Chi phí'!$F$76+'Chi phí'!$G$76*B876+'Chi phí'!$H$76*A876))*(1+'Giả định'!$B$16)</f>
        <v>907171540</v>
      </c>
      <c r="D876" s="25" t="n">
        <f aca="false">('Chi phí'!$C$77+'Chi phí'!$D$77*B876+'Chi phí'!$E$77*A876+'Giả định'!$B$15*('Chi phí'!$F$77+'Chi phí'!$G$77*B876+'Chi phí'!$H$77*A876))*(1+'Giả định'!$B$16)</f>
        <v>1050776540</v>
      </c>
      <c r="E876" s="25" t="n">
        <f aca="false">A876/'Giả định'!$B$19*'Giả định'!$B$20+A876*'Giả định'!$B$23+'Giả định'!$B$24</f>
        <v>324246218.487395</v>
      </c>
      <c r="F876" s="25" t="n">
        <f aca="false">E876-D876</f>
        <v>-726530321.512605</v>
      </c>
      <c r="G876" s="25" t="n">
        <f aca="false">E876-C876</f>
        <v>-582925321.512605</v>
      </c>
      <c r="H876" s="7" t="str">
        <f aca="false">IF(F876&gt;=0,A876,"")</f>
        <v/>
      </c>
      <c r="I876" s="7" t="n">
        <f aca="false">IF(F876&lt;0,A876,0)</f>
        <v>871</v>
      </c>
      <c r="J876" s="7" t="str">
        <f aca="false">IF(G876&gt;=0,A876,"")</f>
        <v/>
      </c>
      <c r="K876" s="7" t="n">
        <f aca="false">IF(G876&lt;0,A876,0)</f>
        <v>871</v>
      </c>
    </row>
    <row r="877" customFormat="false" ht="15" hidden="false" customHeight="false" outlineLevel="0" collapsed="false">
      <c r="A877" s="7" t="n">
        <f aca="false">A876+1</f>
        <v>872</v>
      </c>
      <c r="B877" s="7" t="n">
        <f aca="false">MAX('Giả định'!$B$9,ROUNDUP(A877/'Giả định'!$B$7,0)+'Giả định'!$B$8)</f>
        <v>89</v>
      </c>
      <c r="C877" s="25" t="n">
        <f aca="false">('Chi phí'!$C$76+'Chi phí'!$D$76*B877+'Chi phí'!$E$76*A877+'Giả định'!$B$15*('Chi phí'!$F$76+'Chi phí'!$G$76*B877+'Chi phí'!$H$76*A877))*(1+'Giả định'!$B$16)</f>
        <v>907208280</v>
      </c>
      <c r="D877" s="25" t="n">
        <f aca="false">('Chi phí'!$C$77+'Chi phí'!$D$77*B877+'Chi phí'!$E$77*A877+'Giả định'!$B$15*('Chi phí'!$F$77+'Chi phí'!$G$77*B877+'Chi phí'!$H$77*A877))*(1+'Giả định'!$B$16)</f>
        <v>1050813280</v>
      </c>
      <c r="E877" s="25" t="n">
        <f aca="false">A877/'Giả định'!$B$19*'Giả định'!$B$20+A877*'Giả định'!$B$23+'Giả định'!$B$24</f>
        <v>324618487.394958</v>
      </c>
      <c r="F877" s="25" t="n">
        <f aca="false">E877-D877</f>
        <v>-726194792.605042</v>
      </c>
      <c r="G877" s="25" t="n">
        <f aca="false">E877-C877</f>
        <v>-582589792.605042</v>
      </c>
      <c r="H877" s="7" t="str">
        <f aca="false">IF(F877&gt;=0,A877,"")</f>
        <v/>
      </c>
      <c r="I877" s="7" t="n">
        <f aca="false">IF(F877&lt;0,A877,0)</f>
        <v>872</v>
      </c>
      <c r="J877" s="7" t="str">
        <f aca="false">IF(G877&gt;=0,A877,"")</f>
        <v/>
      </c>
      <c r="K877" s="7" t="n">
        <f aca="false">IF(G877&lt;0,A877,0)</f>
        <v>872</v>
      </c>
    </row>
    <row r="878" customFormat="false" ht="15" hidden="false" customHeight="false" outlineLevel="0" collapsed="false">
      <c r="A878" s="7" t="n">
        <f aca="false">A877+1</f>
        <v>873</v>
      </c>
      <c r="B878" s="7" t="n">
        <f aca="false">MAX('Giả định'!$B$9,ROUNDUP(A878/'Giả định'!$B$7,0)+'Giả định'!$B$8)</f>
        <v>89</v>
      </c>
      <c r="C878" s="25" t="n">
        <f aca="false">('Chi phí'!$C$76+'Chi phí'!$D$76*B878+'Chi phí'!$E$76*A878+'Giả định'!$B$15*('Chi phí'!$F$76+'Chi phí'!$G$76*B878+'Chi phí'!$H$76*A878))*(1+'Giả định'!$B$16)</f>
        <v>907245020</v>
      </c>
      <c r="D878" s="25" t="n">
        <f aca="false">('Chi phí'!$C$77+'Chi phí'!$D$77*B878+'Chi phí'!$E$77*A878+'Giả định'!$B$15*('Chi phí'!$F$77+'Chi phí'!$G$77*B878+'Chi phí'!$H$77*A878))*(1+'Giả định'!$B$16)</f>
        <v>1050850020</v>
      </c>
      <c r="E878" s="25" t="n">
        <f aca="false">A878/'Giả định'!$B$19*'Giả định'!$B$20+A878*'Giả định'!$B$23+'Giả định'!$B$24</f>
        <v>324990756.302521</v>
      </c>
      <c r="F878" s="25" t="n">
        <f aca="false">E878-D878</f>
        <v>-725859263.697479</v>
      </c>
      <c r="G878" s="25" t="n">
        <f aca="false">E878-C878</f>
        <v>-582254263.697479</v>
      </c>
      <c r="H878" s="7" t="str">
        <f aca="false">IF(F878&gt;=0,A878,"")</f>
        <v/>
      </c>
      <c r="I878" s="7" t="n">
        <f aca="false">IF(F878&lt;0,A878,0)</f>
        <v>873</v>
      </c>
      <c r="J878" s="7" t="str">
        <f aca="false">IF(G878&gt;=0,A878,"")</f>
        <v/>
      </c>
      <c r="K878" s="7" t="n">
        <f aca="false">IF(G878&lt;0,A878,0)</f>
        <v>873</v>
      </c>
    </row>
    <row r="879" customFormat="false" ht="15" hidden="false" customHeight="false" outlineLevel="0" collapsed="false">
      <c r="A879" s="7" t="n">
        <f aca="false">A878+1</f>
        <v>874</v>
      </c>
      <c r="B879" s="7" t="n">
        <f aca="false">MAX('Giả định'!$B$9,ROUNDUP(A879/'Giả định'!$B$7,0)+'Giả định'!$B$8)</f>
        <v>89</v>
      </c>
      <c r="C879" s="25" t="n">
        <f aca="false">('Chi phí'!$C$76+'Chi phí'!$D$76*B879+'Chi phí'!$E$76*A879+'Giả định'!$B$15*('Chi phí'!$F$76+'Chi phí'!$G$76*B879+'Chi phí'!$H$76*A879))*(1+'Giả định'!$B$16)</f>
        <v>907281760</v>
      </c>
      <c r="D879" s="25" t="n">
        <f aca="false">('Chi phí'!$C$77+'Chi phí'!$D$77*B879+'Chi phí'!$E$77*A879+'Giả định'!$B$15*('Chi phí'!$F$77+'Chi phí'!$G$77*B879+'Chi phí'!$H$77*A879))*(1+'Giả định'!$B$16)</f>
        <v>1050886760</v>
      </c>
      <c r="E879" s="25" t="n">
        <f aca="false">A879/'Giả định'!$B$19*'Giả định'!$B$20+A879*'Giả định'!$B$23+'Giả định'!$B$24</f>
        <v>325363025.210084</v>
      </c>
      <c r="F879" s="25" t="n">
        <f aca="false">E879-D879</f>
        <v>-725523734.789916</v>
      </c>
      <c r="G879" s="25" t="n">
        <f aca="false">E879-C879</f>
        <v>-581918734.789916</v>
      </c>
      <c r="H879" s="7" t="str">
        <f aca="false">IF(F879&gt;=0,A879,"")</f>
        <v/>
      </c>
      <c r="I879" s="7" t="n">
        <f aca="false">IF(F879&lt;0,A879,0)</f>
        <v>874</v>
      </c>
      <c r="J879" s="7" t="str">
        <f aca="false">IF(G879&gt;=0,A879,"")</f>
        <v/>
      </c>
      <c r="K879" s="7" t="n">
        <f aca="false">IF(G879&lt;0,A879,0)</f>
        <v>874</v>
      </c>
    </row>
    <row r="880" customFormat="false" ht="15" hidden="false" customHeight="false" outlineLevel="0" collapsed="false">
      <c r="A880" s="7" t="n">
        <f aca="false">A879+1</f>
        <v>875</v>
      </c>
      <c r="B880" s="7" t="n">
        <f aca="false">MAX('Giả định'!$B$9,ROUNDUP(A880/'Giả định'!$B$7,0)+'Giả định'!$B$8)</f>
        <v>89</v>
      </c>
      <c r="C880" s="25" t="n">
        <f aca="false">('Chi phí'!$C$76+'Chi phí'!$D$76*B880+'Chi phí'!$E$76*A880+'Giả định'!$B$15*('Chi phí'!$F$76+'Chi phí'!$G$76*B880+'Chi phí'!$H$76*A880))*(1+'Giả định'!$B$16)</f>
        <v>907318500</v>
      </c>
      <c r="D880" s="25" t="n">
        <f aca="false">('Chi phí'!$C$77+'Chi phí'!$D$77*B880+'Chi phí'!$E$77*A880+'Giả định'!$B$15*('Chi phí'!$F$77+'Chi phí'!$G$77*B880+'Chi phí'!$H$77*A880))*(1+'Giả định'!$B$16)</f>
        <v>1050923500</v>
      </c>
      <c r="E880" s="25" t="n">
        <f aca="false">A880/'Giả định'!$B$19*'Giả định'!$B$20+A880*'Giả định'!$B$23+'Giả định'!$B$24</f>
        <v>325735294.117647</v>
      </c>
      <c r="F880" s="25" t="n">
        <f aca="false">E880-D880</f>
        <v>-725188205.882353</v>
      </c>
      <c r="G880" s="25" t="n">
        <f aca="false">E880-C880</f>
        <v>-581583205.882353</v>
      </c>
      <c r="H880" s="7" t="str">
        <f aca="false">IF(F880&gt;=0,A880,"")</f>
        <v/>
      </c>
      <c r="I880" s="7" t="n">
        <f aca="false">IF(F880&lt;0,A880,0)</f>
        <v>875</v>
      </c>
      <c r="J880" s="7" t="str">
        <f aca="false">IF(G880&gt;=0,A880,"")</f>
        <v/>
      </c>
      <c r="K880" s="7" t="n">
        <f aca="false">IF(G880&lt;0,A880,0)</f>
        <v>875</v>
      </c>
    </row>
    <row r="881" customFormat="false" ht="15" hidden="false" customHeight="false" outlineLevel="0" collapsed="false">
      <c r="A881" s="7" t="n">
        <f aca="false">A880+1</f>
        <v>876</v>
      </c>
      <c r="B881" s="7" t="n">
        <f aca="false">MAX('Giả định'!$B$9,ROUNDUP(A881/'Giả định'!$B$7,0)+'Giả định'!$B$8)</f>
        <v>89</v>
      </c>
      <c r="C881" s="25" t="n">
        <f aca="false">('Chi phí'!$C$76+'Chi phí'!$D$76*B881+'Chi phí'!$E$76*A881+'Giả định'!$B$15*('Chi phí'!$F$76+'Chi phí'!$G$76*B881+'Chi phí'!$H$76*A881))*(1+'Giả định'!$B$16)</f>
        <v>907355240</v>
      </c>
      <c r="D881" s="25" t="n">
        <f aca="false">('Chi phí'!$C$77+'Chi phí'!$D$77*B881+'Chi phí'!$E$77*A881+'Giả định'!$B$15*('Chi phí'!$F$77+'Chi phí'!$G$77*B881+'Chi phí'!$H$77*A881))*(1+'Giả định'!$B$16)</f>
        <v>1050960240</v>
      </c>
      <c r="E881" s="25" t="n">
        <f aca="false">A881/'Giả định'!$B$19*'Giả định'!$B$20+A881*'Giả định'!$B$23+'Giả định'!$B$24</f>
        <v>326107563.02521</v>
      </c>
      <c r="F881" s="25" t="n">
        <f aca="false">E881-D881</f>
        <v>-724852676.97479</v>
      </c>
      <c r="G881" s="25" t="n">
        <f aca="false">E881-C881</f>
        <v>-581247676.97479</v>
      </c>
      <c r="H881" s="7" t="str">
        <f aca="false">IF(F881&gt;=0,A881,"")</f>
        <v/>
      </c>
      <c r="I881" s="7" t="n">
        <f aca="false">IF(F881&lt;0,A881,0)</f>
        <v>876</v>
      </c>
      <c r="J881" s="7" t="str">
        <f aca="false">IF(G881&gt;=0,A881,"")</f>
        <v/>
      </c>
      <c r="K881" s="7" t="n">
        <f aca="false">IF(G881&lt;0,A881,0)</f>
        <v>876</v>
      </c>
    </row>
    <row r="882" customFormat="false" ht="15" hidden="false" customHeight="false" outlineLevel="0" collapsed="false">
      <c r="A882" s="7" t="n">
        <f aca="false">A881+1</f>
        <v>877</v>
      </c>
      <c r="B882" s="7" t="n">
        <f aca="false">MAX('Giả định'!$B$9,ROUNDUP(A882/'Giả định'!$B$7,0)+'Giả định'!$B$8)</f>
        <v>89</v>
      </c>
      <c r="C882" s="25" t="n">
        <f aca="false">('Chi phí'!$C$76+'Chi phí'!$D$76*B882+'Chi phí'!$E$76*A882+'Giả định'!$B$15*('Chi phí'!$F$76+'Chi phí'!$G$76*B882+'Chi phí'!$H$76*A882))*(1+'Giả định'!$B$16)</f>
        <v>907391980</v>
      </c>
      <c r="D882" s="25" t="n">
        <f aca="false">('Chi phí'!$C$77+'Chi phí'!$D$77*B882+'Chi phí'!$E$77*A882+'Giả định'!$B$15*('Chi phí'!$F$77+'Chi phí'!$G$77*B882+'Chi phí'!$H$77*A882))*(1+'Giả định'!$B$16)</f>
        <v>1050996980</v>
      </c>
      <c r="E882" s="25" t="n">
        <f aca="false">A882/'Giả định'!$B$19*'Giả định'!$B$20+A882*'Giả định'!$B$23+'Giả định'!$B$24</f>
        <v>326479831.932773</v>
      </c>
      <c r="F882" s="25" t="n">
        <f aca="false">E882-D882</f>
        <v>-724517148.067227</v>
      </c>
      <c r="G882" s="25" t="n">
        <f aca="false">E882-C882</f>
        <v>-580912148.067227</v>
      </c>
      <c r="H882" s="7" t="str">
        <f aca="false">IF(F882&gt;=0,A882,"")</f>
        <v/>
      </c>
      <c r="I882" s="7" t="n">
        <f aca="false">IF(F882&lt;0,A882,0)</f>
        <v>877</v>
      </c>
      <c r="J882" s="7" t="str">
        <f aca="false">IF(G882&gt;=0,A882,"")</f>
        <v/>
      </c>
      <c r="K882" s="7" t="n">
        <f aca="false">IF(G882&lt;0,A882,0)</f>
        <v>877</v>
      </c>
    </row>
    <row r="883" customFormat="false" ht="15" hidden="false" customHeight="false" outlineLevel="0" collapsed="false">
      <c r="A883" s="7" t="n">
        <f aca="false">A882+1</f>
        <v>878</v>
      </c>
      <c r="B883" s="7" t="n">
        <f aca="false">MAX('Giả định'!$B$9,ROUNDUP(A883/'Giả định'!$B$7,0)+'Giả định'!$B$8)</f>
        <v>89</v>
      </c>
      <c r="C883" s="25" t="n">
        <f aca="false">('Chi phí'!$C$76+'Chi phí'!$D$76*B883+'Chi phí'!$E$76*A883+'Giả định'!$B$15*('Chi phí'!$F$76+'Chi phí'!$G$76*B883+'Chi phí'!$H$76*A883))*(1+'Giả định'!$B$16)</f>
        <v>907428720</v>
      </c>
      <c r="D883" s="25" t="n">
        <f aca="false">('Chi phí'!$C$77+'Chi phí'!$D$77*B883+'Chi phí'!$E$77*A883+'Giả định'!$B$15*('Chi phí'!$F$77+'Chi phí'!$G$77*B883+'Chi phí'!$H$77*A883))*(1+'Giả định'!$B$16)</f>
        <v>1051033720</v>
      </c>
      <c r="E883" s="25" t="n">
        <f aca="false">A883/'Giả định'!$B$19*'Giả định'!$B$20+A883*'Giả định'!$B$23+'Giả định'!$B$24</f>
        <v>326852100.840336</v>
      </c>
      <c r="F883" s="25" t="n">
        <f aca="false">E883-D883</f>
        <v>-724181619.159664</v>
      </c>
      <c r="G883" s="25" t="n">
        <f aca="false">E883-C883</f>
        <v>-580576619.159664</v>
      </c>
      <c r="H883" s="7" t="str">
        <f aca="false">IF(F883&gt;=0,A883,"")</f>
        <v/>
      </c>
      <c r="I883" s="7" t="n">
        <f aca="false">IF(F883&lt;0,A883,0)</f>
        <v>878</v>
      </c>
      <c r="J883" s="7" t="str">
        <f aca="false">IF(G883&gt;=0,A883,"")</f>
        <v/>
      </c>
      <c r="K883" s="7" t="n">
        <f aca="false">IF(G883&lt;0,A883,0)</f>
        <v>878</v>
      </c>
    </row>
    <row r="884" customFormat="false" ht="15" hidden="false" customHeight="false" outlineLevel="0" collapsed="false">
      <c r="A884" s="7" t="n">
        <f aca="false">A883+1</f>
        <v>879</v>
      </c>
      <c r="B884" s="7" t="n">
        <f aca="false">MAX('Giả định'!$B$9,ROUNDUP(A884/'Giả định'!$B$7,0)+'Giả định'!$B$8)</f>
        <v>89</v>
      </c>
      <c r="C884" s="25" t="n">
        <f aca="false">('Chi phí'!$C$76+'Chi phí'!$D$76*B884+'Chi phí'!$E$76*A884+'Giả định'!$B$15*('Chi phí'!$F$76+'Chi phí'!$G$76*B884+'Chi phí'!$H$76*A884))*(1+'Giả định'!$B$16)</f>
        <v>907465460</v>
      </c>
      <c r="D884" s="25" t="n">
        <f aca="false">('Chi phí'!$C$77+'Chi phí'!$D$77*B884+'Chi phí'!$E$77*A884+'Giả định'!$B$15*('Chi phí'!$F$77+'Chi phí'!$G$77*B884+'Chi phí'!$H$77*A884))*(1+'Giả định'!$B$16)</f>
        <v>1051070460</v>
      </c>
      <c r="E884" s="25" t="n">
        <f aca="false">A884/'Giả định'!$B$19*'Giả định'!$B$20+A884*'Giả định'!$B$23+'Giả định'!$B$24</f>
        <v>327224369.747899</v>
      </c>
      <c r="F884" s="25" t="n">
        <f aca="false">E884-D884</f>
        <v>-723846090.252101</v>
      </c>
      <c r="G884" s="25" t="n">
        <f aca="false">E884-C884</f>
        <v>-580241090.252101</v>
      </c>
      <c r="H884" s="7" t="str">
        <f aca="false">IF(F884&gt;=0,A884,"")</f>
        <v/>
      </c>
      <c r="I884" s="7" t="n">
        <f aca="false">IF(F884&lt;0,A884,0)</f>
        <v>879</v>
      </c>
      <c r="J884" s="7" t="str">
        <f aca="false">IF(G884&gt;=0,A884,"")</f>
        <v/>
      </c>
      <c r="K884" s="7" t="n">
        <f aca="false">IF(G884&lt;0,A884,0)</f>
        <v>879</v>
      </c>
    </row>
    <row r="885" customFormat="false" ht="15" hidden="false" customHeight="false" outlineLevel="0" collapsed="false">
      <c r="A885" s="7" t="n">
        <f aca="false">A884+1</f>
        <v>880</v>
      </c>
      <c r="B885" s="7" t="n">
        <f aca="false">MAX('Giả định'!$B$9,ROUNDUP(A885/'Giả định'!$B$7,0)+'Giả định'!$B$8)</f>
        <v>89</v>
      </c>
      <c r="C885" s="25" t="n">
        <f aca="false">('Chi phí'!$C$76+'Chi phí'!$D$76*B885+'Chi phí'!$E$76*A885+'Giả định'!$B$15*('Chi phí'!$F$76+'Chi phí'!$G$76*B885+'Chi phí'!$H$76*A885))*(1+'Giả định'!$B$16)</f>
        <v>907502200</v>
      </c>
      <c r="D885" s="25" t="n">
        <f aca="false">('Chi phí'!$C$77+'Chi phí'!$D$77*B885+'Chi phí'!$E$77*A885+'Giả định'!$B$15*('Chi phí'!$F$77+'Chi phí'!$G$77*B885+'Chi phí'!$H$77*A885))*(1+'Giả định'!$B$16)</f>
        <v>1051107200</v>
      </c>
      <c r="E885" s="25" t="n">
        <f aca="false">A885/'Giả định'!$B$19*'Giả định'!$B$20+A885*'Giả định'!$B$23+'Giả định'!$B$24</f>
        <v>327596638.655462</v>
      </c>
      <c r="F885" s="25" t="n">
        <f aca="false">E885-D885</f>
        <v>-723510561.344538</v>
      </c>
      <c r="G885" s="25" t="n">
        <f aca="false">E885-C885</f>
        <v>-579905561.344538</v>
      </c>
      <c r="H885" s="7" t="str">
        <f aca="false">IF(F885&gt;=0,A885,"")</f>
        <v/>
      </c>
      <c r="I885" s="7" t="n">
        <f aca="false">IF(F885&lt;0,A885,0)</f>
        <v>880</v>
      </c>
      <c r="J885" s="7" t="str">
        <f aca="false">IF(G885&gt;=0,A885,"")</f>
        <v/>
      </c>
      <c r="K885" s="7" t="n">
        <f aca="false">IF(G885&lt;0,A885,0)</f>
        <v>880</v>
      </c>
    </row>
    <row r="886" customFormat="false" ht="15" hidden="false" customHeight="false" outlineLevel="0" collapsed="false">
      <c r="A886" s="7" t="n">
        <f aca="false">A885+1</f>
        <v>881</v>
      </c>
      <c r="B886" s="7" t="n">
        <f aca="false">MAX('Giả định'!$B$9,ROUNDUP(A886/'Giả định'!$B$7,0)+'Giả định'!$B$8)</f>
        <v>90</v>
      </c>
      <c r="C886" s="25" t="n">
        <f aca="false">('Chi phí'!$C$76+'Chi phí'!$D$76*B886+'Chi phí'!$E$76*A886+'Giả định'!$B$15*('Chi phí'!$F$76+'Chi phí'!$G$76*B886+'Chi phí'!$H$76*A886))*(1+'Giả định'!$B$16)</f>
        <v>916712940</v>
      </c>
      <c r="D886" s="25" t="n">
        <f aca="false">('Chi phí'!$C$77+'Chi phí'!$D$77*B886+'Chi phí'!$E$77*A886+'Giả định'!$B$15*('Chi phí'!$F$77+'Chi phí'!$G$77*B886+'Chi phí'!$H$77*A886))*(1+'Giả định'!$B$16)</f>
        <v>1060317940</v>
      </c>
      <c r="E886" s="25" t="n">
        <f aca="false">A886/'Giả định'!$B$19*'Giả định'!$B$20+A886*'Giả định'!$B$23+'Giả định'!$B$24</f>
        <v>327968907.563025</v>
      </c>
      <c r="F886" s="25" t="n">
        <f aca="false">E886-D886</f>
        <v>-732349032.436975</v>
      </c>
      <c r="G886" s="25" t="n">
        <f aca="false">E886-C886</f>
        <v>-588744032.436975</v>
      </c>
      <c r="H886" s="7" t="str">
        <f aca="false">IF(F886&gt;=0,A886,"")</f>
        <v/>
      </c>
      <c r="I886" s="7" t="n">
        <f aca="false">IF(F886&lt;0,A886,0)</f>
        <v>881</v>
      </c>
      <c r="J886" s="7" t="str">
        <f aca="false">IF(G886&gt;=0,A886,"")</f>
        <v/>
      </c>
      <c r="K886" s="7" t="n">
        <f aca="false">IF(G886&lt;0,A886,0)</f>
        <v>881</v>
      </c>
    </row>
    <row r="887" customFormat="false" ht="15" hidden="false" customHeight="false" outlineLevel="0" collapsed="false">
      <c r="A887" s="7" t="n">
        <f aca="false">A886+1</f>
        <v>882</v>
      </c>
      <c r="B887" s="7" t="n">
        <f aca="false">MAX('Giả định'!$B$9,ROUNDUP(A887/'Giả định'!$B$7,0)+'Giả định'!$B$8)</f>
        <v>90</v>
      </c>
      <c r="C887" s="25" t="n">
        <f aca="false">('Chi phí'!$C$76+'Chi phí'!$D$76*B887+'Chi phí'!$E$76*A887+'Giả định'!$B$15*('Chi phí'!$F$76+'Chi phí'!$G$76*B887+'Chi phí'!$H$76*A887))*(1+'Giả định'!$B$16)</f>
        <v>916749680</v>
      </c>
      <c r="D887" s="25" t="n">
        <f aca="false">('Chi phí'!$C$77+'Chi phí'!$D$77*B887+'Chi phí'!$E$77*A887+'Giả định'!$B$15*('Chi phí'!$F$77+'Chi phí'!$G$77*B887+'Chi phí'!$H$77*A887))*(1+'Giả định'!$B$16)</f>
        <v>1060354680</v>
      </c>
      <c r="E887" s="25" t="n">
        <f aca="false">A887/'Giả định'!$B$19*'Giả định'!$B$20+A887*'Giả định'!$B$23+'Giả định'!$B$24</f>
        <v>328341176.470588</v>
      </c>
      <c r="F887" s="25" t="n">
        <f aca="false">E887-D887</f>
        <v>-732013503.529412</v>
      </c>
      <c r="G887" s="25" t="n">
        <f aca="false">E887-C887</f>
        <v>-588408503.529412</v>
      </c>
      <c r="H887" s="7" t="str">
        <f aca="false">IF(F887&gt;=0,A887,"")</f>
        <v/>
      </c>
      <c r="I887" s="7" t="n">
        <f aca="false">IF(F887&lt;0,A887,0)</f>
        <v>882</v>
      </c>
      <c r="J887" s="7" t="str">
        <f aca="false">IF(G887&gt;=0,A887,"")</f>
        <v/>
      </c>
      <c r="K887" s="7" t="n">
        <f aca="false">IF(G887&lt;0,A887,0)</f>
        <v>882</v>
      </c>
    </row>
    <row r="888" customFormat="false" ht="15" hidden="false" customHeight="false" outlineLevel="0" collapsed="false">
      <c r="A888" s="7" t="n">
        <f aca="false">A887+1</f>
        <v>883</v>
      </c>
      <c r="B888" s="7" t="n">
        <f aca="false">MAX('Giả định'!$B$9,ROUNDUP(A888/'Giả định'!$B$7,0)+'Giả định'!$B$8)</f>
        <v>90</v>
      </c>
      <c r="C888" s="25" t="n">
        <f aca="false">('Chi phí'!$C$76+'Chi phí'!$D$76*B888+'Chi phí'!$E$76*A888+'Giả định'!$B$15*('Chi phí'!$F$76+'Chi phí'!$G$76*B888+'Chi phí'!$H$76*A888))*(1+'Giả định'!$B$16)</f>
        <v>916786420</v>
      </c>
      <c r="D888" s="25" t="n">
        <f aca="false">('Chi phí'!$C$77+'Chi phí'!$D$77*B888+'Chi phí'!$E$77*A888+'Giả định'!$B$15*('Chi phí'!$F$77+'Chi phí'!$G$77*B888+'Chi phí'!$H$77*A888))*(1+'Giả định'!$B$16)</f>
        <v>1060391420</v>
      </c>
      <c r="E888" s="25" t="n">
        <f aca="false">A888/'Giả định'!$B$19*'Giả định'!$B$20+A888*'Giả định'!$B$23+'Giả định'!$B$24</f>
        <v>328713445.378151</v>
      </c>
      <c r="F888" s="25" t="n">
        <f aca="false">E888-D888</f>
        <v>-731677974.621849</v>
      </c>
      <c r="G888" s="25" t="n">
        <f aca="false">E888-C888</f>
        <v>-588072974.621849</v>
      </c>
      <c r="H888" s="7" t="str">
        <f aca="false">IF(F888&gt;=0,A888,"")</f>
        <v/>
      </c>
      <c r="I888" s="7" t="n">
        <f aca="false">IF(F888&lt;0,A888,0)</f>
        <v>883</v>
      </c>
      <c r="J888" s="7" t="str">
        <f aca="false">IF(G888&gt;=0,A888,"")</f>
        <v/>
      </c>
      <c r="K888" s="7" t="n">
        <f aca="false">IF(G888&lt;0,A888,0)</f>
        <v>883</v>
      </c>
    </row>
    <row r="889" customFormat="false" ht="15" hidden="false" customHeight="false" outlineLevel="0" collapsed="false">
      <c r="A889" s="7" t="n">
        <f aca="false">A888+1</f>
        <v>884</v>
      </c>
      <c r="B889" s="7" t="n">
        <f aca="false">MAX('Giả định'!$B$9,ROUNDUP(A889/'Giả định'!$B$7,0)+'Giả định'!$B$8)</f>
        <v>90</v>
      </c>
      <c r="C889" s="25" t="n">
        <f aca="false">('Chi phí'!$C$76+'Chi phí'!$D$76*B889+'Chi phí'!$E$76*A889+'Giả định'!$B$15*('Chi phí'!$F$76+'Chi phí'!$G$76*B889+'Chi phí'!$H$76*A889))*(1+'Giả định'!$B$16)</f>
        <v>916823160</v>
      </c>
      <c r="D889" s="25" t="n">
        <f aca="false">('Chi phí'!$C$77+'Chi phí'!$D$77*B889+'Chi phí'!$E$77*A889+'Giả định'!$B$15*('Chi phí'!$F$77+'Chi phí'!$G$77*B889+'Chi phí'!$H$77*A889))*(1+'Giả định'!$B$16)</f>
        <v>1060428160</v>
      </c>
      <c r="E889" s="25" t="n">
        <f aca="false">A889/'Giả định'!$B$19*'Giả định'!$B$20+A889*'Giả định'!$B$23+'Giả định'!$B$24</f>
        <v>329085714.285714</v>
      </c>
      <c r="F889" s="25" t="n">
        <f aca="false">E889-D889</f>
        <v>-731342445.714286</v>
      </c>
      <c r="G889" s="25" t="n">
        <f aca="false">E889-C889</f>
        <v>-587737445.714286</v>
      </c>
      <c r="H889" s="7" t="str">
        <f aca="false">IF(F889&gt;=0,A889,"")</f>
        <v/>
      </c>
      <c r="I889" s="7" t="n">
        <f aca="false">IF(F889&lt;0,A889,0)</f>
        <v>884</v>
      </c>
      <c r="J889" s="7" t="str">
        <f aca="false">IF(G889&gt;=0,A889,"")</f>
        <v/>
      </c>
      <c r="K889" s="7" t="n">
        <f aca="false">IF(G889&lt;0,A889,0)</f>
        <v>884</v>
      </c>
    </row>
    <row r="890" customFormat="false" ht="15" hidden="false" customHeight="false" outlineLevel="0" collapsed="false">
      <c r="A890" s="7" t="n">
        <f aca="false">A889+1</f>
        <v>885</v>
      </c>
      <c r="B890" s="7" t="n">
        <f aca="false">MAX('Giả định'!$B$9,ROUNDUP(A890/'Giả định'!$B$7,0)+'Giả định'!$B$8)</f>
        <v>90</v>
      </c>
      <c r="C890" s="25" t="n">
        <f aca="false">('Chi phí'!$C$76+'Chi phí'!$D$76*B890+'Chi phí'!$E$76*A890+'Giả định'!$B$15*('Chi phí'!$F$76+'Chi phí'!$G$76*B890+'Chi phí'!$H$76*A890))*(1+'Giả định'!$B$16)</f>
        <v>916859900</v>
      </c>
      <c r="D890" s="25" t="n">
        <f aca="false">('Chi phí'!$C$77+'Chi phí'!$D$77*B890+'Chi phí'!$E$77*A890+'Giả định'!$B$15*('Chi phí'!$F$77+'Chi phí'!$G$77*B890+'Chi phí'!$H$77*A890))*(1+'Giả định'!$B$16)</f>
        <v>1060464900</v>
      </c>
      <c r="E890" s="25" t="n">
        <f aca="false">A890/'Giả định'!$B$19*'Giả định'!$B$20+A890*'Giả định'!$B$23+'Giả định'!$B$24</f>
        <v>329457983.193277</v>
      </c>
      <c r="F890" s="25" t="n">
        <f aca="false">E890-D890</f>
        <v>-731006916.806723</v>
      </c>
      <c r="G890" s="25" t="n">
        <f aca="false">E890-C890</f>
        <v>-587401916.806723</v>
      </c>
      <c r="H890" s="7" t="str">
        <f aca="false">IF(F890&gt;=0,A890,"")</f>
        <v/>
      </c>
      <c r="I890" s="7" t="n">
        <f aca="false">IF(F890&lt;0,A890,0)</f>
        <v>885</v>
      </c>
      <c r="J890" s="7" t="str">
        <f aca="false">IF(G890&gt;=0,A890,"")</f>
        <v/>
      </c>
      <c r="K890" s="7" t="n">
        <f aca="false">IF(G890&lt;0,A890,0)</f>
        <v>885</v>
      </c>
    </row>
    <row r="891" customFormat="false" ht="15" hidden="false" customHeight="false" outlineLevel="0" collapsed="false">
      <c r="A891" s="7" t="n">
        <f aca="false">A890+1</f>
        <v>886</v>
      </c>
      <c r="B891" s="7" t="n">
        <f aca="false">MAX('Giả định'!$B$9,ROUNDUP(A891/'Giả định'!$B$7,0)+'Giả định'!$B$8)</f>
        <v>90</v>
      </c>
      <c r="C891" s="25" t="n">
        <f aca="false">('Chi phí'!$C$76+'Chi phí'!$D$76*B891+'Chi phí'!$E$76*A891+'Giả định'!$B$15*('Chi phí'!$F$76+'Chi phí'!$G$76*B891+'Chi phí'!$H$76*A891))*(1+'Giả định'!$B$16)</f>
        <v>916896640</v>
      </c>
      <c r="D891" s="25" t="n">
        <f aca="false">('Chi phí'!$C$77+'Chi phí'!$D$77*B891+'Chi phí'!$E$77*A891+'Giả định'!$B$15*('Chi phí'!$F$77+'Chi phí'!$G$77*B891+'Chi phí'!$H$77*A891))*(1+'Giả định'!$B$16)</f>
        <v>1060501640</v>
      </c>
      <c r="E891" s="25" t="n">
        <f aca="false">A891/'Giả định'!$B$19*'Giả định'!$B$20+A891*'Giả định'!$B$23+'Giả định'!$B$24</f>
        <v>329830252.10084</v>
      </c>
      <c r="F891" s="25" t="n">
        <f aca="false">E891-D891</f>
        <v>-730671387.89916</v>
      </c>
      <c r="G891" s="25" t="n">
        <f aca="false">E891-C891</f>
        <v>-587066387.89916</v>
      </c>
      <c r="H891" s="7" t="str">
        <f aca="false">IF(F891&gt;=0,A891,"")</f>
        <v/>
      </c>
      <c r="I891" s="7" t="n">
        <f aca="false">IF(F891&lt;0,A891,0)</f>
        <v>886</v>
      </c>
      <c r="J891" s="7" t="str">
        <f aca="false">IF(G891&gt;=0,A891,"")</f>
        <v/>
      </c>
      <c r="K891" s="7" t="n">
        <f aca="false">IF(G891&lt;0,A891,0)</f>
        <v>886</v>
      </c>
    </row>
    <row r="892" customFormat="false" ht="15" hidden="false" customHeight="false" outlineLevel="0" collapsed="false">
      <c r="A892" s="7" t="n">
        <f aca="false">A891+1</f>
        <v>887</v>
      </c>
      <c r="B892" s="7" t="n">
        <f aca="false">MAX('Giả định'!$B$9,ROUNDUP(A892/'Giả định'!$B$7,0)+'Giả định'!$B$8)</f>
        <v>90</v>
      </c>
      <c r="C892" s="25" t="n">
        <f aca="false">('Chi phí'!$C$76+'Chi phí'!$D$76*B892+'Chi phí'!$E$76*A892+'Giả định'!$B$15*('Chi phí'!$F$76+'Chi phí'!$G$76*B892+'Chi phí'!$H$76*A892))*(1+'Giả định'!$B$16)</f>
        <v>916933380</v>
      </c>
      <c r="D892" s="25" t="n">
        <f aca="false">('Chi phí'!$C$77+'Chi phí'!$D$77*B892+'Chi phí'!$E$77*A892+'Giả định'!$B$15*('Chi phí'!$F$77+'Chi phí'!$G$77*B892+'Chi phí'!$H$77*A892))*(1+'Giả định'!$B$16)</f>
        <v>1060538380</v>
      </c>
      <c r="E892" s="25" t="n">
        <f aca="false">A892/'Giả định'!$B$19*'Giả định'!$B$20+A892*'Giả định'!$B$23+'Giả định'!$B$24</f>
        <v>330202521.008403</v>
      </c>
      <c r="F892" s="25" t="n">
        <f aca="false">E892-D892</f>
        <v>-730335858.991597</v>
      </c>
      <c r="G892" s="25" t="n">
        <f aca="false">E892-C892</f>
        <v>-586730858.991597</v>
      </c>
      <c r="H892" s="7" t="str">
        <f aca="false">IF(F892&gt;=0,A892,"")</f>
        <v/>
      </c>
      <c r="I892" s="7" t="n">
        <f aca="false">IF(F892&lt;0,A892,0)</f>
        <v>887</v>
      </c>
      <c r="J892" s="7" t="str">
        <f aca="false">IF(G892&gt;=0,A892,"")</f>
        <v/>
      </c>
      <c r="K892" s="7" t="n">
        <f aca="false">IF(G892&lt;0,A892,0)</f>
        <v>887</v>
      </c>
    </row>
    <row r="893" customFormat="false" ht="15" hidden="false" customHeight="false" outlineLevel="0" collapsed="false">
      <c r="A893" s="7" t="n">
        <f aca="false">A892+1</f>
        <v>888</v>
      </c>
      <c r="B893" s="7" t="n">
        <f aca="false">MAX('Giả định'!$B$9,ROUNDUP(A893/'Giả định'!$B$7,0)+'Giả định'!$B$8)</f>
        <v>90</v>
      </c>
      <c r="C893" s="25" t="n">
        <f aca="false">('Chi phí'!$C$76+'Chi phí'!$D$76*B893+'Chi phí'!$E$76*A893+'Giả định'!$B$15*('Chi phí'!$F$76+'Chi phí'!$G$76*B893+'Chi phí'!$H$76*A893))*(1+'Giả định'!$B$16)</f>
        <v>916970120</v>
      </c>
      <c r="D893" s="25" t="n">
        <f aca="false">('Chi phí'!$C$77+'Chi phí'!$D$77*B893+'Chi phí'!$E$77*A893+'Giả định'!$B$15*('Chi phí'!$F$77+'Chi phí'!$G$77*B893+'Chi phí'!$H$77*A893))*(1+'Giả định'!$B$16)</f>
        <v>1060575120</v>
      </c>
      <c r="E893" s="25" t="n">
        <f aca="false">A893/'Giả định'!$B$19*'Giả định'!$B$20+A893*'Giả định'!$B$23+'Giả định'!$B$24</f>
        <v>330574789.915966</v>
      </c>
      <c r="F893" s="25" t="n">
        <f aca="false">E893-D893</f>
        <v>-730000330.084034</v>
      </c>
      <c r="G893" s="25" t="n">
        <f aca="false">E893-C893</f>
        <v>-586395330.084034</v>
      </c>
      <c r="H893" s="7" t="str">
        <f aca="false">IF(F893&gt;=0,A893,"")</f>
        <v/>
      </c>
      <c r="I893" s="7" t="n">
        <f aca="false">IF(F893&lt;0,A893,0)</f>
        <v>888</v>
      </c>
      <c r="J893" s="7" t="str">
        <f aca="false">IF(G893&gt;=0,A893,"")</f>
        <v/>
      </c>
      <c r="K893" s="7" t="n">
        <f aca="false">IF(G893&lt;0,A893,0)</f>
        <v>888</v>
      </c>
    </row>
    <row r="894" customFormat="false" ht="15" hidden="false" customHeight="false" outlineLevel="0" collapsed="false">
      <c r="A894" s="7" t="n">
        <f aca="false">A893+1</f>
        <v>889</v>
      </c>
      <c r="B894" s="7" t="n">
        <f aca="false">MAX('Giả định'!$B$9,ROUNDUP(A894/'Giả định'!$B$7,0)+'Giả định'!$B$8)</f>
        <v>90</v>
      </c>
      <c r="C894" s="25" t="n">
        <f aca="false">('Chi phí'!$C$76+'Chi phí'!$D$76*B894+'Chi phí'!$E$76*A894+'Giả định'!$B$15*('Chi phí'!$F$76+'Chi phí'!$G$76*B894+'Chi phí'!$H$76*A894))*(1+'Giả định'!$B$16)</f>
        <v>917006860</v>
      </c>
      <c r="D894" s="25" t="n">
        <f aca="false">('Chi phí'!$C$77+'Chi phí'!$D$77*B894+'Chi phí'!$E$77*A894+'Giả định'!$B$15*('Chi phí'!$F$77+'Chi phí'!$G$77*B894+'Chi phí'!$H$77*A894))*(1+'Giả định'!$B$16)</f>
        <v>1060611860</v>
      </c>
      <c r="E894" s="25" t="n">
        <f aca="false">A894/'Giả định'!$B$19*'Giả định'!$B$20+A894*'Giả định'!$B$23+'Giả định'!$B$24</f>
        <v>330947058.823529</v>
      </c>
      <c r="F894" s="25" t="n">
        <f aca="false">E894-D894</f>
        <v>-729664801.176471</v>
      </c>
      <c r="G894" s="25" t="n">
        <f aca="false">E894-C894</f>
        <v>-586059801.176471</v>
      </c>
      <c r="H894" s="7" t="str">
        <f aca="false">IF(F894&gt;=0,A894,"")</f>
        <v/>
      </c>
      <c r="I894" s="7" t="n">
        <f aca="false">IF(F894&lt;0,A894,0)</f>
        <v>889</v>
      </c>
      <c r="J894" s="7" t="str">
        <f aca="false">IF(G894&gt;=0,A894,"")</f>
        <v/>
      </c>
      <c r="K894" s="7" t="n">
        <f aca="false">IF(G894&lt;0,A894,0)</f>
        <v>889</v>
      </c>
    </row>
    <row r="895" customFormat="false" ht="15" hidden="false" customHeight="false" outlineLevel="0" collapsed="false">
      <c r="A895" s="7" t="n">
        <f aca="false">A894+1</f>
        <v>890</v>
      </c>
      <c r="B895" s="7" t="n">
        <f aca="false">MAX('Giả định'!$B$9,ROUNDUP(A895/'Giả định'!$B$7,0)+'Giả định'!$B$8)</f>
        <v>90</v>
      </c>
      <c r="C895" s="25" t="n">
        <f aca="false">('Chi phí'!$C$76+'Chi phí'!$D$76*B895+'Chi phí'!$E$76*A895+'Giả định'!$B$15*('Chi phí'!$F$76+'Chi phí'!$G$76*B895+'Chi phí'!$H$76*A895))*(1+'Giả định'!$B$16)</f>
        <v>917043600</v>
      </c>
      <c r="D895" s="25" t="n">
        <f aca="false">('Chi phí'!$C$77+'Chi phí'!$D$77*B895+'Chi phí'!$E$77*A895+'Giả định'!$B$15*('Chi phí'!$F$77+'Chi phí'!$G$77*B895+'Chi phí'!$H$77*A895))*(1+'Giả định'!$B$16)</f>
        <v>1060648600</v>
      </c>
      <c r="E895" s="25" t="n">
        <f aca="false">A895/'Giả định'!$B$19*'Giả định'!$B$20+A895*'Giả định'!$B$23+'Giả định'!$B$24</f>
        <v>331319327.731092</v>
      </c>
      <c r="F895" s="25" t="n">
        <f aca="false">E895-D895</f>
        <v>-729329272.268908</v>
      </c>
      <c r="G895" s="25" t="n">
        <f aca="false">E895-C895</f>
        <v>-585724272.268908</v>
      </c>
      <c r="H895" s="7" t="str">
        <f aca="false">IF(F895&gt;=0,A895,"")</f>
        <v/>
      </c>
      <c r="I895" s="7" t="n">
        <f aca="false">IF(F895&lt;0,A895,0)</f>
        <v>890</v>
      </c>
      <c r="J895" s="7" t="str">
        <f aca="false">IF(G895&gt;=0,A895,"")</f>
        <v/>
      </c>
      <c r="K895" s="7" t="n">
        <f aca="false">IF(G895&lt;0,A895,0)</f>
        <v>890</v>
      </c>
    </row>
    <row r="896" customFormat="false" ht="15" hidden="false" customHeight="false" outlineLevel="0" collapsed="false">
      <c r="A896" s="7" t="n">
        <f aca="false">A895+1</f>
        <v>891</v>
      </c>
      <c r="B896" s="7" t="n">
        <f aca="false">MAX('Giả định'!$B$9,ROUNDUP(A896/'Giả định'!$B$7,0)+'Giả định'!$B$8)</f>
        <v>91</v>
      </c>
      <c r="C896" s="25" t="n">
        <f aca="false">('Chi phí'!$C$76+'Chi phí'!$D$76*B896+'Chi phí'!$E$76*A896+'Giả định'!$B$15*('Chi phí'!$F$76+'Chi phí'!$G$76*B896+'Chi phí'!$H$76*A896))*(1+'Giả định'!$B$16)</f>
        <v>926254340</v>
      </c>
      <c r="D896" s="25" t="n">
        <f aca="false">('Chi phí'!$C$77+'Chi phí'!$D$77*B896+'Chi phí'!$E$77*A896+'Giả định'!$B$15*('Chi phí'!$F$77+'Chi phí'!$G$77*B896+'Chi phí'!$H$77*A896))*(1+'Giả định'!$B$16)</f>
        <v>1069859340</v>
      </c>
      <c r="E896" s="25" t="n">
        <f aca="false">A896/'Giả định'!$B$19*'Giả định'!$B$20+A896*'Giả định'!$B$23+'Giả định'!$B$24</f>
        <v>331691596.638656</v>
      </c>
      <c r="F896" s="25" t="n">
        <f aca="false">E896-D896</f>
        <v>-738167743.361345</v>
      </c>
      <c r="G896" s="25" t="n">
        <f aca="false">E896-C896</f>
        <v>-594562743.361345</v>
      </c>
      <c r="H896" s="7" t="str">
        <f aca="false">IF(F896&gt;=0,A896,"")</f>
        <v/>
      </c>
      <c r="I896" s="7" t="n">
        <f aca="false">IF(F896&lt;0,A896,0)</f>
        <v>891</v>
      </c>
      <c r="J896" s="7" t="str">
        <f aca="false">IF(G896&gt;=0,A896,"")</f>
        <v/>
      </c>
      <c r="K896" s="7" t="n">
        <f aca="false">IF(G896&lt;0,A896,0)</f>
        <v>891</v>
      </c>
    </row>
    <row r="897" customFormat="false" ht="15" hidden="false" customHeight="false" outlineLevel="0" collapsed="false">
      <c r="A897" s="7" t="n">
        <f aca="false">A896+1</f>
        <v>892</v>
      </c>
      <c r="B897" s="7" t="n">
        <f aca="false">MAX('Giả định'!$B$9,ROUNDUP(A897/'Giả định'!$B$7,0)+'Giả định'!$B$8)</f>
        <v>91</v>
      </c>
      <c r="C897" s="25" t="n">
        <f aca="false">('Chi phí'!$C$76+'Chi phí'!$D$76*B897+'Chi phí'!$E$76*A897+'Giả định'!$B$15*('Chi phí'!$F$76+'Chi phí'!$G$76*B897+'Chi phí'!$H$76*A897))*(1+'Giả định'!$B$16)</f>
        <v>926291080</v>
      </c>
      <c r="D897" s="25" t="n">
        <f aca="false">('Chi phí'!$C$77+'Chi phí'!$D$77*B897+'Chi phí'!$E$77*A897+'Giả định'!$B$15*('Chi phí'!$F$77+'Chi phí'!$G$77*B897+'Chi phí'!$H$77*A897))*(1+'Giả định'!$B$16)</f>
        <v>1069896080</v>
      </c>
      <c r="E897" s="25" t="n">
        <f aca="false">A897/'Giả định'!$B$19*'Giả định'!$B$20+A897*'Giả định'!$B$23+'Giả định'!$B$24</f>
        <v>332063865.546219</v>
      </c>
      <c r="F897" s="25" t="n">
        <f aca="false">E897-D897</f>
        <v>-737832214.453782</v>
      </c>
      <c r="G897" s="25" t="n">
        <f aca="false">E897-C897</f>
        <v>-594227214.453782</v>
      </c>
      <c r="H897" s="7" t="str">
        <f aca="false">IF(F897&gt;=0,A897,"")</f>
        <v/>
      </c>
      <c r="I897" s="7" t="n">
        <f aca="false">IF(F897&lt;0,A897,0)</f>
        <v>892</v>
      </c>
      <c r="J897" s="7" t="str">
        <f aca="false">IF(G897&gt;=0,A897,"")</f>
        <v/>
      </c>
      <c r="K897" s="7" t="n">
        <f aca="false">IF(G897&lt;0,A897,0)</f>
        <v>892</v>
      </c>
    </row>
    <row r="898" customFormat="false" ht="15" hidden="false" customHeight="false" outlineLevel="0" collapsed="false">
      <c r="A898" s="7" t="n">
        <f aca="false">A897+1</f>
        <v>893</v>
      </c>
      <c r="B898" s="7" t="n">
        <f aca="false">MAX('Giả định'!$B$9,ROUNDUP(A898/'Giả định'!$B$7,0)+'Giả định'!$B$8)</f>
        <v>91</v>
      </c>
      <c r="C898" s="25" t="n">
        <f aca="false">('Chi phí'!$C$76+'Chi phí'!$D$76*B898+'Chi phí'!$E$76*A898+'Giả định'!$B$15*('Chi phí'!$F$76+'Chi phí'!$G$76*B898+'Chi phí'!$H$76*A898))*(1+'Giả định'!$B$16)</f>
        <v>926327820</v>
      </c>
      <c r="D898" s="25" t="n">
        <f aca="false">('Chi phí'!$C$77+'Chi phí'!$D$77*B898+'Chi phí'!$E$77*A898+'Giả định'!$B$15*('Chi phí'!$F$77+'Chi phí'!$G$77*B898+'Chi phí'!$H$77*A898))*(1+'Giả định'!$B$16)</f>
        <v>1069932820</v>
      </c>
      <c r="E898" s="25" t="n">
        <f aca="false">A898/'Giả định'!$B$19*'Giả định'!$B$20+A898*'Giả định'!$B$23+'Giả định'!$B$24</f>
        <v>332436134.453782</v>
      </c>
      <c r="F898" s="25" t="n">
        <f aca="false">E898-D898</f>
        <v>-737496685.546219</v>
      </c>
      <c r="G898" s="25" t="n">
        <f aca="false">E898-C898</f>
        <v>-593891685.546219</v>
      </c>
      <c r="H898" s="7" t="str">
        <f aca="false">IF(F898&gt;=0,A898,"")</f>
        <v/>
      </c>
      <c r="I898" s="7" t="n">
        <f aca="false">IF(F898&lt;0,A898,0)</f>
        <v>893</v>
      </c>
      <c r="J898" s="7" t="str">
        <f aca="false">IF(G898&gt;=0,A898,"")</f>
        <v/>
      </c>
      <c r="K898" s="7" t="n">
        <f aca="false">IF(G898&lt;0,A898,0)</f>
        <v>893</v>
      </c>
    </row>
    <row r="899" customFormat="false" ht="15" hidden="false" customHeight="false" outlineLevel="0" collapsed="false">
      <c r="A899" s="7" t="n">
        <f aca="false">A898+1</f>
        <v>894</v>
      </c>
      <c r="B899" s="7" t="n">
        <f aca="false">MAX('Giả định'!$B$9,ROUNDUP(A899/'Giả định'!$B$7,0)+'Giả định'!$B$8)</f>
        <v>91</v>
      </c>
      <c r="C899" s="25" t="n">
        <f aca="false">('Chi phí'!$C$76+'Chi phí'!$D$76*B899+'Chi phí'!$E$76*A899+'Giả định'!$B$15*('Chi phí'!$F$76+'Chi phí'!$G$76*B899+'Chi phí'!$H$76*A899))*(1+'Giả định'!$B$16)</f>
        <v>926364560</v>
      </c>
      <c r="D899" s="25" t="n">
        <f aca="false">('Chi phí'!$C$77+'Chi phí'!$D$77*B899+'Chi phí'!$E$77*A899+'Giả định'!$B$15*('Chi phí'!$F$77+'Chi phí'!$G$77*B899+'Chi phí'!$H$77*A899))*(1+'Giả định'!$B$16)</f>
        <v>1069969560</v>
      </c>
      <c r="E899" s="25" t="n">
        <f aca="false">A899/'Giả định'!$B$19*'Giả định'!$B$20+A899*'Giả định'!$B$23+'Giả định'!$B$24</f>
        <v>332808403.361345</v>
      </c>
      <c r="F899" s="25" t="n">
        <f aca="false">E899-D899</f>
        <v>-737161156.638656</v>
      </c>
      <c r="G899" s="25" t="n">
        <f aca="false">E899-C899</f>
        <v>-593556156.638656</v>
      </c>
      <c r="H899" s="7" t="str">
        <f aca="false">IF(F899&gt;=0,A899,"")</f>
        <v/>
      </c>
      <c r="I899" s="7" t="n">
        <f aca="false">IF(F899&lt;0,A899,0)</f>
        <v>894</v>
      </c>
      <c r="J899" s="7" t="str">
        <f aca="false">IF(G899&gt;=0,A899,"")</f>
        <v/>
      </c>
      <c r="K899" s="7" t="n">
        <f aca="false">IF(G899&lt;0,A899,0)</f>
        <v>894</v>
      </c>
    </row>
    <row r="900" customFormat="false" ht="15" hidden="false" customHeight="false" outlineLevel="0" collapsed="false">
      <c r="A900" s="7" t="n">
        <f aca="false">A899+1</f>
        <v>895</v>
      </c>
      <c r="B900" s="7" t="n">
        <f aca="false">MAX('Giả định'!$B$9,ROUNDUP(A900/'Giả định'!$B$7,0)+'Giả định'!$B$8)</f>
        <v>91</v>
      </c>
      <c r="C900" s="25" t="n">
        <f aca="false">('Chi phí'!$C$76+'Chi phí'!$D$76*B900+'Chi phí'!$E$76*A900+'Giả định'!$B$15*('Chi phí'!$F$76+'Chi phí'!$G$76*B900+'Chi phí'!$H$76*A900))*(1+'Giả định'!$B$16)</f>
        <v>926401300</v>
      </c>
      <c r="D900" s="25" t="n">
        <f aca="false">('Chi phí'!$C$77+'Chi phí'!$D$77*B900+'Chi phí'!$E$77*A900+'Giả định'!$B$15*('Chi phí'!$F$77+'Chi phí'!$G$77*B900+'Chi phí'!$H$77*A900))*(1+'Giả định'!$B$16)</f>
        <v>1070006300</v>
      </c>
      <c r="E900" s="25" t="n">
        <f aca="false">A900/'Giả định'!$B$19*'Giả định'!$B$20+A900*'Giả định'!$B$23+'Giả định'!$B$24</f>
        <v>333180672.268908</v>
      </c>
      <c r="F900" s="25" t="n">
        <f aca="false">E900-D900</f>
        <v>-736825627.731093</v>
      </c>
      <c r="G900" s="25" t="n">
        <f aca="false">E900-C900</f>
        <v>-593220627.731093</v>
      </c>
      <c r="H900" s="7" t="str">
        <f aca="false">IF(F900&gt;=0,A900,"")</f>
        <v/>
      </c>
      <c r="I900" s="7" t="n">
        <f aca="false">IF(F900&lt;0,A900,0)</f>
        <v>895</v>
      </c>
      <c r="J900" s="7" t="str">
        <f aca="false">IF(G900&gt;=0,A900,"")</f>
        <v/>
      </c>
      <c r="K900" s="7" t="n">
        <f aca="false">IF(G900&lt;0,A900,0)</f>
        <v>895</v>
      </c>
    </row>
    <row r="901" customFormat="false" ht="15" hidden="false" customHeight="false" outlineLevel="0" collapsed="false">
      <c r="A901" s="7" t="n">
        <f aca="false">A900+1</f>
        <v>896</v>
      </c>
      <c r="B901" s="7" t="n">
        <f aca="false">MAX('Giả định'!$B$9,ROUNDUP(A901/'Giả định'!$B$7,0)+'Giả định'!$B$8)</f>
        <v>91</v>
      </c>
      <c r="C901" s="25" t="n">
        <f aca="false">('Chi phí'!$C$76+'Chi phí'!$D$76*B901+'Chi phí'!$E$76*A901+'Giả định'!$B$15*('Chi phí'!$F$76+'Chi phí'!$G$76*B901+'Chi phí'!$H$76*A901))*(1+'Giả định'!$B$16)</f>
        <v>926438040</v>
      </c>
      <c r="D901" s="25" t="n">
        <f aca="false">('Chi phí'!$C$77+'Chi phí'!$D$77*B901+'Chi phí'!$E$77*A901+'Giả định'!$B$15*('Chi phí'!$F$77+'Chi phí'!$G$77*B901+'Chi phí'!$H$77*A901))*(1+'Giả định'!$B$16)</f>
        <v>1070043040</v>
      </c>
      <c r="E901" s="25" t="n">
        <f aca="false">A901/'Giả định'!$B$19*'Giả định'!$B$20+A901*'Giả định'!$B$23+'Giả định'!$B$24</f>
        <v>333552941.176471</v>
      </c>
      <c r="F901" s="25" t="n">
        <f aca="false">E901-D901</f>
        <v>-736490098.82353</v>
      </c>
      <c r="G901" s="25" t="n">
        <f aca="false">E901-C901</f>
        <v>-592885098.82353</v>
      </c>
      <c r="H901" s="7" t="str">
        <f aca="false">IF(F901&gt;=0,A901,"")</f>
        <v/>
      </c>
      <c r="I901" s="7" t="n">
        <f aca="false">IF(F901&lt;0,A901,0)</f>
        <v>896</v>
      </c>
      <c r="J901" s="7" t="str">
        <f aca="false">IF(G901&gt;=0,A901,"")</f>
        <v/>
      </c>
      <c r="K901" s="7" t="n">
        <f aca="false">IF(G901&lt;0,A901,0)</f>
        <v>896</v>
      </c>
    </row>
    <row r="902" customFormat="false" ht="15" hidden="false" customHeight="false" outlineLevel="0" collapsed="false">
      <c r="A902" s="7" t="n">
        <f aca="false">A901+1</f>
        <v>897</v>
      </c>
      <c r="B902" s="7" t="n">
        <f aca="false">MAX('Giả định'!$B$9,ROUNDUP(A902/'Giả định'!$B$7,0)+'Giả định'!$B$8)</f>
        <v>91</v>
      </c>
      <c r="C902" s="25" t="n">
        <f aca="false">('Chi phí'!$C$76+'Chi phí'!$D$76*B902+'Chi phí'!$E$76*A902+'Giả định'!$B$15*('Chi phí'!$F$76+'Chi phí'!$G$76*B902+'Chi phí'!$H$76*A902))*(1+'Giả định'!$B$16)</f>
        <v>926474780</v>
      </c>
      <c r="D902" s="25" t="n">
        <f aca="false">('Chi phí'!$C$77+'Chi phí'!$D$77*B902+'Chi phí'!$E$77*A902+'Giả định'!$B$15*('Chi phí'!$F$77+'Chi phí'!$G$77*B902+'Chi phí'!$H$77*A902))*(1+'Giả định'!$B$16)</f>
        <v>1070079780</v>
      </c>
      <c r="E902" s="25" t="n">
        <f aca="false">A902/'Giả định'!$B$19*'Giả định'!$B$20+A902*'Giả định'!$B$23+'Giả định'!$B$24</f>
        <v>333925210.084034</v>
      </c>
      <c r="F902" s="25" t="n">
        <f aca="false">E902-D902</f>
        <v>-736154569.915967</v>
      </c>
      <c r="G902" s="25" t="n">
        <f aca="false">E902-C902</f>
        <v>-592549569.915967</v>
      </c>
      <c r="H902" s="7" t="str">
        <f aca="false">IF(F902&gt;=0,A902,"")</f>
        <v/>
      </c>
      <c r="I902" s="7" t="n">
        <f aca="false">IF(F902&lt;0,A902,0)</f>
        <v>897</v>
      </c>
      <c r="J902" s="7" t="str">
        <f aca="false">IF(G902&gt;=0,A902,"")</f>
        <v/>
      </c>
      <c r="K902" s="7" t="n">
        <f aca="false">IF(G902&lt;0,A902,0)</f>
        <v>897</v>
      </c>
    </row>
    <row r="903" customFormat="false" ht="15" hidden="false" customHeight="false" outlineLevel="0" collapsed="false">
      <c r="A903" s="7" t="n">
        <f aca="false">A902+1</f>
        <v>898</v>
      </c>
      <c r="B903" s="7" t="n">
        <f aca="false">MAX('Giả định'!$B$9,ROUNDUP(A903/'Giả định'!$B$7,0)+'Giả định'!$B$8)</f>
        <v>91</v>
      </c>
      <c r="C903" s="25" t="n">
        <f aca="false">('Chi phí'!$C$76+'Chi phí'!$D$76*B903+'Chi phí'!$E$76*A903+'Giả định'!$B$15*('Chi phí'!$F$76+'Chi phí'!$G$76*B903+'Chi phí'!$H$76*A903))*(1+'Giả định'!$B$16)</f>
        <v>926511520</v>
      </c>
      <c r="D903" s="25" t="n">
        <f aca="false">('Chi phí'!$C$77+'Chi phí'!$D$77*B903+'Chi phí'!$E$77*A903+'Giả định'!$B$15*('Chi phí'!$F$77+'Chi phí'!$G$77*B903+'Chi phí'!$H$77*A903))*(1+'Giả định'!$B$16)</f>
        <v>1070116520</v>
      </c>
      <c r="E903" s="25" t="n">
        <f aca="false">A903/'Giả định'!$B$19*'Giả định'!$B$20+A903*'Giả định'!$B$23+'Giả định'!$B$24</f>
        <v>334297478.991597</v>
      </c>
      <c r="F903" s="25" t="n">
        <f aca="false">E903-D903</f>
        <v>-735819041.008404</v>
      </c>
      <c r="G903" s="25" t="n">
        <f aca="false">E903-C903</f>
        <v>-592214041.008404</v>
      </c>
      <c r="H903" s="7" t="str">
        <f aca="false">IF(F903&gt;=0,A903,"")</f>
        <v/>
      </c>
      <c r="I903" s="7" t="n">
        <f aca="false">IF(F903&lt;0,A903,0)</f>
        <v>898</v>
      </c>
      <c r="J903" s="7" t="str">
        <f aca="false">IF(G903&gt;=0,A903,"")</f>
        <v/>
      </c>
      <c r="K903" s="7" t="n">
        <f aca="false">IF(G903&lt;0,A903,0)</f>
        <v>898</v>
      </c>
    </row>
    <row r="904" customFormat="false" ht="15" hidden="false" customHeight="false" outlineLevel="0" collapsed="false">
      <c r="A904" s="7" t="n">
        <f aca="false">A903+1</f>
        <v>899</v>
      </c>
      <c r="B904" s="7" t="n">
        <f aca="false">MAX('Giả định'!$B$9,ROUNDUP(A904/'Giả định'!$B$7,0)+'Giả định'!$B$8)</f>
        <v>91</v>
      </c>
      <c r="C904" s="25" t="n">
        <f aca="false">('Chi phí'!$C$76+'Chi phí'!$D$76*B904+'Chi phí'!$E$76*A904+'Giả định'!$B$15*('Chi phí'!$F$76+'Chi phí'!$G$76*B904+'Chi phí'!$H$76*A904))*(1+'Giả định'!$B$16)</f>
        <v>926548260</v>
      </c>
      <c r="D904" s="25" t="n">
        <f aca="false">('Chi phí'!$C$77+'Chi phí'!$D$77*B904+'Chi phí'!$E$77*A904+'Giả định'!$B$15*('Chi phí'!$F$77+'Chi phí'!$G$77*B904+'Chi phí'!$H$77*A904))*(1+'Giả định'!$B$16)</f>
        <v>1070153260</v>
      </c>
      <c r="E904" s="25" t="n">
        <f aca="false">A904/'Giả định'!$B$19*'Giả định'!$B$20+A904*'Giả định'!$B$23+'Giả định'!$B$24</f>
        <v>334669747.89916</v>
      </c>
      <c r="F904" s="25" t="n">
        <f aca="false">E904-D904</f>
        <v>-735483512.10084</v>
      </c>
      <c r="G904" s="25" t="n">
        <f aca="false">E904-C904</f>
        <v>-591878512.10084</v>
      </c>
      <c r="H904" s="7" t="str">
        <f aca="false">IF(F904&gt;=0,A904,"")</f>
        <v/>
      </c>
      <c r="I904" s="7" t="n">
        <f aca="false">IF(F904&lt;0,A904,0)</f>
        <v>899</v>
      </c>
      <c r="J904" s="7" t="str">
        <f aca="false">IF(G904&gt;=0,A904,"")</f>
        <v/>
      </c>
      <c r="K904" s="7" t="n">
        <f aca="false">IF(G904&lt;0,A904,0)</f>
        <v>899</v>
      </c>
    </row>
    <row r="905" customFormat="false" ht="15" hidden="false" customHeight="false" outlineLevel="0" collapsed="false">
      <c r="A905" s="7" t="n">
        <f aca="false">A904+1</f>
        <v>900</v>
      </c>
      <c r="B905" s="7" t="n">
        <f aca="false">MAX('Giả định'!$B$9,ROUNDUP(A905/'Giả định'!$B$7,0)+'Giả định'!$B$8)</f>
        <v>91</v>
      </c>
      <c r="C905" s="25" t="n">
        <f aca="false">('Chi phí'!$C$76+'Chi phí'!$D$76*B905+'Chi phí'!$E$76*A905+'Giả định'!$B$15*('Chi phí'!$F$76+'Chi phí'!$G$76*B905+'Chi phí'!$H$76*A905))*(1+'Giả định'!$B$16)</f>
        <v>926585000</v>
      </c>
      <c r="D905" s="25" t="n">
        <f aca="false">('Chi phí'!$C$77+'Chi phí'!$D$77*B905+'Chi phí'!$E$77*A905+'Giả định'!$B$15*('Chi phí'!$F$77+'Chi phí'!$G$77*B905+'Chi phí'!$H$77*A905))*(1+'Giả định'!$B$16)</f>
        <v>1070190000</v>
      </c>
      <c r="E905" s="25" t="n">
        <f aca="false">A905/'Giả định'!$B$19*'Giả định'!$B$20+A905*'Giả định'!$B$23+'Giả định'!$B$24</f>
        <v>335042016.806723</v>
      </c>
      <c r="F905" s="25" t="n">
        <f aca="false">E905-D905</f>
        <v>-735147983.193277</v>
      </c>
      <c r="G905" s="25" t="n">
        <f aca="false">E905-C905</f>
        <v>-591542983.193277</v>
      </c>
      <c r="H905" s="7" t="str">
        <f aca="false">IF(F905&gt;=0,A905,"")</f>
        <v/>
      </c>
      <c r="I905" s="7" t="n">
        <f aca="false">IF(F905&lt;0,A905,0)</f>
        <v>900</v>
      </c>
      <c r="J905" s="7" t="str">
        <f aca="false">IF(G905&gt;=0,A905,"")</f>
        <v/>
      </c>
      <c r="K905" s="7" t="n">
        <f aca="false">IF(G905&lt;0,A905,0)</f>
        <v>900</v>
      </c>
    </row>
    <row r="906" customFormat="false" ht="15" hidden="false" customHeight="false" outlineLevel="0" collapsed="false">
      <c r="A906" s="7" t="n">
        <f aca="false">A905+1</f>
        <v>901</v>
      </c>
      <c r="B906" s="7" t="n">
        <f aca="false">MAX('Giả định'!$B$9,ROUNDUP(A906/'Giả định'!$B$7,0)+'Giả định'!$B$8)</f>
        <v>92</v>
      </c>
      <c r="C906" s="25" t="n">
        <f aca="false">('Chi phí'!$C$76+'Chi phí'!$D$76*B906+'Chi phí'!$E$76*A906+'Giả định'!$B$15*('Chi phí'!$F$76+'Chi phí'!$G$76*B906+'Chi phí'!$H$76*A906))*(1+'Giả định'!$B$16)</f>
        <v>935795740</v>
      </c>
      <c r="D906" s="25" t="n">
        <f aca="false">('Chi phí'!$C$77+'Chi phí'!$D$77*B906+'Chi phí'!$E$77*A906+'Giả định'!$B$15*('Chi phí'!$F$77+'Chi phí'!$G$77*B906+'Chi phí'!$H$77*A906))*(1+'Giả định'!$B$16)</f>
        <v>1079400740</v>
      </c>
      <c r="E906" s="25" t="n">
        <f aca="false">A906/'Giả định'!$B$19*'Giả định'!$B$20+A906*'Giả định'!$B$23+'Giả định'!$B$24</f>
        <v>335414285.714286</v>
      </c>
      <c r="F906" s="25" t="n">
        <f aca="false">E906-D906</f>
        <v>-743986454.285714</v>
      </c>
      <c r="G906" s="25" t="n">
        <f aca="false">E906-C906</f>
        <v>-600381454.285714</v>
      </c>
      <c r="H906" s="7" t="str">
        <f aca="false">IF(F906&gt;=0,A906,"")</f>
        <v/>
      </c>
      <c r="I906" s="7" t="n">
        <f aca="false">IF(F906&lt;0,A906,0)</f>
        <v>901</v>
      </c>
      <c r="J906" s="7" t="str">
        <f aca="false">IF(G906&gt;=0,A906,"")</f>
        <v/>
      </c>
      <c r="K906" s="7" t="n">
        <f aca="false">IF(G906&lt;0,A906,0)</f>
        <v>901</v>
      </c>
    </row>
    <row r="907" customFormat="false" ht="15" hidden="false" customHeight="false" outlineLevel="0" collapsed="false">
      <c r="A907" s="7" t="n">
        <f aca="false">A906+1</f>
        <v>902</v>
      </c>
      <c r="B907" s="7" t="n">
        <f aca="false">MAX('Giả định'!$B$9,ROUNDUP(A907/'Giả định'!$B$7,0)+'Giả định'!$B$8)</f>
        <v>92</v>
      </c>
      <c r="C907" s="25" t="n">
        <f aca="false">('Chi phí'!$C$76+'Chi phí'!$D$76*B907+'Chi phí'!$E$76*A907+'Giả định'!$B$15*('Chi phí'!$F$76+'Chi phí'!$G$76*B907+'Chi phí'!$H$76*A907))*(1+'Giả định'!$B$16)</f>
        <v>935832480</v>
      </c>
      <c r="D907" s="25" t="n">
        <f aca="false">('Chi phí'!$C$77+'Chi phí'!$D$77*B907+'Chi phí'!$E$77*A907+'Giả định'!$B$15*('Chi phí'!$F$77+'Chi phí'!$G$77*B907+'Chi phí'!$H$77*A907))*(1+'Giả định'!$B$16)</f>
        <v>1079437480</v>
      </c>
      <c r="E907" s="25" t="n">
        <f aca="false">A907/'Giả định'!$B$19*'Giả định'!$B$20+A907*'Giả định'!$B$23+'Giả định'!$B$24</f>
        <v>335786554.621849</v>
      </c>
      <c r="F907" s="25" t="n">
        <f aca="false">E907-D907</f>
        <v>-743650925.378151</v>
      </c>
      <c r="G907" s="25" t="n">
        <f aca="false">E907-C907</f>
        <v>-600045925.378151</v>
      </c>
      <c r="H907" s="7" t="str">
        <f aca="false">IF(F907&gt;=0,A907,"")</f>
        <v/>
      </c>
      <c r="I907" s="7" t="n">
        <f aca="false">IF(F907&lt;0,A907,0)</f>
        <v>902</v>
      </c>
      <c r="J907" s="7" t="str">
        <f aca="false">IF(G907&gt;=0,A907,"")</f>
        <v/>
      </c>
      <c r="K907" s="7" t="n">
        <f aca="false">IF(G907&lt;0,A907,0)</f>
        <v>902</v>
      </c>
    </row>
    <row r="908" customFormat="false" ht="15" hidden="false" customHeight="false" outlineLevel="0" collapsed="false">
      <c r="A908" s="7" t="n">
        <f aca="false">A907+1</f>
        <v>903</v>
      </c>
      <c r="B908" s="7" t="n">
        <f aca="false">MAX('Giả định'!$B$9,ROUNDUP(A908/'Giả định'!$B$7,0)+'Giả định'!$B$8)</f>
        <v>92</v>
      </c>
      <c r="C908" s="25" t="n">
        <f aca="false">('Chi phí'!$C$76+'Chi phí'!$D$76*B908+'Chi phí'!$E$76*A908+'Giả định'!$B$15*('Chi phí'!$F$76+'Chi phí'!$G$76*B908+'Chi phí'!$H$76*A908))*(1+'Giả định'!$B$16)</f>
        <v>935869220</v>
      </c>
      <c r="D908" s="25" t="n">
        <f aca="false">('Chi phí'!$C$77+'Chi phí'!$D$77*B908+'Chi phí'!$E$77*A908+'Giả định'!$B$15*('Chi phí'!$F$77+'Chi phí'!$G$77*B908+'Chi phí'!$H$77*A908))*(1+'Giả định'!$B$16)</f>
        <v>1079474220</v>
      </c>
      <c r="E908" s="25" t="n">
        <f aca="false">A908/'Giả định'!$B$19*'Giả định'!$B$20+A908*'Giả định'!$B$23+'Giả định'!$B$24</f>
        <v>336158823.529412</v>
      </c>
      <c r="F908" s="25" t="n">
        <f aca="false">E908-D908</f>
        <v>-743315396.470588</v>
      </c>
      <c r="G908" s="25" t="n">
        <f aca="false">E908-C908</f>
        <v>-599710396.470588</v>
      </c>
      <c r="H908" s="7" t="str">
        <f aca="false">IF(F908&gt;=0,A908,"")</f>
        <v/>
      </c>
      <c r="I908" s="7" t="n">
        <f aca="false">IF(F908&lt;0,A908,0)</f>
        <v>903</v>
      </c>
      <c r="J908" s="7" t="str">
        <f aca="false">IF(G908&gt;=0,A908,"")</f>
        <v/>
      </c>
      <c r="K908" s="7" t="n">
        <f aca="false">IF(G908&lt;0,A908,0)</f>
        <v>903</v>
      </c>
    </row>
    <row r="909" customFormat="false" ht="15" hidden="false" customHeight="false" outlineLevel="0" collapsed="false">
      <c r="A909" s="7" t="n">
        <f aca="false">A908+1</f>
        <v>904</v>
      </c>
      <c r="B909" s="7" t="n">
        <f aca="false">MAX('Giả định'!$B$9,ROUNDUP(A909/'Giả định'!$B$7,0)+'Giả định'!$B$8)</f>
        <v>92</v>
      </c>
      <c r="C909" s="25" t="n">
        <f aca="false">('Chi phí'!$C$76+'Chi phí'!$D$76*B909+'Chi phí'!$E$76*A909+'Giả định'!$B$15*('Chi phí'!$F$76+'Chi phí'!$G$76*B909+'Chi phí'!$H$76*A909))*(1+'Giả định'!$B$16)</f>
        <v>935905960</v>
      </c>
      <c r="D909" s="25" t="n">
        <f aca="false">('Chi phí'!$C$77+'Chi phí'!$D$77*B909+'Chi phí'!$E$77*A909+'Giả định'!$B$15*('Chi phí'!$F$77+'Chi phí'!$G$77*B909+'Chi phí'!$H$77*A909))*(1+'Giả định'!$B$16)</f>
        <v>1079510960</v>
      </c>
      <c r="E909" s="25" t="n">
        <f aca="false">A909/'Giả định'!$B$19*'Giả định'!$B$20+A909*'Giả định'!$B$23+'Giả định'!$B$24</f>
        <v>336531092.436975</v>
      </c>
      <c r="F909" s="25" t="n">
        <f aca="false">E909-D909</f>
        <v>-742979867.563025</v>
      </c>
      <c r="G909" s="25" t="n">
        <f aca="false">E909-C909</f>
        <v>-599374867.563025</v>
      </c>
      <c r="H909" s="7" t="str">
        <f aca="false">IF(F909&gt;=0,A909,"")</f>
        <v/>
      </c>
      <c r="I909" s="7" t="n">
        <f aca="false">IF(F909&lt;0,A909,0)</f>
        <v>904</v>
      </c>
      <c r="J909" s="7" t="str">
        <f aca="false">IF(G909&gt;=0,A909,"")</f>
        <v/>
      </c>
      <c r="K909" s="7" t="n">
        <f aca="false">IF(G909&lt;0,A909,0)</f>
        <v>904</v>
      </c>
    </row>
    <row r="910" customFormat="false" ht="15" hidden="false" customHeight="false" outlineLevel="0" collapsed="false">
      <c r="A910" s="7" t="n">
        <f aca="false">A909+1</f>
        <v>905</v>
      </c>
      <c r="B910" s="7" t="n">
        <f aca="false">MAX('Giả định'!$B$9,ROUNDUP(A910/'Giả định'!$B$7,0)+'Giả định'!$B$8)</f>
        <v>92</v>
      </c>
      <c r="C910" s="25" t="n">
        <f aca="false">('Chi phí'!$C$76+'Chi phí'!$D$76*B910+'Chi phí'!$E$76*A910+'Giả định'!$B$15*('Chi phí'!$F$76+'Chi phí'!$G$76*B910+'Chi phí'!$H$76*A910))*(1+'Giả định'!$B$16)</f>
        <v>935942700</v>
      </c>
      <c r="D910" s="25" t="n">
        <f aca="false">('Chi phí'!$C$77+'Chi phí'!$D$77*B910+'Chi phí'!$E$77*A910+'Giả định'!$B$15*('Chi phí'!$F$77+'Chi phí'!$G$77*B910+'Chi phí'!$H$77*A910))*(1+'Giả định'!$B$16)</f>
        <v>1079547700</v>
      </c>
      <c r="E910" s="25" t="n">
        <f aca="false">A910/'Giả định'!$B$19*'Giả định'!$B$20+A910*'Giả định'!$B$23+'Giả định'!$B$24</f>
        <v>336903361.344538</v>
      </c>
      <c r="F910" s="25" t="n">
        <f aca="false">E910-D910</f>
        <v>-742644338.655462</v>
      </c>
      <c r="G910" s="25" t="n">
        <f aca="false">E910-C910</f>
        <v>-599039338.655462</v>
      </c>
      <c r="H910" s="7" t="str">
        <f aca="false">IF(F910&gt;=0,A910,"")</f>
        <v/>
      </c>
      <c r="I910" s="7" t="n">
        <f aca="false">IF(F910&lt;0,A910,0)</f>
        <v>905</v>
      </c>
      <c r="J910" s="7" t="str">
        <f aca="false">IF(G910&gt;=0,A910,"")</f>
        <v/>
      </c>
      <c r="K910" s="7" t="n">
        <f aca="false">IF(G910&lt;0,A910,0)</f>
        <v>905</v>
      </c>
    </row>
    <row r="911" customFormat="false" ht="15" hidden="false" customHeight="false" outlineLevel="0" collapsed="false">
      <c r="A911" s="7" t="n">
        <f aca="false">A910+1</f>
        <v>906</v>
      </c>
      <c r="B911" s="7" t="n">
        <f aca="false">MAX('Giả định'!$B$9,ROUNDUP(A911/'Giả định'!$B$7,0)+'Giả định'!$B$8)</f>
        <v>92</v>
      </c>
      <c r="C911" s="25" t="n">
        <f aca="false">('Chi phí'!$C$76+'Chi phí'!$D$76*B911+'Chi phí'!$E$76*A911+'Giả định'!$B$15*('Chi phí'!$F$76+'Chi phí'!$G$76*B911+'Chi phí'!$H$76*A911))*(1+'Giả định'!$B$16)</f>
        <v>935979440</v>
      </c>
      <c r="D911" s="25" t="n">
        <f aca="false">('Chi phí'!$C$77+'Chi phí'!$D$77*B911+'Chi phí'!$E$77*A911+'Giả định'!$B$15*('Chi phí'!$F$77+'Chi phí'!$G$77*B911+'Chi phí'!$H$77*A911))*(1+'Giả định'!$B$16)</f>
        <v>1079584440</v>
      </c>
      <c r="E911" s="25" t="n">
        <f aca="false">A911/'Giả định'!$B$19*'Giả định'!$B$20+A911*'Giả định'!$B$23+'Giả định'!$B$24</f>
        <v>337275630.252101</v>
      </c>
      <c r="F911" s="25" t="n">
        <f aca="false">E911-D911</f>
        <v>-742308809.747899</v>
      </c>
      <c r="G911" s="25" t="n">
        <f aca="false">E911-C911</f>
        <v>-598703809.747899</v>
      </c>
      <c r="H911" s="7" t="str">
        <f aca="false">IF(F911&gt;=0,A911,"")</f>
        <v/>
      </c>
      <c r="I911" s="7" t="n">
        <f aca="false">IF(F911&lt;0,A911,0)</f>
        <v>906</v>
      </c>
      <c r="J911" s="7" t="str">
        <f aca="false">IF(G911&gt;=0,A911,"")</f>
        <v/>
      </c>
      <c r="K911" s="7" t="n">
        <f aca="false">IF(G911&lt;0,A911,0)</f>
        <v>906</v>
      </c>
    </row>
    <row r="912" customFormat="false" ht="15" hidden="false" customHeight="false" outlineLevel="0" collapsed="false">
      <c r="A912" s="7" t="n">
        <f aca="false">A911+1</f>
        <v>907</v>
      </c>
      <c r="B912" s="7" t="n">
        <f aca="false">MAX('Giả định'!$B$9,ROUNDUP(A912/'Giả định'!$B$7,0)+'Giả định'!$B$8)</f>
        <v>92</v>
      </c>
      <c r="C912" s="25" t="n">
        <f aca="false">('Chi phí'!$C$76+'Chi phí'!$D$76*B912+'Chi phí'!$E$76*A912+'Giả định'!$B$15*('Chi phí'!$F$76+'Chi phí'!$G$76*B912+'Chi phí'!$H$76*A912))*(1+'Giả định'!$B$16)</f>
        <v>936016180</v>
      </c>
      <c r="D912" s="25" t="n">
        <f aca="false">('Chi phí'!$C$77+'Chi phí'!$D$77*B912+'Chi phí'!$E$77*A912+'Giả định'!$B$15*('Chi phí'!$F$77+'Chi phí'!$G$77*B912+'Chi phí'!$H$77*A912))*(1+'Giả định'!$B$16)</f>
        <v>1079621180</v>
      </c>
      <c r="E912" s="25" t="n">
        <f aca="false">A912/'Giả định'!$B$19*'Giả định'!$B$20+A912*'Giả định'!$B$23+'Giả định'!$B$24</f>
        <v>337647899.159664</v>
      </c>
      <c r="F912" s="25" t="n">
        <f aca="false">E912-D912</f>
        <v>-741973280.840336</v>
      </c>
      <c r="G912" s="25" t="n">
        <f aca="false">E912-C912</f>
        <v>-598368280.840336</v>
      </c>
      <c r="H912" s="7" t="str">
        <f aca="false">IF(F912&gt;=0,A912,"")</f>
        <v/>
      </c>
      <c r="I912" s="7" t="n">
        <f aca="false">IF(F912&lt;0,A912,0)</f>
        <v>907</v>
      </c>
      <c r="J912" s="7" t="str">
        <f aca="false">IF(G912&gt;=0,A912,"")</f>
        <v/>
      </c>
      <c r="K912" s="7" t="n">
        <f aca="false">IF(G912&lt;0,A912,0)</f>
        <v>907</v>
      </c>
    </row>
    <row r="913" customFormat="false" ht="15" hidden="false" customHeight="false" outlineLevel="0" collapsed="false">
      <c r="A913" s="7" t="n">
        <f aca="false">A912+1</f>
        <v>908</v>
      </c>
      <c r="B913" s="7" t="n">
        <f aca="false">MAX('Giả định'!$B$9,ROUNDUP(A913/'Giả định'!$B$7,0)+'Giả định'!$B$8)</f>
        <v>92</v>
      </c>
      <c r="C913" s="25" t="n">
        <f aca="false">('Chi phí'!$C$76+'Chi phí'!$D$76*B913+'Chi phí'!$E$76*A913+'Giả định'!$B$15*('Chi phí'!$F$76+'Chi phí'!$G$76*B913+'Chi phí'!$H$76*A913))*(1+'Giả định'!$B$16)</f>
        <v>936052920</v>
      </c>
      <c r="D913" s="25" t="n">
        <f aca="false">('Chi phí'!$C$77+'Chi phí'!$D$77*B913+'Chi phí'!$E$77*A913+'Giả định'!$B$15*('Chi phí'!$F$77+'Chi phí'!$G$77*B913+'Chi phí'!$H$77*A913))*(1+'Giả định'!$B$16)</f>
        <v>1079657920</v>
      </c>
      <c r="E913" s="25" t="n">
        <f aca="false">A913/'Giả định'!$B$19*'Giả định'!$B$20+A913*'Giả định'!$B$23+'Giả định'!$B$24</f>
        <v>338020168.067227</v>
      </c>
      <c r="F913" s="25" t="n">
        <f aca="false">E913-D913</f>
        <v>-741637751.932773</v>
      </c>
      <c r="G913" s="25" t="n">
        <f aca="false">E913-C913</f>
        <v>-598032751.932773</v>
      </c>
      <c r="H913" s="7" t="str">
        <f aca="false">IF(F913&gt;=0,A913,"")</f>
        <v/>
      </c>
      <c r="I913" s="7" t="n">
        <f aca="false">IF(F913&lt;0,A913,0)</f>
        <v>908</v>
      </c>
      <c r="J913" s="7" t="str">
        <f aca="false">IF(G913&gt;=0,A913,"")</f>
        <v/>
      </c>
      <c r="K913" s="7" t="n">
        <f aca="false">IF(G913&lt;0,A913,0)</f>
        <v>908</v>
      </c>
    </row>
    <row r="914" customFormat="false" ht="15" hidden="false" customHeight="false" outlineLevel="0" collapsed="false">
      <c r="A914" s="7" t="n">
        <f aca="false">A913+1</f>
        <v>909</v>
      </c>
      <c r="B914" s="7" t="n">
        <f aca="false">MAX('Giả định'!$B$9,ROUNDUP(A914/'Giả định'!$B$7,0)+'Giả định'!$B$8)</f>
        <v>92</v>
      </c>
      <c r="C914" s="25" t="n">
        <f aca="false">('Chi phí'!$C$76+'Chi phí'!$D$76*B914+'Chi phí'!$E$76*A914+'Giả định'!$B$15*('Chi phí'!$F$76+'Chi phí'!$G$76*B914+'Chi phí'!$H$76*A914))*(1+'Giả định'!$B$16)</f>
        <v>936089660</v>
      </c>
      <c r="D914" s="25" t="n">
        <f aca="false">('Chi phí'!$C$77+'Chi phí'!$D$77*B914+'Chi phí'!$E$77*A914+'Giả định'!$B$15*('Chi phí'!$F$77+'Chi phí'!$G$77*B914+'Chi phí'!$H$77*A914))*(1+'Giả định'!$B$16)</f>
        <v>1079694660</v>
      </c>
      <c r="E914" s="25" t="n">
        <f aca="false">A914/'Giả định'!$B$19*'Giả định'!$B$20+A914*'Giả định'!$B$23+'Giả định'!$B$24</f>
        <v>338392436.97479</v>
      </c>
      <c r="F914" s="25" t="n">
        <f aca="false">E914-D914</f>
        <v>-741302223.02521</v>
      </c>
      <c r="G914" s="25" t="n">
        <f aca="false">E914-C914</f>
        <v>-597697223.02521</v>
      </c>
      <c r="H914" s="7" t="str">
        <f aca="false">IF(F914&gt;=0,A914,"")</f>
        <v/>
      </c>
      <c r="I914" s="7" t="n">
        <f aca="false">IF(F914&lt;0,A914,0)</f>
        <v>909</v>
      </c>
      <c r="J914" s="7" t="str">
        <f aca="false">IF(G914&gt;=0,A914,"")</f>
        <v/>
      </c>
      <c r="K914" s="7" t="n">
        <f aca="false">IF(G914&lt;0,A914,0)</f>
        <v>909</v>
      </c>
    </row>
    <row r="915" customFormat="false" ht="15" hidden="false" customHeight="false" outlineLevel="0" collapsed="false">
      <c r="A915" s="7" t="n">
        <f aca="false">A914+1</f>
        <v>910</v>
      </c>
      <c r="B915" s="7" t="n">
        <f aca="false">MAX('Giả định'!$B$9,ROUNDUP(A915/'Giả định'!$B$7,0)+'Giả định'!$B$8)</f>
        <v>92</v>
      </c>
      <c r="C915" s="25" t="n">
        <f aca="false">('Chi phí'!$C$76+'Chi phí'!$D$76*B915+'Chi phí'!$E$76*A915+'Giả định'!$B$15*('Chi phí'!$F$76+'Chi phí'!$G$76*B915+'Chi phí'!$H$76*A915))*(1+'Giả định'!$B$16)</f>
        <v>936126400</v>
      </c>
      <c r="D915" s="25" t="n">
        <f aca="false">('Chi phí'!$C$77+'Chi phí'!$D$77*B915+'Chi phí'!$E$77*A915+'Giả định'!$B$15*('Chi phí'!$F$77+'Chi phí'!$G$77*B915+'Chi phí'!$H$77*A915))*(1+'Giả định'!$B$16)</f>
        <v>1079731400</v>
      </c>
      <c r="E915" s="25" t="n">
        <f aca="false">A915/'Giả định'!$B$19*'Giả định'!$B$20+A915*'Giả định'!$B$23+'Giả định'!$B$24</f>
        <v>338764705.882353</v>
      </c>
      <c r="F915" s="25" t="n">
        <f aca="false">E915-D915</f>
        <v>-740966694.117647</v>
      </c>
      <c r="G915" s="25" t="n">
        <f aca="false">E915-C915</f>
        <v>-597361694.117647</v>
      </c>
      <c r="H915" s="7" t="str">
        <f aca="false">IF(F915&gt;=0,A915,"")</f>
        <v/>
      </c>
      <c r="I915" s="7" t="n">
        <f aca="false">IF(F915&lt;0,A915,0)</f>
        <v>910</v>
      </c>
      <c r="J915" s="7" t="str">
        <f aca="false">IF(G915&gt;=0,A915,"")</f>
        <v/>
      </c>
      <c r="K915" s="7" t="n">
        <f aca="false">IF(G915&lt;0,A915,0)</f>
        <v>910</v>
      </c>
    </row>
    <row r="916" customFormat="false" ht="15" hidden="false" customHeight="false" outlineLevel="0" collapsed="false">
      <c r="A916" s="7" t="n">
        <f aca="false">A915+1</f>
        <v>911</v>
      </c>
      <c r="B916" s="7" t="n">
        <f aca="false">MAX('Giả định'!$B$9,ROUNDUP(A916/'Giả định'!$B$7,0)+'Giả định'!$B$8)</f>
        <v>93</v>
      </c>
      <c r="C916" s="25" t="n">
        <f aca="false">('Chi phí'!$C$76+'Chi phí'!$D$76*B916+'Chi phí'!$E$76*A916+'Giả định'!$B$15*('Chi phí'!$F$76+'Chi phí'!$G$76*B916+'Chi phí'!$H$76*A916))*(1+'Giả định'!$B$16)</f>
        <v>945337140</v>
      </c>
      <c r="D916" s="25" t="n">
        <f aca="false">('Chi phí'!$C$77+'Chi phí'!$D$77*B916+'Chi phí'!$E$77*A916+'Giả định'!$B$15*('Chi phí'!$F$77+'Chi phí'!$G$77*B916+'Chi phí'!$H$77*A916))*(1+'Giả định'!$B$16)</f>
        <v>1088942140</v>
      </c>
      <c r="E916" s="25" t="n">
        <f aca="false">A916/'Giả định'!$B$19*'Giả định'!$B$20+A916*'Giả định'!$B$23+'Giả định'!$B$24</f>
        <v>339136974.789916</v>
      </c>
      <c r="F916" s="25" t="n">
        <f aca="false">E916-D916</f>
        <v>-749805165.210084</v>
      </c>
      <c r="G916" s="25" t="n">
        <f aca="false">E916-C916</f>
        <v>-606200165.210084</v>
      </c>
      <c r="H916" s="7" t="str">
        <f aca="false">IF(F916&gt;=0,A916,"")</f>
        <v/>
      </c>
      <c r="I916" s="7" t="n">
        <f aca="false">IF(F916&lt;0,A916,0)</f>
        <v>911</v>
      </c>
      <c r="J916" s="7" t="str">
        <f aca="false">IF(G916&gt;=0,A916,"")</f>
        <v/>
      </c>
      <c r="K916" s="7" t="n">
        <f aca="false">IF(G916&lt;0,A916,0)</f>
        <v>911</v>
      </c>
    </row>
    <row r="917" customFormat="false" ht="15" hidden="false" customHeight="false" outlineLevel="0" collapsed="false">
      <c r="A917" s="7" t="n">
        <f aca="false">A916+1</f>
        <v>912</v>
      </c>
      <c r="B917" s="7" t="n">
        <f aca="false">MAX('Giả định'!$B$9,ROUNDUP(A917/'Giả định'!$B$7,0)+'Giả định'!$B$8)</f>
        <v>93</v>
      </c>
      <c r="C917" s="25" t="n">
        <f aca="false">('Chi phí'!$C$76+'Chi phí'!$D$76*B917+'Chi phí'!$E$76*A917+'Giả định'!$B$15*('Chi phí'!$F$76+'Chi phí'!$G$76*B917+'Chi phí'!$H$76*A917))*(1+'Giả định'!$B$16)</f>
        <v>945373880</v>
      </c>
      <c r="D917" s="25" t="n">
        <f aca="false">('Chi phí'!$C$77+'Chi phí'!$D$77*B917+'Chi phí'!$E$77*A917+'Giả định'!$B$15*('Chi phí'!$F$77+'Chi phí'!$G$77*B917+'Chi phí'!$H$77*A917))*(1+'Giả định'!$B$16)</f>
        <v>1088978880</v>
      </c>
      <c r="E917" s="25" t="n">
        <f aca="false">A917/'Giả định'!$B$19*'Giả định'!$B$20+A917*'Giả định'!$B$23+'Giả định'!$B$24</f>
        <v>339509243.697479</v>
      </c>
      <c r="F917" s="25" t="n">
        <f aca="false">E917-D917</f>
        <v>-749469636.302521</v>
      </c>
      <c r="G917" s="25" t="n">
        <f aca="false">E917-C917</f>
        <v>-605864636.302521</v>
      </c>
      <c r="H917" s="7" t="str">
        <f aca="false">IF(F917&gt;=0,A917,"")</f>
        <v/>
      </c>
      <c r="I917" s="7" t="n">
        <f aca="false">IF(F917&lt;0,A917,0)</f>
        <v>912</v>
      </c>
      <c r="J917" s="7" t="str">
        <f aca="false">IF(G917&gt;=0,A917,"")</f>
        <v/>
      </c>
      <c r="K917" s="7" t="n">
        <f aca="false">IF(G917&lt;0,A917,0)</f>
        <v>912</v>
      </c>
    </row>
    <row r="918" customFormat="false" ht="15" hidden="false" customHeight="false" outlineLevel="0" collapsed="false">
      <c r="A918" s="7" t="n">
        <f aca="false">A917+1</f>
        <v>913</v>
      </c>
      <c r="B918" s="7" t="n">
        <f aca="false">MAX('Giả định'!$B$9,ROUNDUP(A918/'Giả định'!$B$7,0)+'Giả định'!$B$8)</f>
        <v>93</v>
      </c>
      <c r="C918" s="25" t="n">
        <f aca="false">('Chi phí'!$C$76+'Chi phí'!$D$76*B918+'Chi phí'!$E$76*A918+'Giả định'!$B$15*('Chi phí'!$F$76+'Chi phí'!$G$76*B918+'Chi phí'!$H$76*A918))*(1+'Giả định'!$B$16)</f>
        <v>945410620</v>
      </c>
      <c r="D918" s="25" t="n">
        <f aca="false">('Chi phí'!$C$77+'Chi phí'!$D$77*B918+'Chi phí'!$E$77*A918+'Giả định'!$B$15*('Chi phí'!$F$77+'Chi phí'!$G$77*B918+'Chi phí'!$H$77*A918))*(1+'Giả định'!$B$16)</f>
        <v>1089015620</v>
      </c>
      <c r="E918" s="25" t="n">
        <f aca="false">A918/'Giả định'!$B$19*'Giả định'!$B$20+A918*'Giả định'!$B$23+'Giả định'!$B$24</f>
        <v>339881512.605042</v>
      </c>
      <c r="F918" s="25" t="n">
        <f aca="false">E918-D918</f>
        <v>-749134107.394958</v>
      </c>
      <c r="G918" s="25" t="n">
        <f aca="false">E918-C918</f>
        <v>-605529107.394958</v>
      </c>
      <c r="H918" s="7" t="str">
        <f aca="false">IF(F918&gt;=0,A918,"")</f>
        <v/>
      </c>
      <c r="I918" s="7" t="n">
        <f aca="false">IF(F918&lt;0,A918,0)</f>
        <v>913</v>
      </c>
      <c r="J918" s="7" t="str">
        <f aca="false">IF(G918&gt;=0,A918,"")</f>
        <v/>
      </c>
      <c r="K918" s="7" t="n">
        <f aca="false">IF(G918&lt;0,A918,0)</f>
        <v>913</v>
      </c>
    </row>
    <row r="919" customFormat="false" ht="15" hidden="false" customHeight="false" outlineLevel="0" collapsed="false">
      <c r="A919" s="7" t="n">
        <f aca="false">A918+1</f>
        <v>914</v>
      </c>
      <c r="B919" s="7" t="n">
        <f aca="false">MAX('Giả định'!$B$9,ROUNDUP(A919/'Giả định'!$B$7,0)+'Giả định'!$B$8)</f>
        <v>93</v>
      </c>
      <c r="C919" s="25" t="n">
        <f aca="false">('Chi phí'!$C$76+'Chi phí'!$D$76*B919+'Chi phí'!$E$76*A919+'Giả định'!$B$15*('Chi phí'!$F$76+'Chi phí'!$G$76*B919+'Chi phí'!$H$76*A919))*(1+'Giả định'!$B$16)</f>
        <v>945447360</v>
      </c>
      <c r="D919" s="25" t="n">
        <f aca="false">('Chi phí'!$C$77+'Chi phí'!$D$77*B919+'Chi phí'!$E$77*A919+'Giả định'!$B$15*('Chi phí'!$F$77+'Chi phí'!$G$77*B919+'Chi phí'!$H$77*A919))*(1+'Giả định'!$B$16)</f>
        <v>1089052360</v>
      </c>
      <c r="E919" s="25" t="n">
        <f aca="false">A919/'Giả định'!$B$19*'Giả định'!$B$20+A919*'Giả định'!$B$23+'Giả định'!$B$24</f>
        <v>340253781.512605</v>
      </c>
      <c r="F919" s="25" t="n">
        <f aca="false">E919-D919</f>
        <v>-748798578.487395</v>
      </c>
      <c r="G919" s="25" t="n">
        <f aca="false">E919-C919</f>
        <v>-605193578.487395</v>
      </c>
      <c r="H919" s="7" t="str">
        <f aca="false">IF(F919&gt;=0,A919,"")</f>
        <v/>
      </c>
      <c r="I919" s="7" t="n">
        <f aca="false">IF(F919&lt;0,A919,0)</f>
        <v>914</v>
      </c>
      <c r="J919" s="7" t="str">
        <f aca="false">IF(G919&gt;=0,A919,"")</f>
        <v/>
      </c>
      <c r="K919" s="7" t="n">
        <f aca="false">IF(G919&lt;0,A919,0)</f>
        <v>914</v>
      </c>
    </row>
    <row r="920" customFormat="false" ht="15" hidden="false" customHeight="false" outlineLevel="0" collapsed="false">
      <c r="A920" s="7" t="n">
        <f aca="false">A919+1</f>
        <v>915</v>
      </c>
      <c r="B920" s="7" t="n">
        <f aca="false">MAX('Giả định'!$B$9,ROUNDUP(A920/'Giả định'!$B$7,0)+'Giả định'!$B$8)</f>
        <v>93</v>
      </c>
      <c r="C920" s="25" t="n">
        <f aca="false">('Chi phí'!$C$76+'Chi phí'!$D$76*B920+'Chi phí'!$E$76*A920+'Giả định'!$B$15*('Chi phí'!$F$76+'Chi phí'!$G$76*B920+'Chi phí'!$H$76*A920))*(1+'Giả định'!$B$16)</f>
        <v>945484100</v>
      </c>
      <c r="D920" s="25" t="n">
        <f aca="false">('Chi phí'!$C$77+'Chi phí'!$D$77*B920+'Chi phí'!$E$77*A920+'Giả định'!$B$15*('Chi phí'!$F$77+'Chi phí'!$G$77*B920+'Chi phí'!$H$77*A920))*(1+'Giả định'!$B$16)</f>
        <v>1089089100</v>
      </c>
      <c r="E920" s="25" t="n">
        <f aca="false">A920/'Giả định'!$B$19*'Giả định'!$B$20+A920*'Giả định'!$B$23+'Giả định'!$B$24</f>
        <v>340626050.420168</v>
      </c>
      <c r="F920" s="25" t="n">
        <f aca="false">E920-D920</f>
        <v>-748463049.579832</v>
      </c>
      <c r="G920" s="25" t="n">
        <f aca="false">E920-C920</f>
        <v>-604858049.579832</v>
      </c>
      <c r="H920" s="7" t="str">
        <f aca="false">IF(F920&gt;=0,A920,"")</f>
        <v/>
      </c>
      <c r="I920" s="7" t="n">
        <f aca="false">IF(F920&lt;0,A920,0)</f>
        <v>915</v>
      </c>
      <c r="J920" s="7" t="str">
        <f aca="false">IF(G920&gt;=0,A920,"")</f>
        <v/>
      </c>
      <c r="K920" s="7" t="n">
        <f aca="false">IF(G920&lt;0,A920,0)</f>
        <v>915</v>
      </c>
    </row>
    <row r="921" customFormat="false" ht="15" hidden="false" customHeight="false" outlineLevel="0" collapsed="false">
      <c r="A921" s="7" t="n">
        <f aca="false">A920+1</f>
        <v>916</v>
      </c>
      <c r="B921" s="7" t="n">
        <f aca="false">MAX('Giả định'!$B$9,ROUNDUP(A921/'Giả định'!$B$7,0)+'Giả định'!$B$8)</f>
        <v>93</v>
      </c>
      <c r="C921" s="25" t="n">
        <f aca="false">('Chi phí'!$C$76+'Chi phí'!$D$76*B921+'Chi phí'!$E$76*A921+'Giả định'!$B$15*('Chi phí'!$F$76+'Chi phí'!$G$76*B921+'Chi phí'!$H$76*A921))*(1+'Giả định'!$B$16)</f>
        <v>945520840</v>
      </c>
      <c r="D921" s="25" t="n">
        <f aca="false">('Chi phí'!$C$77+'Chi phí'!$D$77*B921+'Chi phí'!$E$77*A921+'Giả định'!$B$15*('Chi phí'!$F$77+'Chi phí'!$G$77*B921+'Chi phí'!$H$77*A921))*(1+'Giả định'!$B$16)</f>
        <v>1089125840</v>
      </c>
      <c r="E921" s="25" t="n">
        <f aca="false">A921/'Giả định'!$B$19*'Giả định'!$B$20+A921*'Giả định'!$B$23+'Giả định'!$B$24</f>
        <v>340998319.327731</v>
      </c>
      <c r="F921" s="25" t="n">
        <f aca="false">E921-D921</f>
        <v>-748127520.672269</v>
      </c>
      <c r="G921" s="25" t="n">
        <f aca="false">E921-C921</f>
        <v>-604522520.672269</v>
      </c>
      <c r="H921" s="7" t="str">
        <f aca="false">IF(F921&gt;=0,A921,"")</f>
        <v/>
      </c>
      <c r="I921" s="7" t="n">
        <f aca="false">IF(F921&lt;0,A921,0)</f>
        <v>916</v>
      </c>
      <c r="J921" s="7" t="str">
        <f aca="false">IF(G921&gt;=0,A921,"")</f>
        <v/>
      </c>
      <c r="K921" s="7" t="n">
        <f aca="false">IF(G921&lt;0,A921,0)</f>
        <v>916</v>
      </c>
    </row>
    <row r="922" customFormat="false" ht="15" hidden="false" customHeight="false" outlineLevel="0" collapsed="false">
      <c r="A922" s="7" t="n">
        <f aca="false">A921+1</f>
        <v>917</v>
      </c>
      <c r="B922" s="7" t="n">
        <f aca="false">MAX('Giả định'!$B$9,ROUNDUP(A922/'Giả định'!$B$7,0)+'Giả định'!$B$8)</f>
        <v>93</v>
      </c>
      <c r="C922" s="25" t="n">
        <f aca="false">('Chi phí'!$C$76+'Chi phí'!$D$76*B922+'Chi phí'!$E$76*A922+'Giả định'!$B$15*('Chi phí'!$F$76+'Chi phí'!$G$76*B922+'Chi phí'!$H$76*A922))*(1+'Giả định'!$B$16)</f>
        <v>945557580</v>
      </c>
      <c r="D922" s="25" t="n">
        <f aca="false">('Chi phí'!$C$77+'Chi phí'!$D$77*B922+'Chi phí'!$E$77*A922+'Giả định'!$B$15*('Chi phí'!$F$77+'Chi phí'!$G$77*B922+'Chi phí'!$H$77*A922))*(1+'Giả định'!$B$16)</f>
        <v>1089162580</v>
      </c>
      <c r="E922" s="25" t="n">
        <f aca="false">A922/'Giả định'!$B$19*'Giả định'!$B$20+A922*'Giả định'!$B$23+'Giả định'!$B$24</f>
        <v>341370588.235294</v>
      </c>
      <c r="F922" s="25" t="n">
        <f aca="false">E922-D922</f>
        <v>-747791991.764706</v>
      </c>
      <c r="G922" s="25" t="n">
        <f aca="false">E922-C922</f>
        <v>-604186991.764706</v>
      </c>
      <c r="H922" s="7" t="str">
        <f aca="false">IF(F922&gt;=0,A922,"")</f>
        <v/>
      </c>
      <c r="I922" s="7" t="n">
        <f aca="false">IF(F922&lt;0,A922,0)</f>
        <v>917</v>
      </c>
      <c r="J922" s="7" t="str">
        <f aca="false">IF(G922&gt;=0,A922,"")</f>
        <v/>
      </c>
      <c r="K922" s="7" t="n">
        <f aca="false">IF(G922&lt;0,A922,0)</f>
        <v>917</v>
      </c>
    </row>
    <row r="923" customFormat="false" ht="15" hidden="false" customHeight="false" outlineLevel="0" collapsed="false">
      <c r="A923" s="7" t="n">
        <f aca="false">A922+1</f>
        <v>918</v>
      </c>
      <c r="B923" s="7" t="n">
        <f aca="false">MAX('Giả định'!$B$9,ROUNDUP(A923/'Giả định'!$B$7,0)+'Giả định'!$B$8)</f>
        <v>93</v>
      </c>
      <c r="C923" s="25" t="n">
        <f aca="false">('Chi phí'!$C$76+'Chi phí'!$D$76*B923+'Chi phí'!$E$76*A923+'Giả định'!$B$15*('Chi phí'!$F$76+'Chi phí'!$G$76*B923+'Chi phí'!$H$76*A923))*(1+'Giả định'!$B$16)</f>
        <v>945594320</v>
      </c>
      <c r="D923" s="25" t="n">
        <f aca="false">('Chi phí'!$C$77+'Chi phí'!$D$77*B923+'Chi phí'!$E$77*A923+'Giả định'!$B$15*('Chi phí'!$F$77+'Chi phí'!$G$77*B923+'Chi phí'!$H$77*A923))*(1+'Giả định'!$B$16)</f>
        <v>1089199320</v>
      </c>
      <c r="E923" s="25" t="n">
        <f aca="false">A923/'Giả định'!$B$19*'Giả định'!$B$20+A923*'Giả định'!$B$23+'Giả định'!$B$24</f>
        <v>341742857.142857</v>
      </c>
      <c r="F923" s="25" t="n">
        <f aca="false">E923-D923</f>
        <v>-747456462.857143</v>
      </c>
      <c r="G923" s="25" t="n">
        <f aca="false">E923-C923</f>
        <v>-603851462.857143</v>
      </c>
      <c r="H923" s="7" t="str">
        <f aca="false">IF(F923&gt;=0,A923,"")</f>
        <v/>
      </c>
      <c r="I923" s="7" t="n">
        <f aca="false">IF(F923&lt;0,A923,0)</f>
        <v>918</v>
      </c>
      <c r="J923" s="7" t="str">
        <f aca="false">IF(G923&gt;=0,A923,"")</f>
        <v/>
      </c>
      <c r="K923" s="7" t="n">
        <f aca="false">IF(G923&lt;0,A923,0)</f>
        <v>918</v>
      </c>
    </row>
    <row r="924" customFormat="false" ht="15" hidden="false" customHeight="false" outlineLevel="0" collapsed="false">
      <c r="A924" s="7" t="n">
        <f aca="false">A923+1</f>
        <v>919</v>
      </c>
      <c r="B924" s="7" t="n">
        <f aca="false">MAX('Giả định'!$B$9,ROUNDUP(A924/'Giả định'!$B$7,0)+'Giả định'!$B$8)</f>
        <v>93</v>
      </c>
      <c r="C924" s="25" t="n">
        <f aca="false">('Chi phí'!$C$76+'Chi phí'!$D$76*B924+'Chi phí'!$E$76*A924+'Giả định'!$B$15*('Chi phí'!$F$76+'Chi phí'!$G$76*B924+'Chi phí'!$H$76*A924))*(1+'Giả định'!$B$16)</f>
        <v>945631060</v>
      </c>
      <c r="D924" s="25" t="n">
        <f aca="false">('Chi phí'!$C$77+'Chi phí'!$D$77*B924+'Chi phí'!$E$77*A924+'Giả định'!$B$15*('Chi phí'!$F$77+'Chi phí'!$G$77*B924+'Chi phí'!$H$77*A924))*(1+'Giả định'!$B$16)</f>
        <v>1089236060</v>
      </c>
      <c r="E924" s="25" t="n">
        <f aca="false">A924/'Giả định'!$B$19*'Giả định'!$B$20+A924*'Giả định'!$B$23+'Giả định'!$B$24</f>
        <v>342115126.05042</v>
      </c>
      <c r="F924" s="25" t="n">
        <f aca="false">E924-D924</f>
        <v>-747120933.94958</v>
      </c>
      <c r="G924" s="25" t="n">
        <f aca="false">E924-C924</f>
        <v>-603515933.94958</v>
      </c>
      <c r="H924" s="7" t="str">
        <f aca="false">IF(F924&gt;=0,A924,"")</f>
        <v/>
      </c>
      <c r="I924" s="7" t="n">
        <f aca="false">IF(F924&lt;0,A924,0)</f>
        <v>919</v>
      </c>
      <c r="J924" s="7" t="str">
        <f aca="false">IF(G924&gt;=0,A924,"")</f>
        <v/>
      </c>
      <c r="K924" s="7" t="n">
        <f aca="false">IF(G924&lt;0,A924,0)</f>
        <v>919</v>
      </c>
    </row>
    <row r="925" customFormat="false" ht="15" hidden="false" customHeight="false" outlineLevel="0" collapsed="false">
      <c r="A925" s="7" t="n">
        <f aca="false">A924+1</f>
        <v>920</v>
      </c>
      <c r="B925" s="7" t="n">
        <f aca="false">MAX('Giả định'!$B$9,ROUNDUP(A925/'Giả định'!$B$7,0)+'Giả định'!$B$8)</f>
        <v>93</v>
      </c>
      <c r="C925" s="25" t="n">
        <f aca="false">('Chi phí'!$C$76+'Chi phí'!$D$76*B925+'Chi phí'!$E$76*A925+'Giả định'!$B$15*('Chi phí'!$F$76+'Chi phí'!$G$76*B925+'Chi phí'!$H$76*A925))*(1+'Giả định'!$B$16)</f>
        <v>945667800</v>
      </c>
      <c r="D925" s="25" t="n">
        <f aca="false">('Chi phí'!$C$77+'Chi phí'!$D$77*B925+'Chi phí'!$E$77*A925+'Giả định'!$B$15*('Chi phí'!$F$77+'Chi phí'!$G$77*B925+'Chi phí'!$H$77*A925))*(1+'Giả định'!$B$16)</f>
        <v>1089272800</v>
      </c>
      <c r="E925" s="25" t="n">
        <f aca="false">A925/'Giả định'!$B$19*'Giả định'!$B$20+A925*'Giả định'!$B$23+'Giả định'!$B$24</f>
        <v>342487394.957983</v>
      </c>
      <c r="F925" s="25" t="n">
        <f aca="false">E925-D925</f>
        <v>-746785405.042017</v>
      </c>
      <c r="G925" s="25" t="n">
        <f aca="false">E925-C925</f>
        <v>-603180405.042017</v>
      </c>
      <c r="H925" s="7" t="str">
        <f aca="false">IF(F925&gt;=0,A925,"")</f>
        <v/>
      </c>
      <c r="I925" s="7" t="n">
        <f aca="false">IF(F925&lt;0,A925,0)</f>
        <v>920</v>
      </c>
      <c r="J925" s="7" t="str">
        <f aca="false">IF(G925&gt;=0,A925,"")</f>
        <v/>
      </c>
      <c r="K925" s="7" t="n">
        <f aca="false">IF(G925&lt;0,A925,0)</f>
        <v>920</v>
      </c>
    </row>
    <row r="926" customFormat="false" ht="15" hidden="false" customHeight="false" outlineLevel="0" collapsed="false">
      <c r="A926" s="7" t="n">
        <f aca="false">A925+1</f>
        <v>921</v>
      </c>
      <c r="B926" s="7" t="n">
        <f aca="false">MAX('Giả định'!$B$9,ROUNDUP(A926/'Giả định'!$B$7,0)+'Giả định'!$B$8)</f>
        <v>94</v>
      </c>
      <c r="C926" s="25" t="n">
        <f aca="false">('Chi phí'!$C$76+'Chi phí'!$D$76*B926+'Chi phí'!$E$76*A926+'Giả định'!$B$15*('Chi phí'!$F$76+'Chi phí'!$G$76*B926+'Chi phí'!$H$76*A926))*(1+'Giả định'!$B$16)</f>
        <v>954878540</v>
      </c>
      <c r="D926" s="25" t="n">
        <f aca="false">('Chi phí'!$C$77+'Chi phí'!$D$77*B926+'Chi phí'!$E$77*A926+'Giả định'!$B$15*('Chi phí'!$F$77+'Chi phí'!$G$77*B926+'Chi phí'!$H$77*A926))*(1+'Giả định'!$B$16)</f>
        <v>1098483540</v>
      </c>
      <c r="E926" s="25" t="n">
        <f aca="false">A926/'Giả định'!$B$19*'Giả định'!$B$20+A926*'Giả định'!$B$23+'Giả định'!$B$24</f>
        <v>342859663.865546</v>
      </c>
      <c r="F926" s="25" t="n">
        <f aca="false">E926-D926</f>
        <v>-755623876.134454</v>
      </c>
      <c r="G926" s="25" t="n">
        <f aca="false">E926-C926</f>
        <v>-612018876.134454</v>
      </c>
      <c r="H926" s="7" t="str">
        <f aca="false">IF(F926&gt;=0,A926,"")</f>
        <v/>
      </c>
      <c r="I926" s="7" t="n">
        <f aca="false">IF(F926&lt;0,A926,0)</f>
        <v>921</v>
      </c>
      <c r="J926" s="7" t="str">
        <f aca="false">IF(G926&gt;=0,A926,"")</f>
        <v/>
      </c>
      <c r="K926" s="7" t="n">
        <f aca="false">IF(G926&lt;0,A926,0)</f>
        <v>921</v>
      </c>
    </row>
    <row r="927" customFormat="false" ht="15" hidden="false" customHeight="false" outlineLevel="0" collapsed="false">
      <c r="A927" s="7" t="n">
        <f aca="false">A926+1</f>
        <v>922</v>
      </c>
      <c r="B927" s="7" t="n">
        <f aca="false">MAX('Giả định'!$B$9,ROUNDUP(A927/'Giả định'!$B$7,0)+'Giả định'!$B$8)</f>
        <v>94</v>
      </c>
      <c r="C927" s="25" t="n">
        <f aca="false">('Chi phí'!$C$76+'Chi phí'!$D$76*B927+'Chi phí'!$E$76*A927+'Giả định'!$B$15*('Chi phí'!$F$76+'Chi phí'!$G$76*B927+'Chi phí'!$H$76*A927))*(1+'Giả định'!$B$16)</f>
        <v>954915280</v>
      </c>
      <c r="D927" s="25" t="n">
        <f aca="false">('Chi phí'!$C$77+'Chi phí'!$D$77*B927+'Chi phí'!$E$77*A927+'Giả định'!$B$15*('Chi phí'!$F$77+'Chi phí'!$G$77*B927+'Chi phí'!$H$77*A927))*(1+'Giả định'!$B$16)</f>
        <v>1098520280</v>
      </c>
      <c r="E927" s="25" t="n">
        <f aca="false">A927/'Giả định'!$B$19*'Giả định'!$B$20+A927*'Giả định'!$B$23+'Giả định'!$B$24</f>
        <v>343231932.773109</v>
      </c>
      <c r="F927" s="25" t="n">
        <f aca="false">E927-D927</f>
        <v>-755288347.226891</v>
      </c>
      <c r="G927" s="25" t="n">
        <f aca="false">E927-C927</f>
        <v>-611683347.226891</v>
      </c>
      <c r="H927" s="7" t="str">
        <f aca="false">IF(F927&gt;=0,A927,"")</f>
        <v/>
      </c>
      <c r="I927" s="7" t="n">
        <f aca="false">IF(F927&lt;0,A927,0)</f>
        <v>922</v>
      </c>
      <c r="J927" s="7" t="str">
        <f aca="false">IF(G927&gt;=0,A927,"")</f>
        <v/>
      </c>
      <c r="K927" s="7" t="n">
        <f aca="false">IF(G927&lt;0,A927,0)</f>
        <v>922</v>
      </c>
    </row>
    <row r="928" customFormat="false" ht="15" hidden="false" customHeight="false" outlineLevel="0" collapsed="false">
      <c r="A928" s="7" t="n">
        <f aca="false">A927+1</f>
        <v>923</v>
      </c>
      <c r="B928" s="7" t="n">
        <f aca="false">MAX('Giả định'!$B$9,ROUNDUP(A928/'Giả định'!$B$7,0)+'Giả định'!$B$8)</f>
        <v>94</v>
      </c>
      <c r="C928" s="25" t="n">
        <f aca="false">('Chi phí'!$C$76+'Chi phí'!$D$76*B928+'Chi phí'!$E$76*A928+'Giả định'!$B$15*('Chi phí'!$F$76+'Chi phí'!$G$76*B928+'Chi phí'!$H$76*A928))*(1+'Giả định'!$B$16)</f>
        <v>954952020</v>
      </c>
      <c r="D928" s="25" t="n">
        <f aca="false">('Chi phí'!$C$77+'Chi phí'!$D$77*B928+'Chi phí'!$E$77*A928+'Giả định'!$B$15*('Chi phí'!$F$77+'Chi phí'!$G$77*B928+'Chi phí'!$H$77*A928))*(1+'Giả định'!$B$16)</f>
        <v>1098557020</v>
      </c>
      <c r="E928" s="25" t="n">
        <f aca="false">A928/'Giả định'!$B$19*'Giả định'!$B$20+A928*'Giả định'!$B$23+'Giả định'!$B$24</f>
        <v>343604201.680672</v>
      </c>
      <c r="F928" s="25" t="n">
        <f aca="false">E928-D928</f>
        <v>-754952818.319328</v>
      </c>
      <c r="G928" s="25" t="n">
        <f aca="false">E928-C928</f>
        <v>-611347818.319328</v>
      </c>
      <c r="H928" s="7" t="str">
        <f aca="false">IF(F928&gt;=0,A928,"")</f>
        <v/>
      </c>
      <c r="I928" s="7" t="n">
        <f aca="false">IF(F928&lt;0,A928,0)</f>
        <v>923</v>
      </c>
      <c r="J928" s="7" t="str">
        <f aca="false">IF(G928&gt;=0,A928,"")</f>
        <v/>
      </c>
      <c r="K928" s="7" t="n">
        <f aca="false">IF(G928&lt;0,A928,0)</f>
        <v>923</v>
      </c>
    </row>
    <row r="929" customFormat="false" ht="15" hidden="false" customHeight="false" outlineLevel="0" collapsed="false">
      <c r="A929" s="7" t="n">
        <f aca="false">A928+1</f>
        <v>924</v>
      </c>
      <c r="B929" s="7" t="n">
        <f aca="false">MAX('Giả định'!$B$9,ROUNDUP(A929/'Giả định'!$B$7,0)+'Giả định'!$B$8)</f>
        <v>94</v>
      </c>
      <c r="C929" s="25" t="n">
        <f aca="false">('Chi phí'!$C$76+'Chi phí'!$D$76*B929+'Chi phí'!$E$76*A929+'Giả định'!$B$15*('Chi phí'!$F$76+'Chi phí'!$G$76*B929+'Chi phí'!$H$76*A929))*(1+'Giả định'!$B$16)</f>
        <v>954988760</v>
      </c>
      <c r="D929" s="25" t="n">
        <f aca="false">('Chi phí'!$C$77+'Chi phí'!$D$77*B929+'Chi phí'!$E$77*A929+'Giả định'!$B$15*('Chi phí'!$F$77+'Chi phí'!$G$77*B929+'Chi phí'!$H$77*A929))*(1+'Giả định'!$B$16)</f>
        <v>1098593760</v>
      </c>
      <c r="E929" s="25" t="n">
        <f aca="false">A929/'Giả định'!$B$19*'Giả định'!$B$20+A929*'Giả định'!$B$23+'Giả định'!$B$24</f>
        <v>343976470.588235</v>
      </c>
      <c r="F929" s="25" t="n">
        <f aca="false">E929-D929</f>
        <v>-754617289.411765</v>
      </c>
      <c r="G929" s="25" t="n">
        <f aca="false">E929-C929</f>
        <v>-611012289.411765</v>
      </c>
      <c r="H929" s="7" t="str">
        <f aca="false">IF(F929&gt;=0,A929,"")</f>
        <v/>
      </c>
      <c r="I929" s="7" t="n">
        <f aca="false">IF(F929&lt;0,A929,0)</f>
        <v>924</v>
      </c>
      <c r="J929" s="7" t="str">
        <f aca="false">IF(G929&gt;=0,A929,"")</f>
        <v/>
      </c>
      <c r="K929" s="7" t="n">
        <f aca="false">IF(G929&lt;0,A929,0)</f>
        <v>924</v>
      </c>
    </row>
    <row r="930" customFormat="false" ht="15" hidden="false" customHeight="false" outlineLevel="0" collapsed="false">
      <c r="A930" s="7" t="n">
        <f aca="false">A929+1</f>
        <v>925</v>
      </c>
      <c r="B930" s="7" t="n">
        <f aca="false">MAX('Giả định'!$B$9,ROUNDUP(A930/'Giả định'!$B$7,0)+'Giả định'!$B$8)</f>
        <v>94</v>
      </c>
      <c r="C930" s="25" t="n">
        <f aca="false">('Chi phí'!$C$76+'Chi phí'!$D$76*B930+'Chi phí'!$E$76*A930+'Giả định'!$B$15*('Chi phí'!$F$76+'Chi phí'!$G$76*B930+'Chi phí'!$H$76*A930))*(1+'Giả định'!$B$16)</f>
        <v>955025500</v>
      </c>
      <c r="D930" s="25" t="n">
        <f aca="false">('Chi phí'!$C$77+'Chi phí'!$D$77*B930+'Chi phí'!$E$77*A930+'Giả định'!$B$15*('Chi phí'!$F$77+'Chi phí'!$G$77*B930+'Chi phí'!$H$77*A930))*(1+'Giả định'!$B$16)</f>
        <v>1098630500</v>
      </c>
      <c r="E930" s="25" t="n">
        <f aca="false">A930/'Giả định'!$B$19*'Giả định'!$B$20+A930*'Giả định'!$B$23+'Giả định'!$B$24</f>
        <v>344348739.495798</v>
      </c>
      <c r="F930" s="25" t="n">
        <f aca="false">E930-D930</f>
        <v>-754281760.504202</v>
      </c>
      <c r="G930" s="25" t="n">
        <f aca="false">E930-C930</f>
        <v>-610676760.504202</v>
      </c>
      <c r="H930" s="7" t="str">
        <f aca="false">IF(F930&gt;=0,A930,"")</f>
        <v/>
      </c>
      <c r="I930" s="7" t="n">
        <f aca="false">IF(F930&lt;0,A930,0)</f>
        <v>925</v>
      </c>
      <c r="J930" s="7" t="str">
        <f aca="false">IF(G930&gt;=0,A930,"")</f>
        <v/>
      </c>
      <c r="K930" s="7" t="n">
        <f aca="false">IF(G930&lt;0,A930,0)</f>
        <v>925</v>
      </c>
    </row>
    <row r="931" customFormat="false" ht="15" hidden="false" customHeight="false" outlineLevel="0" collapsed="false">
      <c r="A931" s="7" t="n">
        <f aca="false">A930+1</f>
        <v>926</v>
      </c>
      <c r="B931" s="7" t="n">
        <f aca="false">MAX('Giả định'!$B$9,ROUNDUP(A931/'Giả định'!$B$7,0)+'Giả định'!$B$8)</f>
        <v>94</v>
      </c>
      <c r="C931" s="25" t="n">
        <f aca="false">('Chi phí'!$C$76+'Chi phí'!$D$76*B931+'Chi phí'!$E$76*A931+'Giả định'!$B$15*('Chi phí'!$F$76+'Chi phí'!$G$76*B931+'Chi phí'!$H$76*A931))*(1+'Giả định'!$B$16)</f>
        <v>955062240</v>
      </c>
      <c r="D931" s="25" t="n">
        <f aca="false">('Chi phí'!$C$77+'Chi phí'!$D$77*B931+'Chi phí'!$E$77*A931+'Giả định'!$B$15*('Chi phí'!$F$77+'Chi phí'!$G$77*B931+'Chi phí'!$H$77*A931))*(1+'Giả định'!$B$16)</f>
        <v>1098667240</v>
      </c>
      <c r="E931" s="25" t="n">
        <f aca="false">A931/'Giả định'!$B$19*'Giả định'!$B$20+A931*'Giả định'!$B$23+'Giả định'!$B$24</f>
        <v>344721008.403361</v>
      </c>
      <c r="F931" s="25" t="n">
        <f aca="false">E931-D931</f>
        <v>-753946231.596639</v>
      </c>
      <c r="G931" s="25" t="n">
        <f aca="false">E931-C931</f>
        <v>-610341231.596639</v>
      </c>
      <c r="H931" s="7" t="str">
        <f aca="false">IF(F931&gt;=0,A931,"")</f>
        <v/>
      </c>
      <c r="I931" s="7" t="n">
        <f aca="false">IF(F931&lt;0,A931,0)</f>
        <v>926</v>
      </c>
      <c r="J931" s="7" t="str">
        <f aca="false">IF(G931&gt;=0,A931,"")</f>
        <v/>
      </c>
      <c r="K931" s="7" t="n">
        <f aca="false">IF(G931&lt;0,A931,0)</f>
        <v>926</v>
      </c>
    </row>
    <row r="932" customFormat="false" ht="15" hidden="false" customHeight="false" outlineLevel="0" collapsed="false">
      <c r="A932" s="7" t="n">
        <f aca="false">A931+1</f>
        <v>927</v>
      </c>
      <c r="B932" s="7" t="n">
        <f aca="false">MAX('Giả định'!$B$9,ROUNDUP(A932/'Giả định'!$B$7,0)+'Giả định'!$B$8)</f>
        <v>94</v>
      </c>
      <c r="C932" s="25" t="n">
        <f aca="false">('Chi phí'!$C$76+'Chi phí'!$D$76*B932+'Chi phí'!$E$76*A932+'Giả định'!$B$15*('Chi phí'!$F$76+'Chi phí'!$G$76*B932+'Chi phí'!$H$76*A932))*(1+'Giả định'!$B$16)</f>
        <v>955098980</v>
      </c>
      <c r="D932" s="25" t="n">
        <f aca="false">('Chi phí'!$C$77+'Chi phí'!$D$77*B932+'Chi phí'!$E$77*A932+'Giả định'!$B$15*('Chi phí'!$F$77+'Chi phí'!$G$77*B932+'Chi phí'!$H$77*A932))*(1+'Giả định'!$B$16)</f>
        <v>1098703980</v>
      </c>
      <c r="E932" s="25" t="n">
        <f aca="false">A932/'Giả định'!$B$19*'Giả định'!$B$20+A932*'Giả định'!$B$23+'Giả định'!$B$24</f>
        <v>345093277.310924</v>
      </c>
      <c r="F932" s="25" t="n">
        <f aca="false">E932-D932</f>
        <v>-753610702.689076</v>
      </c>
      <c r="G932" s="25" t="n">
        <f aca="false">E932-C932</f>
        <v>-610005702.689076</v>
      </c>
      <c r="H932" s="7" t="str">
        <f aca="false">IF(F932&gt;=0,A932,"")</f>
        <v/>
      </c>
      <c r="I932" s="7" t="n">
        <f aca="false">IF(F932&lt;0,A932,0)</f>
        <v>927</v>
      </c>
      <c r="J932" s="7" t="str">
        <f aca="false">IF(G932&gt;=0,A932,"")</f>
        <v/>
      </c>
      <c r="K932" s="7" t="n">
        <f aca="false">IF(G932&lt;0,A932,0)</f>
        <v>927</v>
      </c>
    </row>
    <row r="933" customFormat="false" ht="15" hidden="false" customHeight="false" outlineLevel="0" collapsed="false">
      <c r="A933" s="7" t="n">
        <f aca="false">A932+1</f>
        <v>928</v>
      </c>
      <c r="B933" s="7" t="n">
        <f aca="false">MAX('Giả định'!$B$9,ROUNDUP(A933/'Giả định'!$B$7,0)+'Giả định'!$B$8)</f>
        <v>94</v>
      </c>
      <c r="C933" s="25" t="n">
        <f aca="false">('Chi phí'!$C$76+'Chi phí'!$D$76*B933+'Chi phí'!$E$76*A933+'Giả định'!$B$15*('Chi phí'!$F$76+'Chi phí'!$G$76*B933+'Chi phí'!$H$76*A933))*(1+'Giả định'!$B$16)</f>
        <v>955135720</v>
      </c>
      <c r="D933" s="25" t="n">
        <f aca="false">('Chi phí'!$C$77+'Chi phí'!$D$77*B933+'Chi phí'!$E$77*A933+'Giả định'!$B$15*('Chi phí'!$F$77+'Chi phí'!$G$77*B933+'Chi phí'!$H$77*A933))*(1+'Giả định'!$B$16)</f>
        <v>1098740720</v>
      </c>
      <c r="E933" s="25" t="n">
        <f aca="false">A933/'Giả định'!$B$19*'Giả định'!$B$20+A933*'Giả định'!$B$23+'Giả định'!$B$24</f>
        <v>345465546.218487</v>
      </c>
      <c r="F933" s="25" t="n">
        <f aca="false">E933-D933</f>
        <v>-753275173.781513</v>
      </c>
      <c r="G933" s="25" t="n">
        <f aca="false">E933-C933</f>
        <v>-609670173.781513</v>
      </c>
      <c r="H933" s="7" t="str">
        <f aca="false">IF(F933&gt;=0,A933,"")</f>
        <v/>
      </c>
      <c r="I933" s="7" t="n">
        <f aca="false">IF(F933&lt;0,A933,0)</f>
        <v>928</v>
      </c>
      <c r="J933" s="7" t="str">
        <f aca="false">IF(G933&gt;=0,A933,"")</f>
        <v/>
      </c>
      <c r="K933" s="7" t="n">
        <f aca="false">IF(G933&lt;0,A933,0)</f>
        <v>928</v>
      </c>
    </row>
    <row r="934" customFormat="false" ht="15" hidden="false" customHeight="false" outlineLevel="0" collapsed="false">
      <c r="A934" s="7" t="n">
        <f aca="false">A933+1</f>
        <v>929</v>
      </c>
      <c r="B934" s="7" t="n">
        <f aca="false">MAX('Giả định'!$B$9,ROUNDUP(A934/'Giả định'!$B$7,0)+'Giả định'!$B$8)</f>
        <v>94</v>
      </c>
      <c r="C934" s="25" t="n">
        <f aca="false">('Chi phí'!$C$76+'Chi phí'!$D$76*B934+'Chi phí'!$E$76*A934+'Giả định'!$B$15*('Chi phí'!$F$76+'Chi phí'!$G$76*B934+'Chi phí'!$H$76*A934))*(1+'Giả định'!$B$16)</f>
        <v>955172460</v>
      </c>
      <c r="D934" s="25" t="n">
        <f aca="false">('Chi phí'!$C$77+'Chi phí'!$D$77*B934+'Chi phí'!$E$77*A934+'Giả định'!$B$15*('Chi phí'!$F$77+'Chi phí'!$G$77*B934+'Chi phí'!$H$77*A934))*(1+'Giả định'!$B$16)</f>
        <v>1098777460</v>
      </c>
      <c r="E934" s="25" t="n">
        <f aca="false">A934/'Giả định'!$B$19*'Giả định'!$B$20+A934*'Giả định'!$B$23+'Giả định'!$B$24</f>
        <v>345837815.126051</v>
      </c>
      <c r="F934" s="25" t="n">
        <f aca="false">E934-D934</f>
        <v>-752939644.87395</v>
      </c>
      <c r="G934" s="25" t="n">
        <f aca="false">E934-C934</f>
        <v>-609334644.87395</v>
      </c>
      <c r="H934" s="7" t="str">
        <f aca="false">IF(F934&gt;=0,A934,"")</f>
        <v/>
      </c>
      <c r="I934" s="7" t="n">
        <f aca="false">IF(F934&lt;0,A934,0)</f>
        <v>929</v>
      </c>
      <c r="J934" s="7" t="str">
        <f aca="false">IF(G934&gt;=0,A934,"")</f>
        <v/>
      </c>
      <c r="K934" s="7" t="n">
        <f aca="false">IF(G934&lt;0,A934,0)</f>
        <v>929</v>
      </c>
    </row>
    <row r="935" customFormat="false" ht="15" hidden="false" customHeight="false" outlineLevel="0" collapsed="false">
      <c r="A935" s="7" t="n">
        <f aca="false">A934+1</f>
        <v>930</v>
      </c>
      <c r="B935" s="7" t="n">
        <f aca="false">MAX('Giả định'!$B$9,ROUNDUP(A935/'Giả định'!$B$7,0)+'Giả định'!$B$8)</f>
        <v>94</v>
      </c>
      <c r="C935" s="25" t="n">
        <f aca="false">('Chi phí'!$C$76+'Chi phí'!$D$76*B935+'Chi phí'!$E$76*A935+'Giả định'!$B$15*('Chi phí'!$F$76+'Chi phí'!$G$76*B935+'Chi phí'!$H$76*A935))*(1+'Giả định'!$B$16)</f>
        <v>955209200</v>
      </c>
      <c r="D935" s="25" t="n">
        <f aca="false">('Chi phí'!$C$77+'Chi phí'!$D$77*B935+'Chi phí'!$E$77*A935+'Giả định'!$B$15*('Chi phí'!$F$77+'Chi phí'!$G$77*B935+'Chi phí'!$H$77*A935))*(1+'Giả định'!$B$16)</f>
        <v>1098814200</v>
      </c>
      <c r="E935" s="25" t="n">
        <f aca="false">A935/'Giả định'!$B$19*'Giả định'!$B$20+A935*'Giả định'!$B$23+'Giả định'!$B$24</f>
        <v>346210084.033614</v>
      </c>
      <c r="F935" s="25" t="n">
        <f aca="false">E935-D935</f>
        <v>-752604115.966387</v>
      </c>
      <c r="G935" s="25" t="n">
        <f aca="false">E935-C935</f>
        <v>-608999115.966387</v>
      </c>
      <c r="H935" s="7" t="str">
        <f aca="false">IF(F935&gt;=0,A935,"")</f>
        <v/>
      </c>
      <c r="I935" s="7" t="n">
        <f aca="false">IF(F935&lt;0,A935,0)</f>
        <v>930</v>
      </c>
      <c r="J935" s="7" t="str">
        <f aca="false">IF(G935&gt;=0,A935,"")</f>
        <v/>
      </c>
      <c r="K935" s="7" t="n">
        <f aca="false">IF(G935&lt;0,A935,0)</f>
        <v>930</v>
      </c>
    </row>
    <row r="936" customFormat="false" ht="15" hidden="false" customHeight="false" outlineLevel="0" collapsed="false">
      <c r="A936" s="7" t="n">
        <f aca="false">A935+1</f>
        <v>931</v>
      </c>
      <c r="B936" s="7" t="n">
        <f aca="false">MAX('Giả định'!$B$9,ROUNDUP(A936/'Giả định'!$B$7,0)+'Giả định'!$B$8)</f>
        <v>95</v>
      </c>
      <c r="C936" s="25" t="n">
        <f aca="false">('Chi phí'!$C$76+'Chi phí'!$D$76*B936+'Chi phí'!$E$76*A936+'Giả định'!$B$15*('Chi phí'!$F$76+'Chi phí'!$G$76*B936+'Chi phí'!$H$76*A936))*(1+'Giả định'!$B$16)</f>
        <v>964419940</v>
      </c>
      <c r="D936" s="25" t="n">
        <f aca="false">('Chi phí'!$C$77+'Chi phí'!$D$77*B936+'Chi phí'!$E$77*A936+'Giả định'!$B$15*('Chi phí'!$F$77+'Chi phí'!$G$77*B936+'Chi phí'!$H$77*A936))*(1+'Giả định'!$B$16)</f>
        <v>1108024940</v>
      </c>
      <c r="E936" s="25" t="n">
        <f aca="false">A936/'Giả định'!$B$19*'Giả định'!$B$20+A936*'Giả định'!$B$23+'Giả định'!$B$24</f>
        <v>346582352.941177</v>
      </c>
      <c r="F936" s="25" t="n">
        <f aca="false">E936-D936</f>
        <v>-761442587.058824</v>
      </c>
      <c r="G936" s="25" t="n">
        <f aca="false">E936-C936</f>
        <v>-617837587.058824</v>
      </c>
      <c r="H936" s="7" t="str">
        <f aca="false">IF(F936&gt;=0,A936,"")</f>
        <v/>
      </c>
      <c r="I936" s="7" t="n">
        <f aca="false">IF(F936&lt;0,A936,0)</f>
        <v>931</v>
      </c>
      <c r="J936" s="7" t="str">
        <f aca="false">IF(G936&gt;=0,A936,"")</f>
        <v/>
      </c>
      <c r="K936" s="7" t="n">
        <f aca="false">IF(G936&lt;0,A936,0)</f>
        <v>931</v>
      </c>
    </row>
    <row r="937" customFormat="false" ht="15" hidden="false" customHeight="false" outlineLevel="0" collapsed="false">
      <c r="A937" s="7" t="n">
        <f aca="false">A936+1</f>
        <v>932</v>
      </c>
      <c r="B937" s="7" t="n">
        <f aca="false">MAX('Giả định'!$B$9,ROUNDUP(A937/'Giả định'!$B$7,0)+'Giả định'!$B$8)</f>
        <v>95</v>
      </c>
      <c r="C937" s="25" t="n">
        <f aca="false">('Chi phí'!$C$76+'Chi phí'!$D$76*B937+'Chi phí'!$E$76*A937+'Giả định'!$B$15*('Chi phí'!$F$76+'Chi phí'!$G$76*B937+'Chi phí'!$H$76*A937))*(1+'Giả định'!$B$16)</f>
        <v>964456680</v>
      </c>
      <c r="D937" s="25" t="n">
        <f aca="false">('Chi phí'!$C$77+'Chi phí'!$D$77*B937+'Chi phí'!$E$77*A937+'Giả định'!$B$15*('Chi phí'!$F$77+'Chi phí'!$G$77*B937+'Chi phí'!$H$77*A937))*(1+'Giả định'!$B$16)</f>
        <v>1108061680</v>
      </c>
      <c r="E937" s="25" t="n">
        <f aca="false">A937/'Giả định'!$B$19*'Giả định'!$B$20+A937*'Giả định'!$B$23+'Giả định'!$B$24</f>
        <v>346954621.84874</v>
      </c>
      <c r="F937" s="25" t="n">
        <f aca="false">E937-D937</f>
        <v>-761107058.151261</v>
      </c>
      <c r="G937" s="25" t="n">
        <f aca="false">E937-C937</f>
        <v>-617502058.151261</v>
      </c>
      <c r="H937" s="7" t="str">
        <f aca="false">IF(F937&gt;=0,A937,"")</f>
        <v/>
      </c>
      <c r="I937" s="7" t="n">
        <f aca="false">IF(F937&lt;0,A937,0)</f>
        <v>932</v>
      </c>
      <c r="J937" s="7" t="str">
        <f aca="false">IF(G937&gt;=0,A937,"")</f>
        <v/>
      </c>
      <c r="K937" s="7" t="n">
        <f aca="false">IF(G937&lt;0,A937,0)</f>
        <v>932</v>
      </c>
    </row>
    <row r="938" customFormat="false" ht="15" hidden="false" customHeight="false" outlineLevel="0" collapsed="false">
      <c r="A938" s="7" t="n">
        <f aca="false">A937+1</f>
        <v>933</v>
      </c>
      <c r="B938" s="7" t="n">
        <f aca="false">MAX('Giả định'!$B$9,ROUNDUP(A938/'Giả định'!$B$7,0)+'Giả định'!$B$8)</f>
        <v>95</v>
      </c>
      <c r="C938" s="25" t="n">
        <f aca="false">('Chi phí'!$C$76+'Chi phí'!$D$76*B938+'Chi phí'!$E$76*A938+'Giả định'!$B$15*('Chi phí'!$F$76+'Chi phí'!$G$76*B938+'Chi phí'!$H$76*A938))*(1+'Giả định'!$B$16)</f>
        <v>964493420</v>
      </c>
      <c r="D938" s="25" t="n">
        <f aca="false">('Chi phí'!$C$77+'Chi phí'!$D$77*B938+'Chi phí'!$E$77*A938+'Giả định'!$B$15*('Chi phí'!$F$77+'Chi phí'!$G$77*B938+'Chi phí'!$H$77*A938))*(1+'Giả định'!$B$16)</f>
        <v>1108098420</v>
      </c>
      <c r="E938" s="25" t="n">
        <f aca="false">A938/'Giả định'!$B$19*'Giả định'!$B$20+A938*'Giả định'!$B$23+'Giả định'!$B$24</f>
        <v>347326890.756303</v>
      </c>
      <c r="F938" s="25" t="n">
        <f aca="false">E938-D938</f>
        <v>-760771529.243697</v>
      </c>
      <c r="G938" s="25" t="n">
        <f aca="false">E938-C938</f>
        <v>-617166529.243698</v>
      </c>
      <c r="H938" s="7" t="str">
        <f aca="false">IF(F938&gt;=0,A938,"")</f>
        <v/>
      </c>
      <c r="I938" s="7" t="n">
        <f aca="false">IF(F938&lt;0,A938,0)</f>
        <v>933</v>
      </c>
      <c r="J938" s="7" t="str">
        <f aca="false">IF(G938&gt;=0,A938,"")</f>
        <v/>
      </c>
      <c r="K938" s="7" t="n">
        <f aca="false">IF(G938&lt;0,A938,0)</f>
        <v>933</v>
      </c>
    </row>
    <row r="939" customFormat="false" ht="15" hidden="false" customHeight="false" outlineLevel="0" collapsed="false">
      <c r="A939" s="7" t="n">
        <f aca="false">A938+1</f>
        <v>934</v>
      </c>
      <c r="B939" s="7" t="n">
        <f aca="false">MAX('Giả định'!$B$9,ROUNDUP(A939/'Giả định'!$B$7,0)+'Giả định'!$B$8)</f>
        <v>95</v>
      </c>
      <c r="C939" s="25" t="n">
        <f aca="false">('Chi phí'!$C$76+'Chi phí'!$D$76*B939+'Chi phí'!$E$76*A939+'Giả định'!$B$15*('Chi phí'!$F$76+'Chi phí'!$G$76*B939+'Chi phí'!$H$76*A939))*(1+'Giả định'!$B$16)</f>
        <v>964530160</v>
      </c>
      <c r="D939" s="25" t="n">
        <f aca="false">('Chi phí'!$C$77+'Chi phí'!$D$77*B939+'Chi phí'!$E$77*A939+'Giả định'!$B$15*('Chi phí'!$F$77+'Chi phí'!$G$77*B939+'Chi phí'!$H$77*A939))*(1+'Giả định'!$B$16)</f>
        <v>1108135160</v>
      </c>
      <c r="E939" s="25" t="n">
        <f aca="false">A939/'Giả định'!$B$19*'Giả định'!$B$20+A939*'Giả định'!$B$23+'Giả định'!$B$24</f>
        <v>347699159.663866</v>
      </c>
      <c r="F939" s="25" t="n">
        <f aca="false">E939-D939</f>
        <v>-760436000.336134</v>
      </c>
      <c r="G939" s="25" t="n">
        <f aca="false">E939-C939</f>
        <v>-616831000.336135</v>
      </c>
      <c r="H939" s="7" t="str">
        <f aca="false">IF(F939&gt;=0,A939,"")</f>
        <v/>
      </c>
      <c r="I939" s="7" t="n">
        <f aca="false">IF(F939&lt;0,A939,0)</f>
        <v>934</v>
      </c>
      <c r="J939" s="7" t="str">
        <f aca="false">IF(G939&gt;=0,A939,"")</f>
        <v/>
      </c>
      <c r="K939" s="7" t="n">
        <f aca="false">IF(G939&lt;0,A939,0)</f>
        <v>934</v>
      </c>
    </row>
    <row r="940" customFormat="false" ht="15" hidden="false" customHeight="false" outlineLevel="0" collapsed="false">
      <c r="A940" s="7" t="n">
        <f aca="false">A939+1</f>
        <v>935</v>
      </c>
      <c r="B940" s="7" t="n">
        <f aca="false">MAX('Giả định'!$B$9,ROUNDUP(A940/'Giả định'!$B$7,0)+'Giả định'!$B$8)</f>
        <v>95</v>
      </c>
      <c r="C940" s="25" t="n">
        <f aca="false">('Chi phí'!$C$76+'Chi phí'!$D$76*B940+'Chi phí'!$E$76*A940+'Giả định'!$B$15*('Chi phí'!$F$76+'Chi phí'!$G$76*B940+'Chi phí'!$H$76*A940))*(1+'Giả định'!$B$16)</f>
        <v>964566900</v>
      </c>
      <c r="D940" s="25" t="n">
        <f aca="false">('Chi phí'!$C$77+'Chi phí'!$D$77*B940+'Chi phí'!$E$77*A940+'Giả định'!$B$15*('Chi phí'!$F$77+'Chi phí'!$G$77*B940+'Chi phí'!$H$77*A940))*(1+'Giả định'!$B$16)</f>
        <v>1108171900</v>
      </c>
      <c r="E940" s="25" t="n">
        <f aca="false">A940/'Giả định'!$B$19*'Giả định'!$B$20+A940*'Giả định'!$B$23+'Giả định'!$B$24</f>
        <v>348071428.571429</v>
      </c>
      <c r="F940" s="25" t="n">
        <f aca="false">E940-D940</f>
        <v>-760100471.428572</v>
      </c>
      <c r="G940" s="25" t="n">
        <f aca="false">E940-C940</f>
        <v>-616495471.428572</v>
      </c>
      <c r="H940" s="7" t="str">
        <f aca="false">IF(F940&gt;=0,A940,"")</f>
        <v/>
      </c>
      <c r="I940" s="7" t="n">
        <f aca="false">IF(F940&lt;0,A940,0)</f>
        <v>935</v>
      </c>
      <c r="J940" s="7" t="str">
        <f aca="false">IF(G940&gt;=0,A940,"")</f>
        <v/>
      </c>
      <c r="K940" s="7" t="n">
        <f aca="false">IF(G940&lt;0,A940,0)</f>
        <v>935</v>
      </c>
    </row>
    <row r="941" customFormat="false" ht="15" hidden="false" customHeight="false" outlineLevel="0" collapsed="false">
      <c r="A941" s="7" t="n">
        <f aca="false">A940+1</f>
        <v>936</v>
      </c>
      <c r="B941" s="7" t="n">
        <f aca="false">MAX('Giả định'!$B$9,ROUNDUP(A941/'Giả định'!$B$7,0)+'Giả định'!$B$8)</f>
        <v>95</v>
      </c>
      <c r="C941" s="25" t="n">
        <f aca="false">('Chi phí'!$C$76+'Chi phí'!$D$76*B941+'Chi phí'!$E$76*A941+'Giả định'!$B$15*('Chi phí'!$F$76+'Chi phí'!$G$76*B941+'Chi phí'!$H$76*A941))*(1+'Giả định'!$B$16)</f>
        <v>964603640</v>
      </c>
      <c r="D941" s="25" t="n">
        <f aca="false">('Chi phí'!$C$77+'Chi phí'!$D$77*B941+'Chi phí'!$E$77*A941+'Giả định'!$B$15*('Chi phí'!$F$77+'Chi phí'!$G$77*B941+'Chi phí'!$H$77*A941))*(1+'Giả định'!$B$16)</f>
        <v>1108208640</v>
      </c>
      <c r="E941" s="25" t="n">
        <f aca="false">A941/'Giả định'!$B$19*'Giả định'!$B$20+A941*'Giả định'!$B$23+'Giả định'!$B$24</f>
        <v>348443697.478992</v>
      </c>
      <c r="F941" s="25" t="n">
        <f aca="false">E941-D941</f>
        <v>-759764942.521008</v>
      </c>
      <c r="G941" s="25" t="n">
        <f aca="false">E941-C941</f>
        <v>-616159942.521009</v>
      </c>
      <c r="H941" s="7" t="str">
        <f aca="false">IF(F941&gt;=0,A941,"")</f>
        <v/>
      </c>
      <c r="I941" s="7" t="n">
        <f aca="false">IF(F941&lt;0,A941,0)</f>
        <v>936</v>
      </c>
      <c r="J941" s="7" t="str">
        <f aca="false">IF(G941&gt;=0,A941,"")</f>
        <v/>
      </c>
      <c r="K941" s="7" t="n">
        <f aca="false">IF(G941&lt;0,A941,0)</f>
        <v>936</v>
      </c>
    </row>
    <row r="942" customFormat="false" ht="15" hidden="false" customHeight="false" outlineLevel="0" collapsed="false">
      <c r="A942" s="7" t="n">
        <f aca="false">A941+1</f>
        <v>937</v>
      </c>
      <c r="B942" s="7" t="n">
        <f aca="false">MAX('Giả định'!$B$9,ROUNDUP(A942/'Giả định'!$B$7,0)+'Giả định'!$B$8)</f>
        <v>95</v>
      </c>
      <c r="C942" s="25" t="n">
        <f aca="false">('Chi phí'!$C$76+'Chi phí'!$D$76*B942+'Chi phí'!$E$76*A942+'Giả định'!$B$15*('Chi phí'!$F$76+'Chi phí'!$G$76*B942+'Chi phí'!$H$76*A942))*(1+'Giả định'!$B$16)</f>
        <v>964640380</v>
      </c>
      <c r="D942" s="25" t="n">
        <f aca="false">('Chi phí'!$C$77+'Chi phí'!$D$77*B942+'Chi phí'!$E$77*A942+'Giả định'!$B$15*('Chi phí'!$F$77+'Chi phí'!$G$77*B942+'Chi phí'!$H$77*A942))*(1+'Giả định'!$B$16)</f>
        <v>1108245380</v>
      </c>
      <c r="E942" s="25" t="n">
        <f aca="false">A942/'Giả định'!$B$19*'Giả định'!$B$20+A942*'Giả định'!$B$23+'Giả định'!$B$24</f>
        <v>348815966.386555</v>
      </c>
      <c r="F942" s="25" t="n">
        <f aca="false">E942-D942</f>
        <v>-759429413.613445</v>
      </c>
      <c r="G942" s="25" t="n">
        <f aca="false">E942-C942</f>
        <v>-615824413.613446</v>
      </c>
      <c r="H942" s="7" t="str">
        <f aca="false">IF(F942&gt;=0,A942,"")</f>
        <v/>
      </c>
      <c r="I942" s="7" t="n">
        <f aca="false">IF(F942&lt;0,A942,0)</f>
        <v>937</v>
      </c>
      <c r="J942" s="7" t="str">
        <f aca="false">IF(G942&gt;=0,A942,"")</f>
        <v/>
      </c>
      <c r="K942" s="7" t="n">
        <f aca="false">IF(G942&lt;0,A942,0)</f>
        <v>937</v>
      </c>
    </row>
    <row r="943" customFormat="false" ht="15" hidden="false" customHeight="false" outlineLevel="0" collapsed="false">
      <c r="A943" s="7" t="n">
        <f aca="false">A942+1</f>
        <v>938</v>
      </c>
      <c r="B943" s="7" t="n">
        <f aca="false">MAX('Giả định'!$B$9,ROUNDUP(A943/'Giả định'!$B$7,0)+'Giả định'!$B$8)</f>
        <v>95</v>
      </c>
      <c r="C943" s="25" t="n">
        <f aca="false">('Chi phí'!$C$76+'Chi phí'!$D$76*B943+'Chi phí'!$E$76*A943+'Giả định'!$B$15*('Chi phí'!$F$76+'Chi phí'!$G$76*B943+'Chi phí'!$H$76*A943))*(1+'Giả định'!$B$16)</f>
        <v>964677120</v>
      </c>
      <c r="D943" s="25" t="n">
        <f aca="false">('Chi phí'!$C$77+'Chi phí'!$D$77*B943+'Chi phí'!$E$77*A943+'Giả định'!$B$15*('Chi phí'!$F$77+'Chi phí'!$G$77*B943+'Chi phí'!$H$77*A943))*(1+'Giả định'!$B$16)</f>
        <v>1108282120</v>
      </c>
      <c r="E943" s="25" t="n">
        <f aca="false">A943/'Giả định'!$B$19*'Giả định'!$B$20+A943*'Giả định'!$B$23+'Giả định'!$B$24</f>
        <v>349188235.294118</v>
      </c>
      <c r="F943" s="25" t="n">
        <f aca="false">E943-D943</f>
        <v>-759093884.705882</v>
      </c>
      <c r="G943" s="25" t="n">
        <f aca="false">E943-C943</f>
        <v>-615488884.705883</v>
      </c>
      <c r="H943" s="7" t="str">
        <f aca="false">IF(F943&gt;=0,A943,"")</f>
        <v/>
      </c>
      <c r="I943" s="7" t="n">
        <f aca="false">IF(F943&lt;0,A943,0)</f>
        <v>938</v>
      </c>
      <c r="J943" s="7" t="str">
        <f aca="false">IF(G943&gt;=0,A943,"")</f>
        <v/>
      </c>
      <c r="K943" s="7" t="n">
        <f aca="false">IF(G943&lt;0,A943,0)</f>
        <v>938</v>
      </c>
    </row>
    <row r="944" customFormat="false" ht="15" hidden="false" customHeight="false" outlineLevel="0" collapsed="false">
      <c r="A944" s="7" t="n">
        <f aca="false">A943+1</f>
        <v>939</v>
      </c>
      <c r="B944" s="7" t="n">
        <f aca="false">MAX('Giả định'!$B$9,ROUNDUP(A944/'Giả định'!$B$7,0)+'Giả định'!$B$8)</f>
        <v>95</v>
      </c>
      <c r="C944" s="25" t="n">
        <f aca="false">('Chi phí'!$C$76+'Chi phí'!$D$76*B944+'Chi phí'!$E$76*A944+'Giả định'!$B$15*('Chi phí'!$F$76+'Chi phí'!$G$76*B944+'Chi phí'!$H$76*A944))*(1+'Giả định'!$B$16)</f>
        <v>964713860</v>
      </c>
      <c r="D944" s="25" t="n">
        <f aca="false">('Chi phí'!$C$77+'Chi phí'!$D$77*B944+'Chi phí'!$E$77*A944+'Giả định'!$B$15*('Chi phí'!$F$77+'Chi phí'!$G$77*B944+'Chi phí'!$H$77*A944))*(1+'Giả định'!$B$16)</f>
        <v>1108318860</v>
      </c>
      <c r="E944" s="25" t="n">
        <f aca="false">A944/'Giả định'!$B$19*'Giả định'!$B$20+A944*'Giả định'!$B$23+'Giả định'!$B$24</f>
        <v>349560504.201681</v>
      </c>
      <c r="F944" s="25" t="n">
        <f aca="false">E944-D944</f>
        <v>-758758355.798319</v>
      </c>
      <c r="G944" s="25" t="n">
        <f aca="false">E944-C944</f>
        <v>-615153355.79832</v>
      </c>
      <c r="H944" s="7" t="str">
        <f aca="false">IF(F944&gt;=0,A944,"")</f>
        <v/>
      </c>
      <c r="I944" s="7" t="n">
        <f aca="false">IF(F944&lt;0,A944,0)</f>
        <v>939</v>
      </c>
      <c r="J944" s="7" t="str">
        <f aca="false">IF(G944&gt;=0,A944,"")</f>
        <v/>
      </c>
      <c r="K944" s="7" t="n">
        <f aca="false">IF(G944&lt;0,A944,0)</f>
        <v>939</v>
      </c>
    </row>
    <row r="945" customFormat="false" ht="15" hidden="false" customHeight="false" outlineLevel="0" collapsed="false">
      <c r="A945" s="7" t="n">
        <f aca="false">A944+1</f>
        <v>940</v>
      </c>
      <c r="B945" s="7" t="n">
        <f aca="false">MAX('Giả định'!$B$9,ROUNDUP(A945/'Giả định'!$B$7,0)+'Giả định'!$B$8)</f>
        <v>95</v>
      </c>
      <c r="C945" s="25" t="n">
        <f aca="false">('Chi phí'!$C$76+'Chi phí'!$D$76*B945+'Chi phí'!$E$76*A945+'Giả định'!$B$15*('Chi phí'!$F$76+'Chi phí'!$G$76*B945+'Chi phí'!$H$76*A945))*(1+'Giả định'!$B$16)</f>
        <v>964750600</v>
      </c>
      <c r="D945" s="25" t="n">
        <f aca="false">('Chi phí'!$C$77+'Chi phí'!$D$77*B945+'Chi phí'!$E$77*A945+'Giả định'!$B$15*('Chi phí'!$F$77+'Chi phí'!$G$77*B945+'Chi phí'!$H$77*A945))*(1+'Giả định'!$B$16)</f>
        <v>1108355600</v>
      </c>
      <c r="E945" s="25" t="n">
        <f aca="false">A945/'Giả định'!$B$19*'Giả định'!$B$20+A945*'Giả định'!$B$23+'Giả định'!$B$24</f>
        <v>349932773.109244</v>
      </c>
      <c r="F945" s="25" t="n">
        <f aca="false">E945-D945</f>
        <v>-758422826.890756</v>
      </c>
      <c r="G945" s="25" t="n">
        <f aca="false">E945-C945</f>
        <v>-614817826.890756</v>
      </c>
      <c r="H945" s="7" t="str">
        <f aca="false">IF(F945&gt;=0,A945,"")</f>
        <v/>
      </c>
      <c r="I945" s="7" t="n">
        <f aca="false">IF(F945&lt;0,A945,0)</f>
        <v>940</v>
      </c>
      <c r="J945" s="7" t="str">
        <f aca="false">IF(G945&gt;=0,A945,"")</f>
        <v/>
      </c>
      <c r="K945" s="7" t="n">
        <f aca="false">IF(G945&lt;0,A945,0)</f>
        <v>940</v>
      </c>
    </row>
    <row r="946" customFormat="false" ht="15" hidden="false" customHeight="false" outlineLevel="0" collapsed="false">
      <c r="A946" s="7" t="n">
        <f aca="false">A945+1</f>
        <v>941</v>
      </c>
      <c r="B946" s="7" t="n">
        <f aca="false">MAX('Giả định'!$B$9,ROUNDUP(A946/'Giả định'!$B$7,0)+'Giả định'!$B$8)</f>
        <v>96</v>
      </c>
      <c r="C946" s="25" t="n">
        <f aca="false">('Chi phí'!$C$76+'Chi phí'!$D$76*B946+'Chi phí'!$E$76*A946+'Giả định'!$B$15*('Chi phí'!$F$76+'Chi phí'!$G$76*B946+'Chi phí'!$H$76*A946))*(1+'Giả định'!$B$16)</f>
        <v>973961340</v>
      </c>
      <c r="D946" s="25" t="n">
        <f aca="false">('Chi phí'!$C$77+'Chi phí'!$D$77*B946+'Chi phí'!$E$77*A946+'Giả định'!$B$15*('Chi phí'!$F$77+'Chi phí'!$G$77*B946+'Chi phí'!$H$77*A946))*(1+'Giả định'!$B$16)</f>
        <v>1117566340</v>
      </c>
      <c r="E946" s="25" t="n">
        <f aca="false">A946/'Giả định'!$B$19*'Giả định'!$B$20+A946*'Giả định'!$B$23+'Giả định'!$B$24</f>
        <v>350305042.016807</v>
      </c>
      <c r="F946" s="25" t="n">
        <f aca="false">E946-D946</f>
        <v>-767261297.983193</v>
      </c>
      <c r="G946" s="25" t="n">
        <f aca="false">E946-C946</f>
        <v>-623656297.983193</v>
      </c>
      <c r="H946" s="7" t="str">
        <f aca="false">IF(F946&gt;=0,A946,"")</f>
        <v/>
      </c>
      <c r="I946" s="7" t="n">
        <f aca="false">IF(F946&lt;0,A946,0)</f>
        <v>941</v>
      </c>
      <c r="J946" s="7" t="str">
        <f aca="false">IF(G946&gt;=0,A946,"")</f>
        <v/>
      </c>
      <c r="K946" s="7" t="n">
        <f aca="false">IF(G946&lt;0,A946,0)</f>
        <v>941</v>
      </c>
    </row>
    <row r="947" customFormat="false" ht="15" hidden="false" customHeight="false" outlineLevel="0" collapsed="false">
      <c r="A947" s="7" t="n">
        <f aca="false">A946+1</f>
        <v>942</v>
      </c>
      <c r="B947" s="7" t="n">
        <f aca="false">MAX('Giả định'!$B$9,ROUNDUP(A947/'Giả định'!$B$7,0)+'Giả định'!$B$8)</f>
        <v>96</v>
      </c>
      <c r="C947" s="25" t="n">
        <f aca="false">('Chi phí'!$C$76+'Chi phí'!$D$76*B947+'Chi phí'!$E$76*A947+'Giả định'!$B$15*('Chi phí'!$F$76+'Chi phí'!$G$76*B947+'Chi phí'!$H$76*A947))*(1+'Giả định'!$B$16)</f>
        <v>973998080</v>
      </c>
      <c r="D947" s="25" t="n">
        <f aca="false">('Chi phí'!$C$77+'Chi phí'!$D$77*B947+'Chi phí'!$E$77*A947+'Giả định'!$B$15*('Chi phí'!$F$77+'Chi phí'!$G$77*B947+'Chi phí'!$H$77*A947))*(1+'Giả định'!$B$16)</f>
        <v>1117603080</v>
      </c>
      <c r="E947" s="25" t="n">
        <f aca="false">A947/'Giả định'!$B$19*'Giả định'!$B$20+A947*'Giả định'!$B$23+'Giả định'!$B$24</f>
        <v>350677310.92437</v>
      </c>
      <c r="F947" s="25" t="n">
        <f aca="false">E947-D947</f>
        <v>-766925769.07563</v>
      </c>
      <c r="G947" s="25" t="n">
        <f aca="false">E947-C947</f>
        <v>-623320769.07563</v>
      </c>
      <c r="H947" s="7" t="str">
        <f aca="false">IF(F947&gt;=0,A947,"")</f>
        <v/>
      </c>
      <c r="I947" s="7" t="n">
        <f aca="false">IF(F947&lt;0,A947,0)</f>
        <v>942</v>
      </c>
      <c r="J947" s="7" t="str">
        <f aca="false">IF(G947&gt;=0,A947,"")</f>
        <v/>
      </c>
      <c r="K947" s="7" t="n">
        <f aca="false">IF(G947&lt;0,A947,0)</f>
        <v>942</v>
      </c>
    </row>
    <row r="948" customFormat="false" ht="15" hidden="false" customHeight="false" outlineLevel="0" collapsed="false">
      <c r="A948" s="7" t="n">
        <f aca="false">A947+1</f>
        <v>943</v>
      </c>
      <c r="B948" s="7" t="n">
        <f aca="false">MAX('Giả định'!$B$9,ROUNDUP(A948/'Giả định'!$B$7,0)+'Giả định'!$B$8)</f>
        <v>96</v>
      </c>
      <c r="C948" s="25" t="n">
        <f aca="false">('Chi phí'!$C$76+'Chi phí'!$D$76*B948+'Chi phí'!$E$76*A948+'Giả định'!$B$15*('Chi phí'!$F$76+'Chi phí'!$G$76*B948+'Chi phí'!$H$76*A948))*(1+'Giả định'!$B$16)</f>
        <v>974034820</v>
      </c>
      <c r="D948" s="25" t="n">
        <f aca="false">('Chi phí'!$C$77+'Chi phí'!$D$77*B948+'Chi phí'!$E$77*A948+'Giả định'!$B$15*('Chi phí'!$F$77+'Chi phí'!$G$77*B948+'Chi phí'!$H$77*A948))*(1+'Giả định'!$B$16)</f>
        <v>1117639820</v>
      </c>
      <c r="E948" s="25" t="n">
        <f aca="false">A948/'Giả định'!$B$19*'Giả định'!$B$20+A948*'Giả định'!$B$23+'Giả định'!$B$24</f>
        <v>351049579.831933</v>
      </c>
      <c r="F948" s="25" t="n">
        <f aca="false">E948-D948</f>
        <v>-766590240.168067</v>
      </c>
      <c r="G948" s="25" t="n">
        <f aca="false">E948-C948</f>
        <v>-622985240.168067</v>
      </c>
      <c r="H948" s="7" t="str">
        <f aca="false">IF(F948&gt;=0,A948,"")</f>
        <v/>
      </c>
      <c r="I948" s="7" t="n">
        <f aca="false">IF(F948&lt;0,A948,0)</f>
        <v>943</v>
      </c>
      <c r="J948" s="7" t="str">
        <f aca="false">IF(G948&gt;=0,A948,"")</f>
        <v/>
      </c>
      <c r="K948" s="7" t="n">
        <f aca="false">IF(G948&lt;0,A948,0)</f>
        <v>943</v>
      </c>
    </row>
    <row r="949" customFormat="false" ht="15" hidden="false" customHeight="false" outlineLevel="0" collapsed="false">
      <c r="A949" s="7" t="n">
        <f aca="false">A948+1</f>
        <v>944</v>
      </c>
      <c r="B949" s="7" t="n">
        <f aca="false">MAX('Giả định'!$B$9,ROUNDUP(A949/'Giả định'!$B$7,0)+'Giả định'!$B$8)</f>
        <v>96</v>
      </c>
      <c r="C949" s="25" t="n">
        <f aca="false">('Chi phí'!$C$76+'Chi phí'!$D$76*B949+'Chi phí'!$E$76*A949+'Giả định'!$B$15*('Chi phí'!$F$76+'Chi phí'!$G$76*B949+'Chi phí'!$H$76*A949))*(1+'Giả định'!$B$16)</f>
        <v>974071560</v>
      </c>
      <c r="D949" s="25" t="n">
        <f aca="false">('Chi phí'!$C$77+'Chi phí'!$D$77*B949+'Chi phí'!$E$77*A949+'Giả định'!$B$15*('Chi phí'!$F$77+'Chi phí'!$G$77*B949+'Chi phí'!$H$77*A949))*(1+'Giả định'!$B$16)</f>
        <v>1117676560</v>
      </c>
      <c r="E949" s="25" t="n">
        <f aca="false">A949/'Giả định'!$B$19*'Giả định'!$B$20+A949*'Giả định'!$B$23+'Giả định'!$B$24</f>
        <v>351421848.739496</v>
      </c>
      <c r="F949" s="25" t="n">
        <f aca="false">E949-D949</f>
        <v>-766254711.260504</v>
      </c>
      <c r="G949" s="25" t="n">
        <f aca="false">E949-C949</f>
        <v>-622649711.260504</v>
      </c>
      <c r="H949" s="7" t="str">
        <f aca="false">IF(F949&gt;=0,A949,"")</f>
        <v/>
      </c>
      <c r="I949" s="7" t="n">
        <f aca="false">IF(F949&lt;0,A949,0)</f>
        <v>944</v>
      </c>
      <c r="J949" s="7" t="str">
        <f aca="false">IF(G949&gt;=0,A949,"")</f>
        <v/>
      </c>
      <c r="K949" s="7" t="n">
        <f aca="false">IF(G949&lt;0,A949,0)</f>
        <v>944</v>
      </c>
    </row>
    <row r="950" customFormat="false" ht="15" hidden="false" customHeight="false" outlineLevel="0" collapsed="false">
      <c r="A950" s="7" t="n">
        <f aca="false">A949+1</f>
        <v>945</v>
      </c>
      <c r="B950" s="7" t="n">
        <f aca="false">MAX('Giả định'!$B$9,ROUNDUP(A950/'Giả định'!$B$7,0)+'Giả định'!$B$8)</f>
        <v>96</v>
      </c>
      <c r="C950" s="25" t="n">
        <f aca="false">('Chi phí'!$C$76+'Chi phí'!$D$76*B950+'Chi phí'!$E$76*A950+'Giả định'!$B$15*('Chi phí'!$F$76+'Chi phí'!$G$76*B950+'Chi phí'!$H$76*A950))*(1+'Giả định'!$B$16)</f>
        <v>974108300</v>
      </c>
      <c r="D950" s="25" t="n">
        <f aca="false">('Chi phí'!$C$77+'Chi phí'!$D$77*B950+'Chi phí'!$E$77*A950+'Giả định'!$B$15*('Chi phí'!$F$77+'Chi phí'!$G$77*B950+'Chi phí'!$H$77*A950))*(1+'Giả định'!$B$16)</f>
        <v>1117713300</v>
      </c>
      <c r="E950" s="25" t="n">
        <f aca="false">A950/'Giả định'!$B$19*'Giả định'!$B$20+A950*'Giả định'!$B$23+'Giả định'!$B$24</f>
        <v>351794117.647059</v>
      </c>
      <c r="F950" s="25" t="n">
        <f aca="false">E950-D950</f>
        <v>-765919182.352941</v>
      </c>
      <c r="G950" s="25" t="n">
        <f aca="false">E950-C950</f>
        <v>-622314182.352941</v>
      </c>
      <c r="H950" s="7" t="str">
        <f aca="false">IF(F950&gt;=0,A950,"")</f>
        <v/>
      </c>
      <c r="I950" s="7" t="n">
        <f aca="false">IF(F950&lt;0,A950,0)</f>
        <v>945</v>
      </c>
      <c r="J950" s="7" t="str">
        <f aca="false">IF(G950&gt;=0,A950,"")</f>
        <v/>
      </c>
      <c r="K950" s="7" t="n">
        <f aca="false">IF(G950&lt;0,A950,0)</f>
        <v>945</v>
      </c>
    </row>
    <row r="951" customFormat="false" ht="15" hidden="false" customHeight="false" outlineLevel="0" collapsed="false">
      <c r="A951" s="7" t="n">
        <f aca="false">A950+1</f>
        <v>946</v>
      </c>
      <c r="B951" s="7" t="n">
        <f aca="false">MAX('Giả định'!$B$9,ROUNDUP(A951/'Giả định'!$B$7,0)+'Giả định'!$B$8)</f>
        <v>96</v>
      </c>
      <c r="C951" s="25" t="n">
        <f aca="false">('Chi phí'!$C$76+'Chi phí'!$D$76*B951+'Chi phí'!$E$76*A951+'Giả định'!$B$15*('Chi phí'!$F$76+'Chi phí'!$G$76*B951+'Chi phí'!$H$76*A951))*(1+'Giả định'!$B$16)</f>
        <v>974145040</v>
      </c>
      <c r="D951" s="25" t="n">
        <f aca="false">('Chi phí'!$C$77+'Chi phí'!$D$77*B951+'Chi phí'!$E$77*A951+'Giả định'!$B$15*('Chi phí'!$F$77+'Chi phí'!$G$77*B951+'Chi phí'!$H$77*A951))*(1+'Giả định'!$B$16)</f>
        <v>1117750040</v>
      </c>
      <c r="E951" s="25" t="n">
        <f aca="false">A951/'Giả định'!$B$19*'Giả định'!$B$20+A951*'Giả định'!$B$23+'Giả định'!$B$24</f>
        <v>352166386.554622</v>
      </c>
      <c r="F951" s="25" t="n">
        <f aca="false">E951-D951</f>
        <v>-765583653.445378</v>
      </c>
      <c r="G951" s="25" t="n">
        <f aca="false">E951-C951</f>
        <v>-621978653.445378</v>
      </c>
      <c r="H951" s="7" t="str">
        <f aca="false">IF(F951&gt;=0,A951,"")</f>
        <v/>
      </c>
      <c r="I951" s="7" t="n">
        <f aca="false">IF(F951&lt;0,A951,0)</f>
        <v>946</v>
      </c>
      <c r="J951" s="7" t="str">
        <f aca="false">IF(G951&gt;=0,A951,"")</f>
        <v/>
      </c>
      <c r="K951" s="7" t="n">
        <f aca="false">IF(G951&lt;0,A951,0)</f>
        <v>946</v>
      </c>
    </row>
    <row r="952" customFormat="false" ht="15" hidden="false" customHeight="false" outlineLevel="0" collapsed="false">
      <c r="A952" s="7" t="n">
        <f aca="false">A951+1</f>
        <v>947</v>
      </c>
      <c r="B952" s="7" t="n">
        <f aca="false">MAX('Giả định'!$B$9,ROUNDUP(A952/'Giả định'!$B$7,0)+'Giả định'!$B$8)</f>
        <v>96</v>
      </c>
      <c r="C952" s="25" t="n">
        <f aca="false">('Chi phí'!$C$76+'Chi phí'!$D$76*B952+'Chi phí'!$E$76*A952+'Giả định'!$B$15*('Chi phí'!$F$76+'Chi phí'!$G$76*B952+'Chi phí'!$H$76*A952))*(1+'Giả định'!$B$16)</f>
        <v>974181780</v>
      </c>
      <c r="D952" s="25" t="n">
        <f aca="false">('Chi phí'!$C$77+'Chi phí'!$D$77*B952+'Chi phí'!$E$77*A952+'Giả định'!$B$15*('Chi phí'!$F$77+'Chi phí'!$G$77*B952+'Chi phí'!$H$77*A952))*(1+'Giả định'!$B$16)</f>
        <v>1117786780</v>
      </c>
      <c r="E952" s="25" t="n">
        <f aca="false">A952/'Giả định'!$B$19*'Giả định'!$B$20+A952*'Giả định'!$B$23+'Giả định'!$B$24</f>
        <v>352538655.462185</v>
      </c>
      <c r="F952" s="25" t="n">
        <f aca="false">E952-D952</f>
        <v>-765248124.537815</v>
      </c>
      <c r="G952" s="25" t="n">
        <f aca="false">E952-C952</f>
        <v>-621643124.537815</v>
      </c>
      <c r="H952" s="7" t="str">
        <f aca="false">IF(F952&gt;=0,A952,"")</f>
        <v/>
      </c>
      <c r="I952" s="7" t="n">
        <f aca="false">IF(F952&lt;0,A952,0)</f>
        <v>947</v>
      </c>
      <c r="J952" s="7" t="str">
        <f aca="false">IF(G952&gt;=0,A952,"")</f>
        <v/>
      </c>
      <c r="K952" s="7" t="n">
        <f aca="false">IF(G952&lt;0,A952,0)</f>
        <v>947</v>
      </c>
    </row>
    <row r="953" customFormat="false" ht="15" hidden="false" customHeight="false" outlineLevel="0" collapsed="false">
      <c r="A953" s="7" t="n">
        <f aca="false">A952+1</f>
        <v>948</v>
      </c>
      <c r="B953" s="7" t="n">
        <f aca="false">MAX('Giả định'!$B$9,ROUNDUP(A953/'Giả định'!$B$7,0)+'Giả định'!$B$8)</f>
        <v>96</v>
      </c>
      <c r="C953" s="25" t="n">
        <f aca="false">('Chi phí'!$C$76+'Chi phí'!$D$76*B953+'Chi phí'!$E$76*A953+'Giả định'!$B$15*('Chi phí'!$F$76+'Chi phí'!$G$76*B953+'Chi phí'!$H$76*A953))*(1+'Giả định'!$B$16)</f>
        <v>974218520</v>
      </c>
      <c r="D953" s="25" t="n">
        <f aca="false">('Chi phí'!$C$77+'Chi phí'!$D$77*B953+'Chi phí'!$E$77*A953+'Giả định'!$B$15*('Chi phí'!$F$77+'Chi phí'!$G$77*B953+'Chi phí'!$H$77*A953))*(1+'Giả định'!$B$16)</f>
        <v>1117823520</v>
      </c>
      <c r="E953" s="25" t="n">
        <f aca="false">A953/'Giả định'!$B$19*'Giả định'!$B$20+A953*'Giả định'!$B$23+'Giả định'!$B$24</f>
        <v>352910924.369748</v>
      </c>
      <c r="F953" s="25" t="n">
        <f aca="false">E953-D953</f>
        <v>-764912595.630252</v>
      </c>
      <c r="G953" s="25" t="n">
        <f aca="false">E953-C953</f>
        <v>-621307595.630252</v>
      </c>
      <c r="H953" s="7" t="str">
        <f aca="false">IF(F953&gt;=0,A953,"")</f>
        <v/>
      </c>
      <c r="I953" s="7" t="n">
        <f aca="false">IF(F953&lt;0,A953,0)</f>
        <v>948</v>
      </c>
      <c r="J953" s="7" t="str">
        <f aca="false">IF(G953&gt;=0,A953,"")</f>
        <v/>
      </c>
      <c r="K953" s="7" t="n">
        <f aca="false">IF(G953&lt;0,A953,0)</f>
        <v>948</v>
      </c>
    </row>
    <row r="954" customFormat="false" ht="15" hidden="false" customHeight="false" outlineLevel="0" collapsed="false">
      <c r="A954" s="7" t="n">
        <f aca="false">A953+1</f>
        <v>949</v>
      </c>
      <c r="B954" s="7" t="n">
        <f aca="false">MAX('Giả định'!$B$9,ROUNDUP(A954/'Giả định'!$B$7,0)+'Giả định'!$B$8)</f>
        <v>96</v>
      </c>
      <c r="C954" s="25" t="n">
        <f aca="false">('Chi phí'!$C$76+'Chi phí'!$D$76*B954+'Chi phí'!$E$76*A954+'Giả định'!$B$15*('Chi phí'!$F$76+'Chi phí'!$G$76*B954+'Chi phí'!$H$76*A954))*(1+'Giả định'!$B$16)</f>
        <v>974255260</v>
      </c>
      <c r="D954" s="25" t="n">
        <f aca="false">('Chi phí'!$C$77+'Chi phí'!$D$77*B954+'Chi phí'!$E$77*A954+'Giả định'!$B$15*('Chi phí'!$F$77+'Chi phí'!$G$77*B954+'Chi phí'!$H$77*A954))*(1+'Giả định'!$B$16)</f>
        <v>1117860260</v>
      </c>
      <c r="E954" s="25" t="n">
        <f aca="false">A954/'Giả định'!$B$19*'Giả định'!$B$20+A954*'Giả định'!$B$23+'Giả định'!$B$24</f>
        <v>353283193.277311</v>
      </c>
      <c r="F954" s="25" t="n">
        <f aca="false">E954-D954</f>
        <v>-764577066.722689</v>
      </c>
      <c r="G954" s="25" t="n">
        <f aca="false">E954-C954</f>
        <v>-620972066.722689</v>
      </c>
      <c r="H954" s="7" t="str">
        <f aca="false">IF(F954&gt;=0,A954,"")</f>
        <v/>
      </c>
      <c r="I954" s="7" t="n">
        <f aca="false">IF(F954&lt;0,A954,0)</f>
        <v>949</v>
      </c>
      <c r="J954" s="7" t="str">
        <f aca="false">IF(G954&gt;=0,A954,"")</f>
        <v/>
      </c>
      <c r="K954" s="7" t="n">
        <f aca="false">IF(G954&lt;0,A954,0)</f>
        <v>949</v>
      </c>
    </row>
    <row r="955" customFormat="false" ht="15" hidden="false" customHeight="false" outlineLevel="0" collapsed="false">
      <c r="A955" s="7" t="n">
        <f aca="false">A954+1</f>
        <v>950</v>
      </c>
      <c r="B955" s="7" t="n">
        <f aca="false">MAX('Giả định'!$B$9,ROUNDUP(A955/'Giả định'!$B$7,0)+'Giả định'!$B$8)</f>
        <v>96</v>
      </c>
      <c r="C955" s="25" t="n">
        <f aca="false">('Chi phí'!$C$76+'Chi phí'!$D$76*B955+'Chi phí'!$E$76*A955+'Giả định'!$B$15*('Chi phí'!$F$76+'Chi phí'!$G$76*B955+'Chi phí'!$H$76*A955))*(1+'Giả định'!$B$16)</f>
        <v>974292000</v>
      </c>
      <c r="D955" s="25" t="n">
        <f aca="false">('Chi phí'!$C$77+'Chi phí'!$D$77*B955+'Chi phí'!$E$77*A955+'Giả định'!$B$15*('Chi phí'!$F$77+'Chi phí'!$G$77*B955+'Chi phí'!$H$77*A955))*(1+'Giả định'!$B$16)</f>
        <v>1117897000</v>
      </c>
      <c r="E955" s="25" t="n">
        <f aca="false">A955/'Giả định'!$B$19*'Giả định'!$B$20+A955*'Giả định'!$B$23+'Giả định'!$B$24</f>
        <v>353655462.184874</v>
      </c>
      <c r="F955" s="25" t="n">
        <f aca="false">E955-D955</f>
        <v>-764241537.815126</v>
      </c>
      <c r="G955" s="25" t="n">
        <f aca="false">E955-C955</f>
        <v>-620636537.815126</v>
      </c>
      <c r="H955" s="7" t="str">
        <f aca="false">IF(F955&gt;=0,A955,"")</f>
        <v/>
      </c>
      <c r="I955" s="7" t="n">
        <f aca="false">IF(F955&lt;0,A955,0)</f>
        <v>950</v>
      </c>
      <c r="J955" s="7" t="str">
        <f aca="false">IF(G955&gt;=0,A955,"")</f>
        <v/>
      </c>
      <c r="K955" s="7" t="n">
        <f aca="false">IF(G955&lt;0,A955,0)</f>
        <v>950</v>
      </c>
    </row>
    <row r="956" customFormat="false" ht="15" hidden="false" customHeight="false" outlineLevel="0" collapsed="false">
      <c r="A956" s="7" t="n">
        <f aca="false">A955+1</f>
        <v>951</v>
      </c>
      <c r="B956" s="7" t="n">
        <f aca="false">MAX('Giả định'!$B$9,ROUNDUP(A956/'Giả định'!$B$7,0)+'Giả định'!$B$8)</f>
        <v>97</v>
      </c>
      <c r="C956" s="25" t="n">
        <f aca="false">('Chi phí'!$C$76+'Chi phí'!$D$76*B956+'Chi phí'!$E$76*A956+'Giả định'!$B$15*('Chi phí'!$F$76+'Chi phí'!$G$76*B956+'Chi phí'!$H$76*A956))*(1+'Giả định'!$B$16)</f>
        <v>983502740</v>
      </c>
      <c r="D956" s="25" t="n">
        <f aca="false">('Chi phí'!$C$77+'Chi phí'!$D$77*B956+'Chi phí'!$E$77*A956+'Giả định'!$B$15*('Chi phí'!$F$77+'Chi phí'!$G$77*B956+'Chi phí'!$H$77*A956))*(1+'Giả định'!$B$16)</f>
        <v>1127107740</v>
      </c>
      <c r="E956" s="25" t="n">
        <f aca="false">A956/'Giả định'!$B$19*'Giả định'!$B$20+A956*'Giả định'!$B$23+'Giả định'!$B$24</f>
        <v>354027731.092437</v>
      </c>
      <c r="F956" s="25" t="n">
        <f aca="false">E956-D956</f>
        <v>-773080008.907563</v>
      </c>
      <c r="G956" s="25" t="n">
        <f aca="false">E956-C956</f>
        <v>-629475008.907563</v>
      </c>
      <c r="H956" s="7" t="str">
        <f aca="false">IF(F956&gt;=0,A956,"")</f>
        <v/>
      </c>
      <c r="I956" s="7" t="n">
        <f aca="false">IF(F956&lt;0,A956,0)</f>
        <v>951</v>
      </c>
      <c r="J956" s="7" t="str">
        <f aca="false">IF(G956&gt;=0,A956,"")</f>
        <v/>
      </c>
      <c r="K956" s="7" t="n">
        <f aca="false">IF(G956&lt;0,A956,0)</f>
        <v>951</v>
      </c>
    </row>
    <row r="957" customFormat="false" ht="15" hidden="false" customHeight="false" outlineLevel="0" collapsed="false">
      <c r="A957" s="7" t="n">
        <f aca="false">A956+1</f>
        <v>952</v>
      </c>
      <c r="B957" s="7" t="n">
        <f aca="false">MAX('Giả định'!$B$9,ROUNDUP(A957/'Giả định'!$B$7,0)+'Giả định'!$B$8)</f>
        <v>97</v>
      </c>
      <c r="C957" s="25" t="n">
        <f aca="false">('Chi phí'!$C$76+'Chi phí'!$D$76*B957+'Chi phí'!$E$76*A957+'Giả định'!$B$15*('Chi phí'!$F$76+'Chi phí'!$G$76*B957+'Chi phí'!$H$76*A957))*(1+'Giả định'!$B$16)</f>
        <v>983539480</v>
      </c>
      <c r="D957" s="25" t="n">
        <f aca="false">('Chi phí'!$C$77+'Chi phí'!$D$77*B957+'Chi phí'!$E$77*A957+'Giả định'!$B$15*('Chi phí'!$F$77+'Chi phí'!$G$77*B957+'Chi phí'!$H$77*A957))*(1+'Giả định'!$B$16)</f>
        <v>1127144480</v>
      </c>
      <c r="E957" s="25" t="n">
        <f aca="false">A957/'Giả định'!$B$19*'Giả định'!$B$20+A957*'Giả định'!$B$23+'Giả định'!$B$24</f>
        <v>354400000</v>
      </c>
      <c r="F957" s="25" t="n">
        <f aca="false">E957-D957</f>
        <v>-772744480</v>
      </c>
      <c r="G957" s="25" t="n">
        <f aca="false">E957-C957</f>
        <v>-629139480</v>
      </c>
      <c r="H957" s="7" t="str">
        <f aca="false">IF(F957&gt;=0,A957,"")</f>
        <v/>
      </c>
      <c r="I957" s="7" t="n">
        <f aca="false">IF(F957&lt;0,A957,0)</f>
        <v>952</v>
      </c>
      <c r="J957" s="7" t="str">
        <f aca="false">IF(G957&gt;=0,A957,"")</f>
        <v/>
      </c>
      <c r="K957" s="7" t="n">
        <f aca="false">IF(G957&lt;0,A957,0)</f>
        <v>952</v>
      </c>
    </row>
    <row r="958" customFormat="false" ht="15" hidden="false" customHeight="false" outlineLevel="0" collapsed="false">
      <c r="A958" s="7" t="n">
        <f aca="false">A957+1</f>
        <v>953</v>
      </c>
      <c r="B958" s="7" t="n">
        <f aca="false">MAX('Giả định'!$B$9,ROUNDUP(A958/'Giả định'!$B$7,0)+'Giả định'!$B$8)</f>
        <v>97</v>
      </c>
      <c r="C958" s="25" t="n">
        <f aca="false">('Chi phí'!$C$76+'Chi phí'!$D$76*B958+'Chi phí'!$E$76*A958+'Giả định'!$B$15*('Chi phí'!$F$76+'Chi phí'!$G$76*B958+'Chi phí'!$H$76*A958))*(1+'Giả định'!$B$16)</f>
        <v>983576220</v>
      </c>
      <c r="D958" s="25" t="n">
        <f aca="false">('Chi phí'!$C$77+'Chi phí'!$D$77*B958+'Chi phí'!$E$77*A958+'Giả định'!$B$15*('Chi phí'!$F$77+'Chi phí'!$G$77*B958+'Chi phí'!$H$77*A958))*(1+'Giả định'!$B$16)</f>
        <v>1127181220</v>
      </c>
      <c r="E958" s="25" t="n">
        <f aca="false">A958/'Giả định'!$B$19*'Giả định'!$B$20+A958*'Giả định'!$B$23+'Giả định'!$B$24</f>
        <v>354772268.907563</v>
      </c>
      <c r="F958" s="25" t="n">
        <f aca="false">E958-D958</f>
        <v>-772408951.092437</v>
      </c>
      <c r="G958" s="25" t="n">
        <f aca="false">E958-C958</f>
        <v>-628803951.092437</v>
      </c>
      <c r="H958" s="7" t="str">
        <f aca="false">IF(F958&gt;=0,A958,"")</f>
        <v/>
      </c>
      <c r="I958" s="7" t="n">
        <f aca="false">IF(F958&lt;0,A958,0)</f>
        <v>953</v>
      </c>
      <c r="J958" s="7" t="str">
        <f aca="false">IF(G958&gt;=0,A958,"")</f>
        <v/>
      </c>
      <c r="K958" s="7" t="n">
        <f aca="false">IF(G958&lt;0,A958,0)</f>
        <v>953</v>
      </c>
    </row>
    <row r="959" customFormat="false" ht="15" hidden="false" customHeight="false" outlineLevel="0" collapsed="false">
      <c r="A959" s="7" t="n">
        <f aca="false">A958+1</f>
        <v>954</v>
      </c>
      <c r="B959" s="7" t="n">
        <f aca="false">MAX('Giả định'!$B$9,ROUNDUP(A959/'Giả định'!$B$7,0)+'Giả định'!$B$8)</f>
        <v>97</v>
      </c>
      <c r="C959" s="25" t="n">
        <f aca="false">('Chi phí'!$C$76+'Chi phí'!$D$76*B959+'Chi phí'!$E$76*A959+'Giả định'!$B$15*('Chi phí'!$F$76+'Chi phí'!$G$76*B959+'Chi phí'!$H$76*A959))*(1+'Giả định'!$B$16)</f>
        <v>983612960</v>
      </c>
      <c r="D959" s="25" t="n">
        <f aca="false">('Chi phí'!$C$77+'Chi phí'!$D$77*B959+'Chi phí'!$E$77*A959+'Giả định'!$B$15*('Chi phí'!$F$77+'Chi phí'!$G$77*B959+'Chi phí'!$H$77*A959))*(1+'Giả định'!$B$16)</f>
        <v>1127217960</v>
      </c>
      <c r="E959" s="25" t="n">
        <f aca="false">A959/'Giả định'!$B$19*'Giả định'!$B$20+A959*'Giả định'!$B$23+'Giả định'!$B$24</f>
        <v>355144537.815126</v>
      </c>
      <c r="F959" s="25" t="n">
        <f aca="false">E959-D959</f>
        <v>-772073422.184874</v>
      </c>
      <c r="G959" s="25" t="n">
        <f aca="false">E959-C959</f>
        <v>-628468422.184874</v>
      </c>
      <c r="H959" s="7" t="str">
        <f aca="false">IF(F959&gt;=0,A959,"")</f>
        <v/>
      </c>
      <c r="I959" s="7" t="n">
        <f aca="false">IF(F959&lt;0,A959,0)</f>
        <v>954</v>
      </c>
      <c r="J959" s="7" t="str">
        <f aca="false">IF(G959&gt;=0,A959,"")</f>
        <v/>
      </c>
      <c r="K959" s="7" t="n">
        <f aca="false">IF(G959&lt;0,A959,0)</f>
        <v>954</v>
      </c>
    </row>
    <row r="960" customFormat="false" ht="15" hidden="false" customHeight="false" outlineLevel="0" collapsed="false">
      <c r="A960" s="7" t="n">
        <f aca="false">A959+1</f>
        <v>955</v>
      </c>
      <c r="B960" s="7" t="n">
        <f aca="false">MAX('Giả định'!$B$9,ROUNDUP(A960/'Giả định'!$B$7,0)+'Giả định'!$B$8)</f>
        <v>97</v>
      </c>
      <c r="C960" s="25" t="n">
        <f aca="false">('Chi phí'!$C$76+'Chi phí'!$D$76*B960+'Chi phí'!$E$76*A960+'Giả định'!$B$15*('Chi phí'!$F$76+'Chi phí'!$G$76*B960+'Chi phí'!$H$76*A960))*(1+'Giả định'!$B$16)</f>
        <v>983649700</v>
      </c>
      <c r="D960" s="25" t="n">
        <f aca="false">('Chi phí'!$C$77+'Chi phí'!$D$77*B960+'Chi phí'!$E$77*A960+'Giả định'!$B$15*('Chi phí'!$F$77+'Chi phí'!$G$77*B960+'Chi phí'!$H$77*A960))*(1+'Giả định'!$B$16)</f>
        <v>1127254700</v>
      </c>
      <c r="E960" s="25" t="n">
        <f aca="false">A960/'Giả định'!$B$19*'Giả định'!$B$20+A960*'Giả định'!$B$23+'Giả định'!$B$24</f>
        <v>355516806.722689</v>
      </c>
      <c r="F960" s="25" t="n">
        <f aca="false">E960-D960</f>
        <v>-771737893.277311</v>
      </c>
      <c r="G960" s="25" t="n">
        <f aca="false">E960-C960</f>
        <v>-628132893.277311</v>
      </c>
      <c r="H960" s="7" t="str">
        <f aca="false">IF(F960&gt;=0,A960,"")</f>
        <v/>
      </c>
      <c r="I960" s="7" t="n">
        <f aca="false">IF(F960&lt;0,A960,0)</f>
        <v>955</v>
      </c>
      <c r="J960" s="7" t="str">
        <f aca="false">IF(G960&gt;=0,A960,"")</f>
        <v/>
      </c>
      <c r="K960" s="7" t="n">
        <f aca="false">IF(G960&lt;0,A960,0)</f>
        <v>955</v>
      </c>
    </row>
    <row r="961" customFormat="false" ht="15" hidden="false" customHeight="false" outlineLevel="0" collapsed="false">
      <c r="A961" s="7" t="n">
        <f aca="false">A960+1</f>
        <v>956</v>
      </c>
      <c r="B961" s="7" t="n">
        <f aca="false">MAX('Giả định'!$B$9,ROUNDUP(A961/'Giả định'!$B$7,0)+'Giả định'!$B$8)</f>
        <v>97</v>
      </c>
      <c r="C961" s="25" t="n">
        <f aca="false">('Chi phí'!$C$76+'Chi phí'!$D$76*B961+'Chi phí'!$E$76*A961+'Giả định'!$B$15*('Chi phí'!$F$76+'Chi phí'!$G$76*B961+'Chi phí'!$H$76*A961))*(1+'Giả định'!$B$16)</f>
        <v>983686440</v>
      </c>
      <c r="D961" s="25" t="n">
        <f aca="false">('Chi phí'!$C$77+'Chi phí'!$D$77*B961+'Chi phí'!$E$77*A961+'Giả định'!$B$15*('Chi phí'!$F$77+'Chi phí'!$G$77*B961+'Chi phí'!$H$77*A961))*(1+'Giả định'!$B$16)</f>
        <v>1127291440</v>
      </c>
      <c r="E961" s="25" t="n">
        <f aca="false">A961/'Giả định'!$B$19*'Giả định'!$B$20+A961*'Giả định'!$B$23+'Giả định'!$B$24</f>
        <v>355889075.630252</v>
      </c>
      <c r="F961" s="25" t="n">
        <f aca="false">E961-D961</f>
        <v>-771402364.369748</v>
      </c>
      <c r="G961" s="25" t="n">
        <f aca="false">E961-C961</f>
        <v>-627797364.369748</v>
      </c>
      <c r="H961" s="7" t="str">
        <f aca="false">IF(F961&gt;=0,A961,"")</f>
        <v/>
      </c>
      <c r="I961" s="7" t="n">
        <f aca="false">IF(F961&lt;0,A961,0)</f>
        <v>956</v>
      </c>
      <c r="J961" s="7" t="str">
        <f aca="false">IF(G961&gt;=0,A961,"")</f>
        <v/>
      </c>
      <c r="K961" s="7" t="n">
        <f aca="false">IF(G961&lt;0,A961,0)</f>
        <v>956</v>
      </c>
    </row>
    <row r="962" customFormat="false" ht="15" hidden="false" customHeight="false" outlineLevel="0" collapsed="false">
      <c r="A962" s="7" t="n">
        <f aca="false">A961+1</f>
        <v>957</v>
      </c>
      <c r="B962" s="7" t="n">
        <f aca="false">MAX('Giả định'!$B$9,ROUNDUP(A962/'Giả định'!$B$7,0)+'Giả định'!$B$8)</f>
        <v>97</v>
      </c>
      <c r="C962" s="25" t="n">
        <f aca="false">('Chi phí'!$C$76+'Chi phí'!$D$76*B962+'Chi phí'!$E$76*A962+'Giả định'!$B$15*('Chi phí'!$F$76+'Chi phí'!$G$76*B962+'Chi phí'!$H$76*A962))*(1+'Giả định'!$B$16)</f>
        <v>983723180</v>
      </c>
      <c r="D962" s="25" t="n">
        <f aca="false">('Chi phí'!$C$77+'Chi phí'!$D$77*B962+'Chi phí'!$E$77*A962+'Giả định'!$B$15*('Chi phí'!$F$77+'Chi phí'!$G$77*B962+'Chi phí'!$H$77*A962))*(1+'Giả định'!$B$16)</f>
        <v>1127328180</v>
      </c>
      <c r="E962" s="25" t="n">
        <f aca="false">A962/'Giả định'!$B$19*'Giả định'!$B$20+A962*'Giả định'!$B$23+'Giả định'!$B$24</f>
        <v>356261344.537815</v>
      </c>
      <c r="F962" s="25" t="n">
        <f aca="false">E962-D962</f>
        <v>-771066835.462185</v>
      </c>
      <c r="G962" s="25" t="n">
        <f aca="false">E962-C962</f>
        <v>-627461835.462185</v>
      </c>
      <c r="H962" s="7" t="str">
        <f aca="false">IF(F962&gt;=0,A962,"")</f>
        <v/>
      </c>
      <c r="I962" s="7" t="n">
        <f aca="false">IF(F962&lt;0,A962,0)</f>
        <v>957</v>
      </c>
      <c r="J962" s="7" t="str">
        <f aca="false">IF(G962&gt;=0,A962,"")</f>
        <v/>
      </c>
      <c r="K962" s="7" t="n">
        <f aca="false">IF(G962&lt;0,A962,0)</f>
        <v>957</v>
      </c>
    </row>
    <row r="963" customFormat="false" ht="15" hidden="false" customHeight="false" outlineLevel="0" collapsed="false">
      <c r="A963" s="7" t="n">
        <f aca="false">A962+1</f>
        <v>958</v>
      </c>
      <c r="B963" s="7" t="n">
        <f aca="false">MAX('Giả định'!$B$9,ROUNDUP(A963/'Giả định'!$B$7,0)+'Giả định'!$B$8)</f>
        <v>97</v>
      </c>
      <c r="C963" s="25" t="n">
        <f aca="false">('Chi phí'!$C$76+'Chi phí'!$D$76*B963+'Chi phí'!$E$76*A963+'Giả định'!$B$15*('Chi phí'!$F$76+'Chi phí'!$G$76*B963+'Chi phí'!$H$76*A963))*(1+'Giả định'!$B$16)</f>
        <v>983759920</v>
      </c>
      <c r="D963" s="25" t="n">
        <f aca="false">('Chi phí'!$C$77+'Chi phí'!$D$77*B963+'Chi phí'!$E$77*A963+'Giả định'!$B$15*('Chi phí'!$F$77+'Chi phí'!$G$77*B963+'Chi phí'!$H$77*A963))*(1+'Giả định'!$B$16)</f>
        <v>1127364920</v>
      </c>
      <c r="E963" s="25" t="n">
        <f aca="false">A963/'Giả định'!$B$19*'Giả định'!$B$20+A963*'Giả định'!$B$23+'Giả định'!$B$24</f>
        <v>356633613.445378</v>
      </c>
      <c r="F963" s="25" t="n">
        <f aca="false">E963-D963</f>
        <v>-770731306.554622</v>
      </c>
      <c r="G963" s="25" t="n">
        <f aca="false">E963-C963</f>
        <v>-627126306.554622</v>
      </c>
      <c r="H963" s="7" t="str">
        <f aca="false">IF(F963&gt;=0,A963,"")</f>
        <v/>
      </c>
      <c r="I963" s="7" t="n">
        <f aca="false">IF(F963&lt;0,A963,0)</f>
        <v>958</v>
      </c>
      <c r="J963" s="7" t="str">
        <f aca="false">IF(G963&gt;=0,A963,"")</f>
        <v/>
      </c>
      <c r="K963" s="7" t="n">
        <f aca="false">IF(G963&lt;0,A963,0)</f>
        <v>958</v>
      </c>
    </row>
    <row r="964" customFormat="false" ht="15" hidden="false" customHeight="false" outlineLevel="0" collapsed="false">
      <c r="A964" s="7" t="n">
        <f aca="false">A963+1</f>
        <v>959</v>
      </c>
      <c r="B964" s="7" t="n">
        <f aca="false">MAX('Giả định'!$B$9,ROUNDUP(A964/'Giả định'!$B$7,0)+'Giả định'!$B$8)</f>
        <v>97</v>
      </c>
      <c r="C964" s="25" t="n">
        <f aca="false">('Chi phí'!$C$76+'Chi phí'!$D$76*B964+'Chi phí'!$E$76*A964+'Giả định'!$B$15*('Chi phí'!$F$76+'Chi phí'!$G$76*B964+'Chi phí'!$H$76*A964))*(1+'Giả định'!$B$16)</f>
        <v>983796660</v>
      </c>
      <c r="D964" s="25" t="n">
        <f aca="false">('Chi phí'!$C$77+'Chi phí'!$D$77*B964+'Chi phí'!$E$77*A964+'Giả định'!$B$15*('Chi phí'!$F$77+'Chi phí'!$G$77*B964+'Chi phí'!$H$77*A964))*(1+'Giả định'!$B$16)</f>
        <v>1127401660</v>
      </c>
      <c r="E964" s="25" t="n">
        <f aca="false">A964/'Giả định'!$B$19*'Giả định'!$B$20+A964*'Giả định'!$B$23+'Giả định'!$B$24</f>
        <v>357005882.352941</v>
      </c>
      <c r="F964" s="25" t="n">
        <f aca="false">E964-D964</f>
        <v>-770395777.647059</v>
      </c>
      <c r="G964" s="25" t="n">
        <f aca="false">E964-C964</f>
        <v>-626790777.647059</v>
      </c>
      <c r="H964" s="7" t="str">
        <f aca="false">IF(F964&gt;=0,A964,"")</f>
        <v/>
      </c>
      <c r="I964" s="7" t="n">
        <f aca="false">IF(F964&lt;0,A964,0)</f>
        <v>959</v>
      </c>
      <c r="J964" s="7" t="str">
        <f aca="false">IF(G964&gt;=0,A964,"")</f>
        <v/>
      </c>
      <c r="K964" s="7" t="n">
        <f aca="false">IF(G964&lt;0,A964,0)</f>
        <v>959</v>
      </c>
    </row>
    <row r="965" customFormat="false" ht="15" hidden="false" customHeight="false" outlineLevel="0" collapsed="false">
      <c r="A965" s="7" t="n">
        <f aca="false">A964+1</f>
        <v>960</v>
      </c>
      <c r="B965" s="7" t="n">
        <f aca="false">MAX('Giả định'!$B$9,ROUNDUP(A965/'Giả định'!$B$7,0)+'Giả định'!$B$8)</f>
        <v>97</v>
      </c>
      <c r="C965" s="25" t="n">
        <f aca="false">('Chi phí'!$C$76+'Chi phí'!$D$76*B965+'Chi phí'!$E$76*A965+'Giả định'!$B$15*('Chi phí'!$F$76+'Chi phí'!$G$76*B965+'Chi phí'!$H$76*A965))*(1+'Giả định'!$B$16)</f>
        <v>983833400</v>
      </c>
      <c r="D965" s="25" t="n">
        <f aca="false">('Chi phí'!$C$77+'Chi phí'!$D$77*B965+'Chi phí'!$E$77*A965+'Giả định'!$B$15*('Chi phí'!$F$77+'Chi phí'!$G$77*B965+'Chi phí'!$H$77*A965))*(1+'Giả định'!$B$16)</f>
        <v>1127438400</v>
      </c>
      <c r="E965" s="25" t="n">
        <f aca="false">A965/'Giả định'!$B$19*'Giả định'!$B$20+A965*'Giả định'!$B$23+'Giả định'!$B$24</f>
        <v>357378151.260504</v>
      </c>
      <c r="F965" s="25" t="n">
        <f aca="false">E965-D965</f>
        <v>-770060248.739496</v>
      </c>
      <c r="G965" s="25" t="n">
        <f aca="false">E965-C965</f>
        <v>-626455248.739496</v>
      </c>
      <c r="H965" s="7" t="str">
        <f aca="false">IF(F965&gt;=0,A965,"")</f>
        <v/>
      </c>
      <c r="I965" s="7" t="n">
        <f aca="false">IF(F965&lt;0,A965,0)</f>
        <v>960</v>
      </c>
      <c r="J965" s="7" t="str">
        <f aca="false">IF(G965&gt;=0,A965,"")</f>
        <v/>
      </c>
      <c r="K965" s="7" t="n">
        <f aca="false">IF(G965&lt;0,A965,0)</f>
        <v>960</v>
      </c>
    </row>
    <row r="966" customFormat="false" ht="15" hidden="false" customHeight="false" outlineLevel="0" collapsed="false">
      <c r="A966" s="7" t="n">
        <f aca="false">A965+1</f>
        <v>961</v>
      </c>
      <c r="B966" s="7" t="n">
        <f aca="false">MAX('Giả định'!$B$9,ROUNDUP(A966/'Giả định'!$B$7,0)+'Giả định'!$B$8)</f>
        <v>98</v>
      </c>
      <c r="C966" s="25" t="n">
        <f aca="false">('Chi phí'!$C$76+'Chi phí'!$D$76*B966+'Chi phí'!$E$76*A966+'Giả định'!$B$15*('Chi phí'!$F$76+'Chi phí'!$G$76*B966+'Chi phí'!$H$76*A966))*(1+'Giả định'!$B$16)</f>
        <v>993044140</v>
      </c>
      <c r="D966" s="25" t="n">
        <f aca="false">('Chi phí'!$C$77+'Chi phí'!$D$77*B966+'Chi phí'!$E$77*A966+'Giả định'!$B$15*('Chi phí'!$F$77+'Chi phí'!$G$77*B966+'Chi phí'!$H$77*A966))*(1+'Giả định'!$B$16)</f>
        <v>1136649140</v>
      </c>
      <c r="E966" s="25" t="n">
        <f aca="false">A966/'Giả định'!$B$19*'Giả định'!$B$20+A966*'Giả định'!$B$23+'Giả định'!$B$24</f>
        <v>357750420.168067</v>
      </c>
      <c r="F966" s="25" t="n">
        <f aca="false">E966-D966</f>
        <v>-778898719.831933</v>
      </c>
      <c r="G966" s="25" t="n">
        <f aca="false">E966-C966</f>
        <v>-635293719.831933</v>
      </c>
      <c r="H966" s="7" t="str">
        <f aca="false">IF(F966&gt;=0,A966,"")</f>
        <v/>
      </c>
      <c r="I966" s="7" t="n">
        <f aca="false">IF(F966&lt;0,A966,0)</f>
        <v>961</v>
      </c>
      <c r="J966" s="7" t="str">
        <f aca="false">IF(G966&gt;=0,A966,"")</f>
        <v/>
      </c>
      <c r="K966" s="7" t="n">
        <f aca="false">IF(G966&lt;0,A966,0)</f>
        <v>961</v>
      </c>
    </row>
    <row r="967" customFormat="false" ht="15" hidden="false" customHeight="false" outlineLevel="0" collapsed="false">
      <c r="A967" s="7" t="n">
        <f aca="false">A966+1</f>
        <v>962</v>
      </c>
      <c r="B967" s="7" t="n">
        <f aca="false">MAX('Giả định'!$B$9,ROUNDUP(A967/'Giả định'!$B$7,0)+'Giả định'!$B$8)</f>
        <v>98</v>
      </c>
      <c r="C967" s="25" t="n">
        <f aca="false">('Chi phí'!$C$76+'Chi phí'!$D$76*B967+'Chi phí'!$E$76*A967+'Giả định'!$B$15*('Chi phí'!$F$76+'Chi phí'!$G$76*B967+'Chi phí'!$H$76*A967))*(1+'Giả định'!$B$16)</f>
        <v>993080880</v>
      </c>
      <c r="D967" s="25" t="n">
        <f aca="false">('Chi phí'!$C$77+'Chi phí'!$D$77*B967+'Chi phí'!$E$77*A967+'Giả định'!$B$15*('Chi phí'!$F$77+'Chi phí'!$G$77*B967+'Chi phí'!$H$77*A967))*(1+'Giả định'!$B$16)</f>
        <v>1136685880</v>
      </c>
      <c r="E967" s="25" t="n">
        <f aca="false">A967/'Giả định'!$B$19*'Giả định'!$B$20+A967*'Giả định'!$B$23+'Giả định'!$B$24</f>
        <v>358122689.07563</v>
      </c>
      <c r="F967" s="25" t="n">
        <f aca="false">E967-D967</f>
        <v>-778563190.92437</v>
      </c>
      <c r="G967" s="25" t="n">
        <f aca="false">E967-C967</f>
        <v>-634958190.92437</v>
      </c>
      <c r="H967" s="7" t="str">
        <f aca="false">IF(F967&gt;=0,A967,"")</f>
        <v/>
      </c>
      <c r="I967" s="7" t="n">
        <f aca="false">IF(F967&lt;0,A967,0)</f>
        <v>962</v>
      </c>
      <c r="J967" s="7" t="str">
        <f aca="false">IF(G967&gt;=0,A967,"")</f>
        <v/>
      </c>
      <c r="K967" s="7" t="n">
        <f aca="false">IF(G967&lt;0,A967,0)</f>
        <v>962</v>
      </c>
    </row>
    <row r="968" customFormat="false" ht="15" hidden="false" customHeight="false" outlineLevel="0" collapsed="false">
      <c r="A968" s="7" t="n">
        <f aca="false">A967+1</f>
        <v>963</v>
      </c>
      <c r="B968" s="7" t="n">
        <f aca="false">MAX('Giả định'!$B$9,ROUNDUP(A968/'Giả định'!$B$7,0)+'Giả định'!$B$8)</f>
        <v>98</v>
      </c>
      <c r="C968" s="25" t="n">
        <f aca="false">('Chi phí'!$C$76+'Chi phí'!$D$76*B968+'Chi phí'!$E$76*A968+'Giả định'!$B$15*('Chi phí'!$F$76+'Chi phí'!$G$76*B968+'Chi phí'!$H$76*A968))*(1+'Giả định'!$B$16)</f>
        <v>993117620</v>
      </c>
      <c r="D968" s="25" t="n">
        <f aca="false">('Chi phí'!$C$77+'Chi phí'!$D$77*B968+'Chi phí'!$E$77*A968+'Giả định'!$B$15*('Chi phí'!$F$77+'Chi phí'!$G$77*B968+'Chi phí'!$H$77*A968))*(1+'Giả định'!$B$16)</f>
        <v>1136722620</v>
      </c>
      <c r="E968" s="25" t="n">
        <f aca="false">A968/'Giả định'!$B$19*'Giả định'!$B$20+A968*'Giả định'!$B$23+'Giả định'!$B$24</f>
        <v>358494957.983193</v>
      </c>
      <c r="F968" s="25" t="n">
        <f aca="false">E968-D968</f>
        <v>-778227662.016807</v>
      </c>
      <c r="G968" s="25" t="n">
        <f aca="false">E968-C968</f>
        <v>-634622662.016807</v>
      </c>
      <c r="H968" s="7" t="str">
        <f aca="false">IF(F968&gt;=0,A968,"")</f>
        <v/>
      </c>
      <c r="I968" s="7" t="n">
        <f aca="false">IF(F968&lt;0,A968,0)</f>
        <v>963</v>
      </c>
      <c r="J968" s="7" t="str">
        <f aca="false">IF(G968&gt;=0,A968,"")</f>
        <v/>
      </c>
      <c r="K968" s="7" t="n">
        <f aca="false">IF(G968&lt;0,A968,0)</f>
        <v>963</v>
      </c>
    </row>
    <row r="969" customFormat="false" ht="15" hidden="false" customHeight="false" outlineLevel="0" collapsed="false">
      <c r="A969" s="7" t="n">
        <f aca="false">A968+1</f>
        <v>964</v>
      </c>
      <c r="B969" s="7" t="n">
        <f aca="false">MAX('Giả định'!$B$9,ROUNDUP(A969/'Giả định'!$B$7,0)+'Giả định'!$B$8)</f>
        <v>98</v>
      </c>
      <c r="C969" s="25" t="n">
        <f aca="false">('Chi phí'!$C$76+'Chi phí'!$D$76*B969+'Chi phí'!$E$76*A969+'Giả định'!$B$15*('Chi phí'!$F$76+'Chi phí'!$G$76*B969+'Chi phí'!$H$76*A969))*(1+'Giả định'!$B$16)</f>
        <v>993154360</v>
      </c>
      <c r="D969" s="25" t="n">
        <f aca="false">('Chi phí'!$C$77+'Chi phí'!$D$77*B969+'Chi phí'!$E$77*A969+'Giả định'!$B$15*('Chi phí'!$F$77+'Chi phí'!$G$77*B969+'Chi phí'!$H$77*A969))*(1+'Giả định'!$B$16)</f>
        <v>1136759360</v>
      </c>
      <c r="E969" s="25" t="n">
        <f aca="false">A969/'Giả định'!$B$19*'Giả định'!$B$20+A969*'Giả định'!$B$23+'Giả định'!$B$24</f>
        <v>358867226.890756</v>
      </c>
      <c r="F969" s="25" t="n">
        <f aca="false">E969-D969</f>
        <v>-777892133.109244</v>
      </c>
      <c r="G969" s="25" t="n">
        <f aca="false">E969-C969</f>
        <v>-634287133.109244</v>
      </c>
      <c r="H969" s="7" t="str">
        <f aca="false">IF(F969&gt;=0,A969,"")</f>
        <v/>
      </c>
      <c r="I969" s="7" t="n">
        <f aca="false">IF(F969&lt;0,A969,0)</f>
        <v>964</v>
      </c>
      <c r="J969" s="7" t="str">
        <f aca="false">IF(G969&gt;=0,A969,"")</f>
        <v/>
      </c>
      <c r="K969" s="7" t="n">
        <f aca="false">IF(G969&lt;0,A969,0)</f>
        <v>964</v>
      </c>
    </row>
    <row r="970" customFormat="false" ht="15" hidden="false" customHeight="false" outlineLevel="0" collapsed="false">
      <c r="A970" s="7" t="n">
        <f aca="false">A969+1</f>
        <v>965</v>
      </c>
      <c r="B970" s="7" t="n">
        <f aca="false">MAX('Giả định'!$B$9,ROUNDUP(A970/'Giả định'!$B$7,0)+'Giả định'!$B$8)</f>
        <v>98</v>
      </c>
      <c r="C970" s="25" t="n">
        <f aca="false">('Chi phí'!$C$76+'Chi phí'!$D$76*B970+'Chi phí'!$E$76*A970+'Giả định'!$B$15*('Chi phí'!$F$76+'Chi phí'!$G$76*B970+'Chi phí'!$H$76*A970))*(1+'Giả định'!$B$16)</f>
        <v>993191100</v>
      </c>
      <c r="D970" s="25" t="n">
        <f aca="false">('Chi phí'!$C$77+'Chi phí'!$D$77*B970+'Chi phí'!$E$77*A970+'Giả định'!$B$15*('Chi phí'!$F$77+'Chi phí'!$G$77*B970+'Chi phí'!$H$77*A970))*(1+'Giả định'!$B$16)</f>
        <v>1136796100</v>
      </c>
      <c r="E970" s="25" t="n">
        <f aca="false">A970/'Giả định'!$B$19*'Giả định'!$B$20+A970*'Giả định'!$B$23+'Giả định'!$B$24</f>
        <v>359239495.798319</v>
      </c>
      <c r="F970" s="25" t="n">
        <f aca="false">E970-D970</f>
        <v>-777556604.201681</v>
      </c>
      <c r="G970" s="25" t="n">
        <f aca="false">E970-C970</f>
        <v>-633951604.201681</v>
      </c>
      <c r="H970" s="7" t="str">
        <f aca="false">IF(F970&gt;=0,A970,"")</f>
        <v/>
      </c>
      <c r="I970" s="7" t="n">
        <f aca="false">IF(F970&lt;0,A970,0)</f>
        <v>965</v>
      </c>
      <c r="J970" s="7" t="str">
        <f aca="false">IF(G970&gt;=0,A970,"")</f>
        <v/>
      </c>
      <c r="K970" s="7" t="n">
        <f aca="false">IF(G970&lt;0,A970,0)</f>
        <v>965</v>
      </c>
    </row>
    <row r="971" customFormat="false" ht="15" hidden="false" customHeight="false" outlineLevel="0" collapsed="false">
      <c r="A971" s="7" t="n">
        <f aca="false">A970+1</f>
        <v>966</v>
      </c>
      <c r="B971" s="7" t="n">
        <f aca="false">MAX('Giả định'!$B$9,ROUNDUP(A971/'Giả định'!$B$7,0)+'Giả định'!$B$8)</f>
        <v>98</v>
      </c>
      <c r="C971" s="25" t="n">
        <f aca="false">('Chi phí'!$C$76+'Chi phí'!$D$76*B971+'Chi phí'!$E$76*A971+'Giả định'!$B$15*('Chi phí'!$F$76+'Chi phí'!$G$76*B971+'Chi phí'!$H$76*A971))*(1+'Giả định'!$B$16)</f>
        <v>993227840</v>
      </c>
      <c r="D971" s="25" t="n">
        <f aca="false">('Chi phí'!$C$77+'Chi phí'!$D$77*B971+'Chi phí'!$E$77*A971+'Giả định'!$B$15*('Chi phí'!$F$77+'Chi phí'!$G$77*B971+'Chi phí'!$H$77*A971))*(1+'Giả định'!$B$16)</f>
        <v>1136832840</v>
      </c>
      <c r="E971" s="25" t="n">
        <f aca="false">A971/'Giả định'!$B$19*'Giả định'!$B$20+A971*'Giả định'!$B$23+'Giả định'!$B$24</f>
        <v>359611764.705882</v>
      </c>
      <c r="F971" s="25" t="n">
        <f aca="false">E971-D971</f>
        <v>-777221075.294118</v>
      </c>
      <c r="G971" s="25" t="n">
        <f aca="false">E971-C971</f>
        <v>-633616075.294118</v>
      </c>
      <c r="H971" s="7" t="str">
        <f aca="false">IF(F971&gt;=0,A971,"")</f>
        <v/>
      </c>
      <c r="I971" s="7" t="n">
        <f aca="false">IF(F971&lt;0,A971,0)</f>
        <v>966</v>
      </c>
      <c r="J971" s="7" t="str">
        <f aca="false">IF(G971&gt;=0,A971,"")</f>
        <v/>
      </c>
      <c r="K971" s="7" t="n">
        <f aca="false">IF(G971&lt;0,A971,0)</f>
        <v>966</v>
      </c>
    </row>
    <row r="972" customFormat="false" ht="15" hidden="false" customHeight="false" outlineLevel="0" collapsed="false">
      <c r="A972" s="7" t="n">
        <f aca="false">A971+1</f>
        <v>967</v>
      </c>
      <c r="B972" s="7" t="n">
        <f aca="false">MAX('Giả định'!$B$9,ROUNDUP(A972/'Giả định'!$B$7,0)+'Giả định'!$B$8)</f>
        <v>98</v>
      </c>
      <c r="C972" s="25" t="n">
        <f aca="false">('Chi phí'!$C$76+'Chi phí'!$D$76*B972+'Chi phí'!$E$76*A972+'Giả định'!$B$15*('Chi phí'!$F$76+'Chi phí'!$G$76*B972+'Chi phí'!$H$76*A972))*(1+'Giả định'!$B$16)</f>
        <v>993264580</v>
      </c>
      <c r="D972" s="25" t="n">
        <f aca="false">('Chi phí'!$C$77+'Chi phí'!$D$77*B972+'Chi phí'!$E$77*A972+'Giả định'!$B$15*('Chi phí'!$F$77+'Chi phí'!$G$77*B972+'Chi phí'!$H$77*A972))*(1+'Giả định'!$B$16)</f>
        <v>1136869580</v>
      </c>
      <c r="E972" s="25" t="n">
        <f aca="false">A972/'Giả định'!$B$19*'Giả định'!$B$20+A972*'Giả định'!$B$23+'Giả định'!$B$24</f>
        <v>359984033.613445</v>
      </c>
      <c r="F972" s="25" t="n">
        <f aca="false">E972-D972</f>
        <v>-776885546.386555</v>
      </c>
      <c r="G972" s="25" t="n">
        <f aca="false">E972-C972</f>
        <v>-633280546.386555</v>
      </c>
      <c r="H972" s="7" t="str">
        <f aca="false">IF(F972&gt;=0,A972,"")</f>
        <v/>
      </c>
      <c r="I972" s="7" t="n">
        <f aca="false">IF(F972&lt;0,A972,0)</f>
        <v>967</v>
      </c>
      <c r="J972" s="7" t="str">
        <f aca="false">IF(G972&gt;=0,A972,"")</f>
        <v/>
      </c>
      <c r="K972" s="7" t="n">
        <f aca="false">IF(G972&lt;0,A972,0)</f>
        <v>967</v>
      </c>
    </row>
    <row r="973" customFormat="false" ht="15" hidden="false" customHeight="false" outlineLevel="0" collapsed="false">
      <c r="A973" s="7" t="n">
        <f aca="false">A972+1</f>
        <v>968</v>
      </c>
      <c r="B973" s="7" t="n">
        <f aca="false">MAX('Giả định'!$B$9,ROUNDUP(A973/'Giả định'!$B$7,0)+'Giả định'!$B$8)</f>
        <v>98</v>
      </c>
      <c r="C973" s="25" t="n">
        <f aca="false">('Chi phí'!$C$76+'Chi phí'!$D$76*B973+'Chi phí'!$E$76*A973+'Giả định'!$B$15*('Chi phí'!$F$76+'Chi phí'!$G$76*B973+'Chi phí'!$H$76*A973))*(1+'Giả định'!$B$16)</f>
        <v>993301320</v>
      </c>
      <c r="D973" s="25" t="n">
        <f aca="false">('Chi phí'!$C$77+'Chi phí'!$D$77*B973+'Chi phí'!$E$77*A973+'Giả định'!$B$15*('Chi phí'!$F$77+'Chi phí'!$G$77*B973+'Chi phí'!$H$77*A973))*(1+'Giả định'!$B$16)</f>
        <v>1136906320</v>
      </c>
      <c r="E973" s="25" t="n">
        <f aca="false">A973/'Giả định'!$B$19*'Giả định'!$B$20+A973*'Giả định'!$B$23+'Giả định'!$B$24</f>
        <v>360356302.521008</v>
      </c>
      <c r="F973" s="25" t="n">
        <f aca="false">E973-D973</f>
        <v>-776550017.478992</v>
      </c>
      <c r="G973" s="25" t="n">
        <f aca="false">E973-C973</f>
        <v>-632945017.478992</v>
      </c>
      <c r="H973" s="7" t="str">
        <f aca="false">IF(F973&gt;=0,A973,"")</f>
        <v/>
      </c>
      <c r="I973" s="7" t="n">
        <f aca="false">IF(F973&lt;0,A973,0)</f>
        <v>968</v>
      </c>
      <c r="J973" s="7" t="str">
        <f aca="false">IF(G973&gt;=0,A973,"")</f>
        <v/>
      </c>
      <c r="K973" s="7" t="n">
        <f aca="false">IF(G973&lt;0,A973,0)</f>
        <v>968</v>
      </c>
    </row>
    <row r="974" customFormat="false" ht="15" hidden="false" customHeight="false" outlineLevel="0" collapsed="false">
      <c r="A974" s="7" t="n">
        <f aca="false">A973+1</f>
        <v>969</v>
      </c>
      <c r="B974" s="7" t="n">
        <f aca="false">MAX('Giả định'!$B$9,ROUNDUP(A974/'Giả định'!$B$7,0)+'Giả định'!$B$8)</f>
        <v>98</v>
      </c>
      <c r="C974" s="25" t="n">
        <f aca="false">('Chi phí'!$C$76+'Chi phí'!$D$76*B974+'Chi phí'!$E$76*A974+'Giả định'!$B$15*('Chi phí'!$F$76+'Chi phí'!$G$76*B974+'Chi phí'!$H$76*A974))*(1+'Giả định'!$B$16)</f>
        <v>993338060</v>
      </c>
      <c r="D974" s="25" t="n">
        <f aca="false">('Chi phí'!$C$77+'Chi phí'!$D$77*B974+'Chi phí'!$E$77*A974+'Giả định'!$B$15*('Chi phí'!$F$77+'Chi phí'!$G$77*B974+'Chi phí'!$H$77*A974))*(1+'Giả định'!$B$16)</f>
        <v>1136943060</v>
      </c>
      <c r="E974" s="25" t="n">
        <f aca="false">A974/'Giả định'!$B$19*'Giả định'!$B$20+A974*'Giả định'!$B$23+'Giả định'!$B$24</f>
        <v>360728571.428571</v>
      </c>
      <c r="F974" s="25" t="n">
        <f aca="false">E974-D974</f>
        <v>-776214488.571429</v>
      </c>
      <c r="G974" s="25" t="n">
        <f aca="false">E974-C974</f>
        <v>-632609488.571429</v>
      </c>
      <c r="H974" s="7" t="str">
        <f aca="false">IF(F974&gt;=0,A974,"")</f>
        <v/>
      </c>
      <c r="I974" s="7" t="n">
        <f aca="false">IF(F974&lt;0,A974,0)</f>
        <v>969</v>
      </c>
      <c r="J974" s="7" t="str">
        <f aca="false">IF(G974&gt;=0,A974,"")</f>
        <v/>
      </c>
      <c r="K974" s="7" t="n">
        <f aca="false">IF(G974&lt;0,A974,0)</f>
        <v>969</v>
      </c>
    </row>
    <row r="975" customFormat="false" ht="15" hidden="false" customHeight="false" outlineLevel="0" collapsed="false">
      <c r="A975" s="7" t="n">
        <f aca="false">A974+1</f>
        <v>970</v>
      </c>
      <c r="B975" s="7" t="n">
        <f aca="false">MAX('Giả định'!$B$9,ROUNDUP(A975/'Giả định'!$B$7,0)+'Giả định'!$B$8)</f>
        <v>98</v>
      </c>
      <c r="C975" s="25" t="n">
        <f aca="false">('Chi phí'!$C$76+'Chi phí'!$D$76*B975+'Chi phí'!$E$76*A975+'Giả định'!$B$15*('Chi phí'!$F$76+'Chi phí'!$G$76*B975+'Chi phí'!$H$76*A975))*(1+'Giả định'!$B$16)</f>
        <v>993374800</v>
      </c>
      <c r="D975" s="25" t="n">
        <f aca="false">('Chi phí'!$C$77+'Chi phí'!$D$77*B975+'Chi phí'!$E$77*A975+'Giả định'!$B$15*('Chi phí'!$F$77+'Chi phí'!$G$77*B975+'Chi phí'!$H$77*A975))*(1+'Giả định'!$B$16)</f>
        <v>1136979800</v>
      </c>
      <c r="E975" s="25" t="n">
        <f aca="false">A975/'Giả định'!$B$19*'Giả định'!$B$20+A975*'Giả định'!$B$23+'Giả định'!$B$24</f>
        <v>361100840.336135</v>
      </c>
      <c r="F975" s="25" t="n">
        <f aca="false">E975-D975</f>
        <v>-775878959.663866</v>
      </c>
      <c r="G975" s="25" t="n">
        <f aca="false">E975-C975</f>
        <v>-632273959.663866</v>
      </c>
      <c r="H975" s="7" t="str">
        <f aca="false">IF(F975&gt;=0,A975,"")</f>
        <v/>
      </c>
      <c r="I975" s="7" t="n">
        <f aca="false">IF(F975&lt;0,A975,0)</f>
        <v>970</v>
      </c>
      <c r="J975" s="7" t="str">
        <f aca="false">IF(G975&gt;=0,A975,"")</f>
        <v/>
      </c>
      <c r="K975" s="7" t="n">
        <f aca="false">IF(G975&lt;0,A975,0)</f>
        <v>970</v>
      </c>
    </row>
    <row r="976" customFormat="false" ht="15" hidden="false" customHeight="false" outlineLevel="0" collapsed="false">
      <c r="A976" s="7" t="n">
        <f aca="false">A975+1</f>
        <v>971</v>
      </c>
      <c r="B976" s="7" t="n">
        <f aca="false">MAX('Giả định'!$B$9,ROUNDUP(A976/'Giả định'!$B$7,0)+'Giả định'!$B$8)</f>
        <v>99</v>
      </c>
      <c r="C976" s="25" t="n">
        <f aca="false">('Chi phí'!$C$76+'Chi phí'!$D$76*B976+'Chi phí'!$E$76*A976+'Giả định'!$B$15*('Chi phí'!$F$76+'Chi phí'!$G$76*B976+'Chi phí'!$H$76*A976))*(1+'Giả định'!$B$16)</f>
        <v>1002585540</v>
      </c>
      <c r="D976" s="25" t="n">
        <f aca="false">('Chi phí'!$C$77+'Chi phí'!$D$77*B976+'Chi phí'!$E$77*A976+'Giả định'!$B$15*('Chi phí'!$F$77+'Chi phí'!$G$77*B976+'Chi phí'!$H$77*A976))*(1+'Giả định'!$B$16)</f>
        <v>1146190540</v>
      </c>
      <c r="E976" s="25" t="n">
        <f aca="false">A976/'Giả định'!$B$19*'Giả định'!$B$20+A976*'Giả định'!$B$23+'Giả định'!$B$24</f>
        <v>361473109.243698</v>
      </c>
      <c r="F976" s="25" t="n">
        <f aca="false">E976-D976</f>
        <v>-784717430.756303</v>
      </c>
      <c r="G976" s="25" t="n">
        <f aca="false">E976-C976</f>
        <v>-641112430.756303</v>
      </c>
      <c r="H976" s="7" t="str">
        <f aca="false">IF(F976&gt;=0,A976,"")</f>
        <v/>
      </c>
      <c r="I976" s="7" t="n">
        <f aca="false">IF(F976&lt;0,A976,0)</f>
        <v>971</v>
      </c>
      <c r="J976" s="7" t="str">
        <f aca="false">IF(G976&gt;=0,A976,"")</f>
        <v/>
      </c>
      <c r="K976" s="7" t="n">
        <f aca="false">IF(G976&lt;0,A976,0)</f>
        <v>971</v>
      </c>
    </row>
    <row r="977" customFormat="false" ht="15" hidden="false" customHeight="false" outlineLevel="0" collapsed="false">
      <c r="A977" s="7" t="n">
        <f aca="false">A976+1</f>
        <v>972</v>
      </c>
      <c r="B977" s="7" t="n">
        <f aca="false">MAX('Giả định'!$B$9,ROUNDUP(A977/'Giả định'!$B$7,0)+'Giả định'!$B$8)</f>
        <v>99</v>
      </c>
      <c r="C977" s="25" t="n">
        <f aca="false">('Chi phí'!$C$76+'Chi phí'!$D$76*B977+'Chi phí'!$E$76*A977+'Giả định'!$B$15*('Chi phí'!$F$76+'Chi phí'!$G$76*B977+'Chi phí'!$H$76*A977))*(1+'Giả định'!$B$16)</f>
        <v>1002622280</v>
      </c>
      <c r="D977" s="25" t="n">
        <f aca="false">('Chi phí'!$C$77+'Chi phí'!$D$77*B977+'Chi phí'!$E$77*A977+'Giả định'!$B$15*('Chi phí'!$F$77+'Chi phí'!$G$77*B977+'Chi phí'!$H$77*A977))*(1+'Giả định'!$B$16)</f>
        <v>1146227280</v>
      </c>
      <c r="E977" s="25" t="n">
        <f aca="false">A977/'Giả định'!$B$19*'Giả định'!$B$20+A977*'Giả định'!$B$23+'Giả định'!$B$24</f>
        <v>361845378.151261</v>
      </c>
      <c r="F977" s="25" t="n">
        <f aca="false">E977-D977</f>
        <v>-784381901.848739</v>
      </c>
      <c r="G977" s="25" t="n">
        <f aca="false">E977-C977</f>
        <v>-640776901.84874</v>
      </c>
      <c r="H977" s="7" t="str">
        <f aca="false">IF(F977&gt;=0,A977,"")</f>
        <v/>
      </c>
      <c r="I977" s="7" t="n">
        <f aca="false">IF(F977&lt;0,A977,0)</f>
        <v>972</v>
      </c>
      <c r="J977" s="7" t="str">
        <f aca="false">IF(G977&gt;=0,A977,"")</f>
        <v/>
      </c>
      <c r="K977" s="7" t="n">
        <f aca="false">IF(G977&lt;0,A977,0)</f>
        <v>972</v>
      </c>
    </row>
    <row r="978" customFormat="false" ht="15" hidden="false" customHeight="false" outlineLevel="0" collapsed="false">
      <c r="A978" s="7" t="n">
        <f aca="false">A977+1</f>
        <v>973</v>
      </c>
      <c r="B978" s="7" t="n">
        <f aca="false">MAX('Giả định'!$B$9,ROUNDUP(A978/'Giả định'!$B$7,0)+'Giả định'!$B$8)</f>
        <v>99</v>
      </c>
      <c r="C978" s="25" t="n">
        <f aca="false">('Chi phí'!$C$76+'Chi phí'!$D$76*B978+'Chi phí'!$E$76*A978+'Giả định'!$B$15*('Chi phí'!$F$76+'Chi phí'!$G$76*B978+'Chi phí'!$H$76*A978))*(1+'Giả định'!$B$16)</f>
        <v>1002659020</v>
      </c>
      <c r="D978" s="25" t="n">
        <f aca="false">('Chi phí'!$C$77+'Chi phí'!$D$77*B978+'Chi phí'!$E$77*A978+'Giả định'!$B$15*('Chi phí'!$F$77+'Chi phí'!$G$77*B978+'Chi phí'!$H$77*A978))*(1+'Giả định'!$B$16)</f>
        <v>1146264020</v>
      </c>
      <c r="E978" s="25" t="n">
        <f aca="false">A978/'Giả định'!$B$19*'Giả định'!$B$20+A978*'Giả định'!$B$23+'Giả định'!$B$24</f>
        <v>362217647.058824</v>
      </c>
      <c r="F978" s="25" t="n">
        <f aca="false">E978-D978</f>
        <v>-784046372.941176</v>
      </c>
      <c r="G978" s="25" t="n">
        <f aca="false">E978-C978</f>
        <v>-640441372.941177</v>
      </c>
      <c r="H978" s="7" t="str">
        <f aca="false">IF(F978&gt;=0,A978,"")</f>
        <v/>
      </c>
      <c r="I978" s="7" t="n">
        <f aca="false">IF(F978&lt;0,A978,0)</f>
        <v>973</v>
      </c>
      <c r="J978" s="7" t="str">
        <f aca="false">IF(G978&gt;=0,A978,"")</f>
        <v/>
      </c>
      <c r="K978" s="7" t="n">
        <f aca="false">IF(G978&lt;0,A978,0)</f>
        <v>973</v>
      </c>
    </row>
    <row r="979" customFormat="false" ht="15" hidden="false" customHeight="false" outlineLevel="0" collapsed="false">
      <c r="A979" s="7" t="n">
        <f aca="false">A978+1</f>
        <v>974</v>
      </c>
      <c r="B979" s="7" t="n">
        <f aca="false">MAX('Giả định'!$B$9,ROUNDUP(A979/'Giả định'!$B$7,0)+'Giả định'!$B$8)</f>
        <v>99</v>
      </c>
      <c r="C979" s="25" t="n">
        <f aca="false">('Chi phí'!$C$76+'Chi phí'!$D$76*B979+'Chi phí'!$E$76*A979+'Giả định'!$B$15*('Chi phí'!$F$76+'Chi phí'!$G$76*B979+'Chi phí'!$H$76*A979))*(1+'Giả định'!$B$16)</f>
        <v>1002695760</v>
      </c>
      <c r="D979" s="25" t="n">
        <f aca="false">('Chi phí'!$C$77+'Chi phí'!$D$77*B979+'Chi phí'!$E$77*A979+'Giả định'!$B$15*('Chi phí'!$F$77+'Chi phí'!$G$77*B979+'Chi phí'!$H$77*A979))*(1+'Giả định'!$B$16)</f>
        <v>1146300760</v>
      </c>
      <c r="E979" s="25" t="n">
        <f aca="false">A979/'Giả định'!$B$19*'Giả định'!$B$20+A979*'Giả định'!$B$23+'Giả định'!$B$24</f>
        <v>362589915.966387</v>
      </c>
      <c r="F979" s="25" t="n">
        <f aca="false">E979-D979</f>
        <v>-783710844.033613</v>
      </c>
      <c r="G979" s="25" t="n">
        <f aca="false">E979-C979</f>
        <v>-640105844.033614</v>
      </c>
      <c r="H979" s="7" t="str">
        <f aca="false">IF(F979&gt;=0,A979,"")</f>
        <v/>
      </c>
      <c r="I979" s="7" t="n">
        <f aca="false">IF(F979&lt;0,A979,0)</f>
        <v>974</v>
      </c>
      <c r="J979" s="7" t="str">
        <f aca="false">IF(G979&gt;=0,A979,"")</f>
        <v/>
      </c>
      <c r="K979" s="7" t="n">
        <f aca="false">IF(G979&lt;0,A979,0)</f>
        <v>974</v>
      </c>
    </row>
    <row r="980" customFormat="false" ht="15" hidden="false" customHeight="false" outlineLevel="0" collapsed="false">
      <c r="A980" s="7" t="n">
        <f aca="false">A979+1</f>
        <v>975</v>
      </c>
      <c r="B980" s="7" t="n">
        <f aca="false">MAX('Giả định'!$B$9,ROUNDUP(A980/'Giả định'!$B$7,0)+'Giả định'!$B$8)</f>
        <v>99</v>
      </c>
      <c r="C980" s="25" t="n">
        <f aca="false">('Chi phí'!$C$76+'Chi phí'!$D$76*B980+'Chi phí'!$E$76*A980+'Giả định'!$B$15*('Chi phí'!$F$76+'Chi phí'!$G$76*B980+'Chi phí'!$H$76*A980))*(1+'Giả định'!$B$16)</f>
        <v>1002732500</v>
      </c>
      <c r="D980" s="25" t="n">
        <f aca="false">('Chi phí'!$C$77+'Chi phí'!$D$77*B980+'Chi phí'!$E$77*A980+'Giả định'!$B$15*('Chi phí'!$F$77+'Chi phí'!$G$77*B980+'Chi phí'!$H$77*A980))*(1+'Giả định'!$B$16)</f>
        <v>1146337500</v>
      </c>
      <c r="E980" s="25" t="n">
        <f aca="false">A980/'Giả định'!$B$19*'Giả định'!$B$20+A980*'Giả định'!$B$23+'Giả định'!$B$24</f>
        <v>362962184.87395</v>
      </c>
      <c r="F980" s="25" t="n">
        <f aca="false">E980-D980</f>
        <v>-783375315.126051</v>
      </c>
      <c r="G980" s="25" t="n">
        <f aca="false">E980-C980</f>
        <v>-639770315.126051</v>
      </c>
      <c r="H980" s="7" t="str">
        <f aca="false">IF(F980&gt;=0,A980,"")</f>
        <v/>
      </c>
      <c r="I980" s="7" t="n">
        <f aca="false">IF(F980&lt;0,A980,0)</f>
        <v>975</v>
      </c>
      <c r="J980" s="7" t="str">
        <f aca="false">IF(G980&gt;=0,A980,"")</f>
        <v/>
      </c>
      <c r="K980" s="7" t="n">
        <f aca="false">IF(G980&lt;0,A980,0)</f>
        <v>975</v>
      </c>
    </row>
    <row r="981" customFormat="false" ht="15" hidden="false" customHeight="false" outlineLevel="0" collapsed="false">
      <c r="A981" s="7" t="n">
        <f aca="false">A980+1</f>
        <v>976</v>
      </c>
      <c r="B981" s="7" t="n">
        <f aca="false">MAX('Giả định'!$B$9,ROUNDUP(A981/'Giả định'!$B$7,0)+'Giả định'!$B$8)</f>
        <v>99</v>
      </c>
      <c r="C981" s="25" t="n">
        <f aca="false">('Chi phí'!$C$76+'Chi phí'!$D$76*B981+'Chi phí'!$E$76*A981+'Giả định'!$B$15*('Chi phí'!$F$76+'Chi phí'!$G$76*B981+'Chi phí'!$H$76*A981))*(1+'Giả định'!$B$16)</f>
        <v>1002769240</v>
      </c>
      <c r="D981" s="25" t="n">
        <f aca="false">('Chi phí'!$C$77+'Chi phí'!$D$77*B981+'Chi phí'!$E$77*A981+'Giả định'!$B$15*('Chi phí'!$F$77+'Chi phí'!$G$77*B981+'Chi phí'!$H$77*A981))*(1+'Giả định'!$B$16)</f>
        <v>1146374240</v>
      </c>
      <c r="E981" s="25" t="n">
        <f aca="false">A981/'Giả định'!$B$19*'Giả định'!$B$20+A981*'Giả định'!$B$23+'Giả định'!$B$24</f>
        <v>363334453.781513</v>
      </c>
      <c r="F981" s="25" t="n">
        <f aca="false">E981-D981</f>
        <v>-783039786.218487</v>
      </c>
      <c r="G981" s="25" t="n">
        <f aca="false">E981-C981</f>
        <v>-639434786.218488</v>
      </c>
      <c r="H981" s="7" t="str">
        <f aca="false">IF(F981&gt;=0,A981,"")</f>
        <v/>
      </c>
      <c r="I981" s="7" t="n">
        <f aca="false">IF(F981&lt;0,A981,0)</f>
        <v>976</v>
      </c>
      <c r="J981" s="7" t="str">
        <f aca="false">IF(G981&gt;=0,A981,"")</f>
        <v/>
      </c>
      <c r="K981" s="7" t="n">
        <f aca="false">IF(G981&lt;0,A981,0)</f>
        <v>976</v>
      </c>
    </row>
    <row r="982" customFormat="false" ht="15" hidden="false" customHeight="false" outlineLevel="0" collapsed="false">
      <c r="A982" s="7" t="n">
        <f aca="false">A981+1</f>
        <v>977</v>
      </c>
      <c r="B982" s="7" t="n">
        <f aca="false">MAX('Giả định'!$B$9,ROUNDUP(A982/'Giả định'!$B$7,0)+'Giả định'!$B$8)</f>
        <v>99</v>
      </c>
      <c r="C982" s="25" t="n">
        <f aca="false">('Chi phí'!$C$76+'Chi phí'!$D$76*B982+'Chi phí'!$E$76*A982+'Giả định'!$B$15*('Chi phí'!$F$76+'Chi phí'!$G$76*B982+'Chi phí'!$H$76*A982))*(1+'Giả định'!$B$16)</f>
        <v>1002805980</v>
      </c>
      <c r="D982" s="25" t="n">
        <f aca="false">('Chi phí'!$C$77+'Chi phí'!$D$77*B982+'Chi phí'!$E$77*A982+'Giả định'!$B$15*('Chi phí'!$F$77+'Chi phí'!$G$77*B982+'Chi phí'!$H$77*A982))*(1+'Giả định'!$B$16)</f>
        <v>1146410980</v>
      </c>
      <c r="E982" s="25" t="n">
        <f aca="false">A982/'Giả định'!$B$19*'Giả định'!$B$20+A982*'Giả định'!$B$23+'Giả định'!$B$24</f>
        <v>363706722.689076</v>
      </c>
      <c r="F982" s="25" t="n">
        <f aca="false">E982-D982</f>
        <v>-782704257.310924</v>
      </c>
      <c r="G982" s="25" t="n">
        <f aca="false">E982-C982</f>
        <v>-639099257.310925</v>
      </c>
      <c r="H982" s="7" t="str">
        <f aca="false">IF(F982&gt;=0,A982,"")</f>
        <v/>
      </c>
      <c r="I982" s="7" t="n">
        <f aca="false">IF(F982&lt;0,A982,0)</f>
        <v>977</v>
      </c>
      <c r="J982" s="7" t="str">
        <f aca="false">IF(G982&gt;=0,A982,"")</f>
        <v/>
      </c>
      <c r="K982" s="7" t="n">
        <f aca="false">IF(G982&lt;0,A982,0)</f>
        <v>977</v>
      </c>
    </row>
    <row r="983" customFormat="false" ht="15" hidden="false" customHeight="false" outlineLevel="0" collapsed="false">
      <c r="A983" s="7" t="n">
        <f aca="false">A982+1</f>
        <v>978</v>
      </c>
      <c r="B983" s="7" t="n">
        <f aca="false">MAX('Giả định'!$B$9,ROUNDUP(A983/'Giả định'!$B$7,0)+'Giả định'!$B$8)</f>
        <v>99</v>
      </c>
      <c r="C983" s="25" t="n">
        <f aca="false">('Chi phí'!$C$76+'Chi phí'!$D$76*B983+'Chi phí'!$E$76*A983+'Giả định'!$B$15*('Chi phí'!$F$76+'Chi phí'!$G$76*B983+'Chi phí'!$H$76*A983))*(1+'Giả định'!$B$16)</f>
        <v>1002842720</v>
      </c>
      <c r="D983" s="25" t="n">
        <f aca="false">('Chi phí'!$C$77+'Chi phí'!$D$77*B983+'Chi phí'!$E$77*A983+'Giả định'!$B$15*('Chi phí'!$F$77+'Chi phí'!$G$77*B983+'Chi phí'!$H$77*A983))*(1+'Giả định'!$B$16)</f>
        <v>1146447720</v>
      </c>
      <c r="E983" s="25" t="n">
        <f aca="false">A983/'Giả định'!$B$19*'Giả định'!$B$20+A983*'Giả định'!$B$23+'Giả định'!$B$24</f>
        <v>364078991.596639</v>
      </c>
      <c r="F983" s="25" t="n">
        <f aca="false">E983-D983</f>
        <v>-782368728.403361</v>
      </c>
      <c r="G983" s="25" t="n">
        <f aca="false">E983-C983</f>
        <v>-638763728.403361</v>
      </c>
      <c r="H983" s="7" t="str">
        <f aca="false">IF(F983&gt;=0,A983,"")</f>
        <v/>
      </c>
      <c r="I983" s="7" t="n">
        <f aca="false">IF(F983&lt;0,A983,0)</f>
        <v>978</v>
      </c>
      <c r="J983" s="7" t="str">
        <f aca="false">IF(G983&gt;=0,A983,"")</f>
        <v/>
      </c>
      <c r="K983" s="7" t="n">
        <f aca="false">IF(G983&lt;0,A983,0)</f>
        <v>978</v>
      </c>
    </row>
    <row r="984" customFormat="false" ht="15" hidden="false" customHeight="false" outlineLevel="0" collapsed="false">
      <c r="A984" s="7" t="n">
        <f aca="false">A983+1</f>
        <v>979</v>
      </c>
      <c r="B984" s="7" t="n">
        <f aca="false">MAX('Giả định'!$B$9,ROUNDUP(A984/'Giả định'!$B$7,0)+'Giả định'!$B$8)</f>
        <v>99</v>
      </c>
      <c r="C984" s="25" t="n">
        <f aca="false">('Chi phí'!$C$76+'Chi phí'!$D$76*B984+'Chi phí'!$E$76*A984+'Giả định'!$B$15*('Chi phí'!$F$76+'Chi phí'!$G$76*B984+'Chi phí'!$H$76*A984))*(1+'Giả định'!$B$16)</f>
        <v>1002879460</v>
      </c>
      <c r="D984" s="25" t="n">
        <f aca="false">('Chi phí'!$C$77+'Chi phí'!$D$77*B984+'Chi phí'!$E$77*A984+'Giả định'!$B$15*('Chi phí'!$F$77+'Chi phí'!$G$77*B984+'Chi phí'!$H$77*A984))*(1+'Giả định'!$B$16)</f>
        <v>1146484460</v>
      </c>
      <c r="E984" s="25" t="n">
        <f aca="false">A984/'Giả định'!$B$19*'Giả định'!$B$20+A984*'Giả định'!$B$23+'Giả định'!$B$24</f>
        <v>364451260.504202</v>
      </c>
      <c r="F984" s="25" t="n">
        <f aca="false">E984-D984</f>
        <v>-782033199.495798</v>
      </c>
      <c r="G984" s="25" t="n">
        <f aca="false">E984-C984</f>
        <v>-638428199.495798</v>
      </c>
      <c r="H984" s="7" t="str">
        <f aca="false">IF(F984&gt;=0,A984,"")</f>
        <v/>
      </c>
      <c r="I984" s="7" t="n">
        <f aca="false">IF(F984&lt;0,A984,0)</f>
        <v>979</v>
      </c>
      <c r="J984" s="7" t="str">
        <f aca="false">IF(G984&gt;=0,A984,"")</f>
        <v/>
      </c>
      <c r="K984" s="7" t="n">
        <f aca="false">IF(G984&lt;0,A984,0)</f>
        <v>979</v>
      </c>
    </row>
    <row r="985" customFormat="false" ht="15" hidden="false" customHeight="false" outlineLevel="0" collapsed="false">
      <c r="A985" s="7" t="n">
        <f aca="false">A984+1</f>
        <v>980</v>
      </c>
      <c r="B985" s="7" t="n">
        <f aca="false">MAX('Giả định'!$B$9,ROUNDUP(A985/'Giả định'!$B$7,0)+'Giả định'!$B$8)</f>
        <v>99</v>
      </c>
      <c r="C985" s="25" t="n">
        <f aca="false">('Chi phí'!$C$76+'Chi phí'!$D$76*B985+'Chi phí'!$E$76*A985+'Giả định'!$B$15*('Chi phí'!$F$76+'Chi phí'!$G$76*B985+'Chi phí'!$H$76*A985))*(1+'Giả định'!$B$16)</f>
        <v>1002916200</v>
      </c>
      <c r="D985" s="25" t="n">
        <f aca="false">('Chi phí'!$C$77+'Chi phí'!$D$77*B985+'Chi phí'!$E$77*A985+'Giả định'!$B$15*('Chi phí'!$F$77+'Chi phí'!$G$77*B985+'Chi phí'!$H$77*A985))*(1+'Giả định'!$B$16)</f>
        <v>1146521200</v>
      </c>
      <c r="E985" s="25" t="n">
        <f aca="false">A985/'Giả định'!$B$19*'Giả định'!$B$20+A985*'Giả định'!$B$23+'Giả định'!$B$24</f>
        <v>364823529.411765</v>
      </c>
      <c r="F985" s="25" t="n">
        <f aca="false">E985-D985</f>
        <v>-781697670.588235</v>
      </c>
      <c r="G985" s="25" t="n">
        <f aca="false">E985-C985</f>
        <v>-638092670.588235</v>
      </c>
      <c r="H985" s="7" t="str">
        <f aca="false">IF(F985&gt;=0,A985,"")</f>
        <v/>
      </c>
      <c r="I985" s="7" t="n">
        <f aca="false">IF(F985&lt;0,A985,0)</f>
        <v>980</v>
      </c>
      <c r="J985" s="7" t="str">
        <f aca="false">IF(G985&gt;=0,A985,"")</f>
        <v/>
      </c>
      <c r="K985" s="7" t="n">
        <f aca="false">IF(G985&lt;0,A985,0)</f>
        <v>980</v>
      </c>
    </row>
    <row r="986" customFormat="false" ht="15" hidden="false" customHeight="false" outlineLevel="0" collapsed="false">
      <c r="A986" s="7" t="n">
        <f aca="false">A985+1</f>
        <v>981</v>
      </c>
      <c r="B986" s="7" t="n">
        <f aca="false">MAX('Giả định'!$B$9,ROUNDUP(A986/'Giả định'!$B$7,0)+'Giả định'!$B$8)</f>
        <v>100</v>
      </c>
      <c r="C986" s="25" t="n">
        <f aca="false">('Chi phí'!$C$76+'Chi phí'!$D$76*B986+'Chi phí'!$E$76*A986+'Giả định'!$B$15*('Chi phí'!$F$76+'Chi phí'!$G$76*B986+'Chi phí'!$H$76*A986))*(1+'Giả định'!$B$16)</f>
        <v>1012126940</v>
      </c>
      <c r="D986" s="25" t="n">
        <f aca="false">('Chi phí'!$C$77+'Chi phí'!$D$77*B986+'Chi phí'!$E$77*A986+'Giả định'!$B$15*('Chi phí'!$F$77+'Chi phí'!$G$77*B986+'Chi phí'!$H$77*A986))*(1+'Giả định'!$B$16)</f>
        <v>1155731940</v>
      </c>
      <c r="E986" s="25" t="n">
        <f aca="false">A986/'Giả định'!$B$19*'Giả định'!$B$20+A986*'Giả định'!$B$23+'Giả định'!$B$24</f>
        <v>365195798.319328</v>
      </c>
      <c r="F986" s="25" t="n">
        <f aca="false">E986-D986</f>
        <v>-790536141.680672</v>
      </c>
      <c r="G986" s="25" t="n">
        <f aca="false">E986-C986</f>
        <v>-646931141.680672</v>
      </c>
      <c r="H986" s="7" t="str">
        <f aca="false">IF(F986&gt;=0,A986,"")</f>
        <v/>
      </c>
      <c r="I986" s="7" t="n">
        <f aca="false">IF(F986&lt;0,A986,0)</f>
        <v>981</v>
      </c>
      <c r="J986" s="7" t="str">
        <f aca="false">IF(G986&gt;=0,A986,"")</f>
        <v/>
      </c>
      <c r="K986" s="7" t="n">
        <f aca="false">IF(G986&lt;0,A986,0)</f>
        <v>981</v>
      </c>
    </row>
    <row r="987" customFormat="false" ht="15" hidden="false" customHeight="false" outlineLevel="0" collapsed="false">
      <c r="A987" s="7" t="n">
        <f aca="false">A986+1</f>
        <v>982</v>
      </c>
      <c r="B987" s="7" t="n">
        <f aca="false">MAX('Giả định'!$B$9,ROUNDUP(A987/'Giả định'!$B$7,0)+'Giả định'!$B$8)</f>
        <v>100</v>
      </c>
      <c r="C987" s="25" t="n">
        <f aca="false">('Chi phí'!$C$76+'Chi phí'!$D$76*B987+'Chi phí'!$E$76*A987+'Giả định'!$B$15*('Chi phí'!$F$76+'Chi phí'!$G$76*B987+'Chi phí'!$H$76*A987))*(1+'Giả định'!$B$16)</f>
        <v>1012163680</v>
      </c>
      <c r="D987" s="25" t="n">
        <f aca="false">('Chi phí'!$C$77+'Chi phí'!$D$77*B987+'Chi phí'!$E$77*A987+'Giả định'!$B$15*('Chi phí'!$F$77+'Chi phí'!$G$77*B987+'Chi phí'!$H$77*A987))*(1+'Giả định'!$B$16)</f>
        <v>1155768680</v>
      </c>
      <c r="E987" s="25" t="n">
        <f aca="false">A987/'Giả định'!$B$19*'Giả định'!$B$20+A987*'Giả định'!$B$23+'Giả định'!$B$24</f>
        <v>365568067.226891</v>
      </c>
      <c r="F987" s="25" t="n">
        <f aca="false">E987-D987</f>
        <v>-790200612.773109</v>
      </c>
      <c r="G987" s="25" t="n">
        <f aca="false">E987-C987</f>
        <v>-646595612.773109</v>
      </c>
      <c r="H987" s="7" t="str">
        <f aca="false">IF(F987&gt;=0,A987,"")</f>
        <v/>
      </c>
      <c r="I987" s="7" t="n">
        <f aca="false">IF(F987&lt;0,A987,0)</f>
        <v>982</v>
      </c>
      <c r="J987" s="7" t="str">
        <f aca="false">IF(G987&gt;=0,A987,"")</f>
        <v/>
      </c>
      <c r="K987" s="7" t="n">
        <f aca="false">IF(G987&lt;0,A987,0)</f>
        <v>982</v>
      </c>
    </row>
    <row r="988" customFormat="false" ht="15" hidden="false" customHeight="false" outlineLevel="0" collapsed="false">
      <c r="A988" s="7" t="n">
        <f aca="false">A987+1</f>
        <v>983</v>
      </c>
      <c r="B988" s="7" t="n">
        <f aca="false">MAX('Giả định'!$B$9,ROUNDUP(A988/'Giả định'!$B$7,0)+'Giả định'!$B$8)</f>
        <v>100</v>
      </c>
      <c r="C988" s="25" t="n">
        <f aca="false">('Chi phí'!$C$76+'Chi phí'!$D$76*B988+'Chi phí'!$E$76*A988+'Giả định'!$B$15*('Chi phí'!$F$76+'Chi phí'!$G$76*B988+'Chi phí'!$H$76*A988))*(1+'Giả định'!$B$16)</f>
        <v>1012200420</v>
      </c>
      <c r="D988" s="25" t="n">
        <f aca="false">('Chi phí'!$C$77+'Chi phí'!$D$77*B988+'Chi phí'!$E$77*A988+'Giả định'!$B$15*('Chi phí'!$F$77+'Chi phí'!$G$77*B988+'Chi phí'!$H$77*A988))*(1+'Giả định'!$B$16)</f>
        <v>1155805420</v>
      </c>
      <c r="E988" s="25" t="n">
        <f aca="false">A988/'Giả định'!$B$19*'Giả định'!$B$20+A988*'Giả định'!$B$23+'Giả định'!$B$24</f>
        <v>365940336.134454</v>
      </c>
      <c r="F988" s="25" t="n">
        <f aca="false">E988-D988</f>
        <v>-789865083.865546</v>
      </c>
      <c r="G988" s="25" t="n">
        <f aca="false">E988-C988</f>
        <v>-646260083.865546</v>
      </c>
      <c r="H988" s="7" t="str">
        <f aca="false">IF(F988&gt;=0,A988,"")</f>
        <v/>
      </c>
      <c r="I988" s="7" t="n">
        <f aca="false">IF(F988&lt;0,A988,0)</f>
        <v>983</v>
      </c>
      <c r="J988" s="7" t="str">
        <f aca="false">IF(G988&gt;=0,A988,"")</f>
        <v/>
      </c>
      <c r="K988" s="7" t="n">
        <f aca="false">IF(G988&lt;0,A988,0)</f>
        <v>983</v>
      </c>
    </row>
    <row r="989" customFormat="false" ht="15" hidden="false" customHeight="false" outlineLevel="0" collapsed="false">
      <c r="A989" s="7" t="n">
        <f aca="false">A988+1</f>
        <v>984</v>
      </c>
      <c r="B989" s="7" t="n">
        <f aca="false">MAX('Giả định'!$B$9,ROUNDUP(A989/'Giả định'!$B$7,0)+'Giả định'!$B$8)</f>
        <v>100</v>
      </c>
      <c r="C989" s="25" t="n">
        <f aca="false">('Chi phí'!$C$76+'Chi phí'!$D$76*B989+'Chi phí'!$E$76*A989+'Giả định'!$B$15*('Chi phí'!$F$76+'Chi phí'!$G$76*B989+'Chi phí'!$H$76*A989))*(1+'Giả định'!$B$16)</f>
        <v>1012237160</v>
      </c>
      <c r="D989" s="25" t="n">
        <f aca="false">('Chi phí'!$C$77+'Chi phí'!$D$77*B989+'Chi phí'!$E$77*A989+'Giả định'!$B$15*('Chi phí'!$F$77+'Chi phí'!$G$77*B989+'Chi phí'!$H$77*A989))*(1+'Giả định'!$B$16)</f>
        <v>1155842160</v>
      </c>
      <c r="E989" s="25" t="n">
        <f aca="false">A989/'Giả định'!$B$19*'Giả định'!$B$20+A989*'Giả định'!$B$23+'Giả định'!$B$24</f>
        <v>366312605.042017</v>
      </c>
      <c r="F989" s="25" t="n">
        <f aca="false">E989-D989</f>
        <v>-789529554.957983</v>
      </c>
      <c r="G989" s="25" t="n">
        <f aca="false">E989-C989</f>
        <v>-645924554.957983</v>
      </c>
      <c r="H989" s="7" t="str">
        <f aca="false">IF(F989&gt;=0,A989,"")</f>
        <v/>
      </c>
      <c r="I989" s="7" t="n">
        <f aca="false">IF(F989&lt;0,A989,0)</f>
        <v>984</v>
      </c>
      <c r="J989" s="7" t="str">
        <f aca="false">IF(G989&gt;=0,A989,"")</f>
        <v/>
      </c>
      <c r="K989" s="7" t="n">
        <f aca="false">IF(G989&lt;0,A989,0)</f>
        <v>984</v>
      </c>
    </row>
    <row r="990" customFormat="false" ht="15" hidden="false" customHeight="false" outlineLevel="0" collapsed="false">
      <c r="A990" s="7" t="n">
        <f aca="false">A989+1</f>
        <v>985</v>
      </c>
      <c r="B990" s="7" t="n">
        <f aca="false">MAX('Giả định'!$B$9,ROUNDUP(A990/'Giả định'!$B$7,0)+'Giả định'!$B$8)</f>
        <v>100</v>
      </c>
      <c r="C990" s="25" t="n">
        <f aca="false">('Chi phí'!$C$76+'Chi phí'!$D$76*B990+'Chi phí'!$E$76*A990+'Giả định'!$B$15*('Chi phí'!$F$76+'Chi phí'!$G$76*B990+'Chi phí'!$H$76*A990))*(1+'Giả định'!$B$16)</f>
        <v>1012273900</v>
      </c>
      <c r="D990" s="25" t="n">
        <f aca="false">('Chi phí'!$C$77+'Chi phí'!$D$77*B990+'Chi phí'!$E$77*A990+'Giả định'!$B$15*('Chi phí'!$F$77+'Chi phí'!$G$77*B990+'Chi phí'!$H$77*A990))*(1+'Giả định'!$B$16)</f>
        <v>1155878900</v>
      </c>
      <c r="E990" s="25" t="n">
        <f aca="false">A990/'Giả định'!$B$19*'Giả định'!$B$20+A990*'Giả định'!$B$23+'Giả định'!$B$24</f>
        <v>366684873.94958</v>
      </c>
      <c r="F990" s="25" t="n">
        <f aca="false">E990-D990</f>
        <v>-789194026.05042</v>
      </c>
      <c r="G990" s="25" t="n">
        <f aca="false">E990-C990</f>
        <v>-645589026.05042</v>
      </c>
      <c r="H990" s="7" t="str">
        <f aca="false">IF(F990&gt;=0,A990,"")</f>
        <v/>
      </c>
      <c r="I990" s="7" t="n">
        <f aca="false">IF(F990&lt;0,A990,0)</f>
        <v>985</v>
      </c>
      <c r="J990" s="7" t="str">
        <f aca="false">IF(G990&gt;=0,A990,"")</f>
        <v/>
      </c>
      <c r="K990" s="7" t="n">
        <f aca="false">IF(G990&lt;0,A990,0)</f>
        <v>985</v>
      </c>
    </row>
    <row r="991" customFormat="false" ht="15" hidden="false" customHeight="false" outlineLevel="0" collapsed="false">
      <c r="A991" s="7" t="n">
        <f aca="false">A990+1</f>
        <v>986</v>
      </c>
      <c r="B991" s="7" t="n">
        <f aca="false">MAX('Giả định'!$B$9,ROUNDUP(A991/'Giả định'!$B$7,0)+'Giả định'!$B$8)</f>
        <v>100</v>
      </c>
      <c r="C991" s="25" t="n">
        <f aca="false">('Chi phí'!$C$76+'Chi phí'!$D$76*B991+'Chi phí'!$E$76*A991+'Giả định'!$B$15*('Chi phí'!$F$76+'Chi phí'!$G$76*B991+'Chi phí'!$H$76*A991))*(1+'Giả định'!$B$16)</f>
        <v>1012310640</v>
      </c>
      <c r="D991" s="25" t="n">
        <f aca="false">('Chi phí'!$C$77+'Chi phí'!$D$77*B991+'Chi phí'!$E$77*A991+'Giả định'!$B$15*('Chi phí'!$F$77+'Chi phí'!$G$77*B991+'Chi phí'!$H$77*A991))*(1+'Giả định'!$B$16)</f>
        <v>1155915640</v>
      </c>
      <c r="E991" s="25" t="n">
        <f aca="false">A991/'Giả định'!$B$19*'Giả định'!$B$20+A991*'Giả định'!$B$23+'Giả định'!$B$24</f>
        <v>367057142.857143</v>
      </c>
      <c r="F991" s="25" t="n">
        <f aca="false">E991-D991</f>
        <v>-788858497.142857</v>
      </c>
      <c r="G991" s="25" t="n">
        <f aca="false">E991-C991</f>
        <v>-645253497.142857</v>
      </c>
      <c r="H991" s="7" t="str">
        <f aca="false">IF(F991&gt;=0,A991,"")</f>
        <v/>
      </c>
      <c r="I991" s="7" t="n">
        <f aca="false">IF(F991&lt;0,A991,0)</f>
        <v>986</v>
      </c>
      <c r="J991" s="7" t="str">
        <f aca="false">IF(G991&gt;=0,A991,"")</f>
        <v/>
      </c>
      <c r="K991" s="7" t="n">
        <f aca="false">IF(G991&lt;0,A991,0)</f>
        <v>986</v>
      </c>
    </row>
    <row r="992" customFormat="false" ht="15" hidden="false" customHeight="false" outlineLevel="0" collapsed="false">
      <c r="A992" s="7" t="n">
        <f aca="false">A991+1</f>
        <v>987</v>
      </c>
      <c r="B992" s="7" t="n">
        <f aca="false">MAX('Giả định'!$B$9,ROUNDUP(A992/'Giả định'!$B$7,0)+'Giả định'!$B$8)</f>
        <v>100</v>
      </c>
      <c r="C992" s="25" t="n">
        <f aca="false">('Chi phí'!$C$76+'Chi phí'!$D$76*B992+'Chi phí'!$E$76*A992+'Giả định'!$B$15*('Chi phí'!$F$76+'Chi phí'!$G$76*B992+'Chi phí'!$H$76*A992))*(1+'Giả định'!$B$16)</f>
        <v>1012347380</v>
      </c>
      <c r="D992" s="25" t="n">
        <f aca="false">('Chi phí'!$C$77+'Chi phí'!$D$77*B992+'Chi phí'!$E$77*A992+'Giả định'!$B$15*('Chi phí'!$F$77+'Chi phí'!$G$77*B992+'Chi phí'!$H$77*A992))*(1+'Giả định'!$B$16)</f>
        <v>1155952380</v>
      </c>
      <c r="E992" s="25" t="n">
        <f aca="false">A992/'Giả định'!$B$19*'Giả định'!$B$20+A992*'Giả định'!$B$23+'Giả định'!$B$24</f>
        <v>367429411.764706</v>
      </c>
      <c r="F992" s="25" t="n">
        <f aca="false">E992-D992</f>
        <v>-788522968.235294</v>
      </c>
      <c r="G992" s="25" t="n">
        <f aca="false">E992-C992</f>
        <v>-644917968.235294</v>
      </c>
      <c r="H992" s="7" t="str">
        <f aca="false">IF(F992&gt;=0,A992,"")</f>
        <v/>
      </c>
      <c r="I992" s="7" t="n">
        <f aca="false">IF(F992&lt;0,A992,0)</f>
        <v>987</v>
      </c>
      <c r="J992" s="7" t="str">
        <f aca="false">IF(G992&gt;=0,A992,"")</f>
        <v/>
      </c>
      <c r="K992" s="7" t="n">
        <f aca="false">IF(G992&lt;0,A992,0)</f>
        <v>987</v>
      </c>
    </row>
    <row r="993" customFormat="false" ht="15" hidden="false" customHeight="false" outlineLevel="0" collapsed="false">
      <c r="A993" s="7" t="n">
        <f aca="false">A992+1</f>
        <v>988</v>
      </c>
      <c r="B993" s="7" t="n">
        <f aca="false">MAX('Giả định'!$B$9,ROUNDUP(A993/'Giả định'!$B$7,0)+'Giả định'!$B$8)</f>
        <v>100</v>
      </c>
      <c r="C993" s="25" t="n">
        <f aca="false">('Chi phí'!$C$76+'Chi phí'!$D$76*B993+'Chi phí'!$E$76*A993+'Giả định'!$B$15*('Chi phí'!$F$76+'Chi phí'!$G$76*B993+'Chi phí'!$H$76*A993))*(1+'Giả định'!$B$16)</f>
        <v>1012384120</v>
      </c>
      <c r="D993" s="25" t="n">
        <f aca="false">('Chi phí'!$C$77+'Chi phí'!$D$77*B993+'Chi phí'!$E$77*A993+'Giả định'!$B$15*('Chi phí'!$F$77+'Chi phí'!$G$77*B993+'Chi phí'!$H$77*A993))*(1+'Giả định'!$B$16)</f>
        <v>1155989120</v>
      </c>
      <c r="E993" s="25" t="n">
        <f aca="false">A993/'Giả định'!$B$19*'Giả định'!$B$20+A993*'Giả định'!$B$23+'Giả định'!$B$24</f>
        <v>367801680.672269</v>
      </c>
      <c r="F993" s="25" t="n">
        <f aca="false">E993-D993</f>
        <v>-788187439.327731</v>
      </c>
      <c r="G993" s="25" t="n">
        <f aca="false">E993-C993</f>
        <v>-644582439.327731</v>
      </c>
      <c r="H993" s="7" t="str">
        <f aca="false">IF(F993&gt;=0,A993,"")</f>
        <v/>
      </c>
      <c r="I993" s="7" t="n">
        <f aca="false">IF(F993&lt;0,A993,0)</f>
        <v>988</v>
      </c>
      <c r="J993" s="7" t="str">
        <f aca="false">IF(G993&gt;=0,A993,"")</f>
        <v/>
      </c>
      <c r="K993" s="7" t="n">
        <f aca="false">IF(G993&lt;0,A993,0)</f>
        <v>988</v>
      </c>
    </row>
    <row r="994" customFormat="false" ht="15" hidden="false" customHeight="false" outlineLevel="0" collapsed="false">
      <c r="A994" s="7" t="n">
        <f aca="false">A993+1</f>
        <v>989</v>
      </c>
      <c r="B994" s="7" t="n">
        <f aca="false">MAX('Giả định'!$B$9,ROUNDUP(A994/'Giả định'!$B$7,0)+'Giả định'!$B$8)</f>
        <v>100</v>
      </c>
      <c r="C994" s="25" t="n">
        <f aca="false">('Chi phí'!$C$76+'Chi phí'!$D$76*B994+'Chi phí'!$E$76*A994+'Giả định'!$B$15*('Chi phí'!$F$76+'Chi phí'!$G$76*B994+'Chi phí'!$H$76*A994))*(1+'Giả định'!$B$16)</f>
        <v>1012420860</v>
      </c>
      <c r="D994" s="25" t="n">
        <f aca="false">('Chi phí'!$C$77+'Chi phí'!$D$77*B994+'Chi phí'!$E$77*A994+'Giả định'!$B$15*('Chi phí'!$F$77+'Chi phí'!$G$77*B994+'Chi phí'!$H$77*A994))*(1+'Giả định'!$B$16)</f>
        <v>1156025860</v>
      </c>
      <c r="E994" s="25" t="n">
        <f aca="false">A994/'Giả định'!$B$19*'Giả định'!$B$20+A994*'Giả định'!$B$23+'Giả định'!$B$24</f>
        <v>368173949.579832</v>
      </c>
      <c r="F994" s="25" t="n">
        <f aca="false">E994-D994</f>
        <v>-787851910.420168</v>
      </c>
      <c r="G994" s="25" t="n">
        <f aca="false">E994-C994</f>
        <v>-644246910.420168</v>
      </c>
      <c r="H994" s="7" t="str">
        <f aca="false">IF(F994&gt;=0,A994,"")</f>
        <v/>
      </c>
      <c r="I994" s="7" t="n">
        <f aca="false">IF(F994&lt;0,A994,0)</f>
        <v>989</v>
      </c>
      <c r="J994" s="7" t="str">
        <f aca="false">IF(G994&gt;=0,A994,"")</f>
        <v/>
      </c>
      <c r="K994" s="7" t="n">
        <f aca="false">IF(G994&lt;0,A994,0)</f>
        <v>989</v>
      </c>
    </row>
    <row r="995" customFormat="false" ht="15" hidden="false" customHeight="false" outlineLevel="0" collapsed="false">
      <c r="A995" s="7" t="n">
        <f aca="false">A994+1</f>
        <v>990</v>
      </c>
      <c r="B995" s="7" t="n">
        <f aca="false">MAX('Giả định'!$B$9,ROUNDUP(A995/'Giả định'!$B$7,0)+'Giả định'!$B$8)</f>
        <v>100</v>
      </c>
      <c r="C995" s="25" t="n">
        <f aca="false">('Chi phí'!$C$76+'Chi phí'!$D$76*B995+'Chi phí'!$E$76*A995+'Giả định'!$B$15*('Chi phí'!$F$76+'Chi phí'!$G$76*B995+'Chi phí'!$H$76*A995))*(1+'Giả định'!$B$16)</f>
        <v>1012457600</v>
      </c>
      <c r="D995" s="25" t="n">
        <f aca="false">('Chi phí'!$C$77+'Chi phí'!$D$77*B995+'Chi phí'!$E$77*A995+'Giả định'!$B$15*('Chi phí'!$F$77+'Chi phí'!$G$77*B995+'Chi phí'!$H$77*A995))*(1+'Giả định'!$B$16)</f>
        <v>1156062600</v>
      </c>
      <c r="E995" s="25" t="n">
        <f aca="false">A995/'Giả định'!$B$19*'Giả định'!$B$20+A995*'Giả định'!$B$23+'Giả định'!$B$24</f>
        <v>368546218.487395</v>
      </c>
      <c r="F995" s="25" t="n">
        <f aca="false">E995-D995</f>
        <v>-787516381.512605</v>
      </c>
      <c r="G995" s="25" t="n">
        <f aca="false">E995-C995</f>
        <v>-643911381.512605</v>
      </c>
      <c r="H995" s="7" t="str">
        <f aca="false">IF(F995&gt;=0,A995,"")</f>
        <v/>
      </c>
      <c r="I995" s="7" t="n">
        <f aca="false">IF(F995&lt;0,A995,0)</f>
        <v>990</v>
      </c>
      <c r="J995" s="7" t="str">
        <f aca="false">IF(G995&gt;=0,A995,"")</f>
        <v/>
      </c>
      <c r="K995" s="7" t="n">
        <f aca="false">IF(G995&lt;0,A995,0)</f>
        <v>990</v>
      </c>
    </row>
    <row r="996" customFormat="false" ht="15" hidden="false" customHeight="false" outlineLevel="0" collapsed="false">
      <c r="A996" s="7" t="n">
        <f aca="false">A995+1</f>
        <v>991</v>
      </c>
      <c r="B996" s="7" t="n">
        <f aca="false">MAX('Giả định'!$B$9,ROUNDUP(A996/'Giả định'!$B$7,0)+'Giả định'!$B$8)</f>
        <v>101</v>
      </c>
      <c r="C996" s="25" t="n">
        <f aca="false">('Chi phí'!$C$76+'Chi phí'!$D$76*B996+'Chi phí'!$E$76*A996+'Giả định'!$B$15*('Chi phí'!$F$76+'Chi phí'!$G$76*B996+'Chi phí'!$H$76*A996))*(1+'Giả định'!$B$16)</f>
        <v>1021668340</v>
      </c>
      <c r="D996" s="25" t="n">
        <f aca="false">('Chi phí'!$C$77+'Chi phí'!$D$77*B996+'Chi phí'!$E$77*A996+'Giả định'!$B$15*('Chi phí'!$F$77+'Chi phí'!$G$77*B996+'Chi phí'!$H$77*A996))*(1+'Giả định'!$B$16)</f>
        <v>1165273340</v>
      </c>
      <c r="E996" s="25" t="n">
        <f aca="false">A996/'Giả định'!$B$19*'Giả định'!$B$20+A996*'Giả định'!$B$23+'Giả định'!$B$24</f>
        <v>368918487.394958</v>
      </c>
      <c r="F996" s="25" t="n">
        <f aca="false">E996-D996</f>
        <v>-796354852.605042</v>
      </c>
      <c r="G996" s="25" t="n">
        <f aca="false">E996-C996</f>
        <v>-652749852.605042</v>
      </c>
      <c r="H996" s="7" t="str">
        <f aca="false">IF(F996&gt;=0,A996,"")</f>
        <v/>
      </c>
      <c r="I996" s="7" t="n">
        <f aca="false">IF(F996&lt;0,A996,0)</f>
        <v>991</v>
      </c>
      <c r="J996" s="7" t="str">
        <f aca="false">IF(G996&gt;=0,A996,"")</f>
        <v/>
      </c>
      <c r="K996" s="7" t="n">
        <f aca="false">IF(G996&lt;0,A996,0)</f>
        <v>991</v>
      </c>
    </row>
    <row r="997" customFormat="false" ht="15" hidden="false" customHeight="false" outlineLevel="0" collapsed="false">
      <c r="A997" s="7" t="n">
        <f aca="false">A996+1</f>
        <v>992</v>
      </c>
      <c r="B997" s="7" t="n">
        <f aca="false">MAX('Giả định'!$B$9,ROUNDUP(A997/'Giả định'!$B$7,0)+'Giả định'!$B$8)</f>
        <v>101</v>
      </c>
      <c r="C997" s="25" t="n">
        <f aca="false">('Chi phí'!$C$76+'Chi phí'!$D$76*B997+'Chi phí'!$E$76*A997+'Giả định'!$B$15*('Chi phí'!$F$76+'Chi phí'!$G$76*B997+'Chi phí'!$H$76*A997))*(1+'Giả định'!$B$16)</f>
        <v>1021705080</v>
      </c>
      <c r="D997" s="25" t="n">
        <f aca="false">('Chi phí'!$C$77+'Chi phí'!$D$77*B997+'Chi phí'!$E$77*A997+'Giả định'!$B$15*('Chi phí'!$F$77+'Chi phí'!$G$77*B997+'Chi phí'!$H$77*A997))*(1+'Giả định'!$B$16)</f>
        <v>1165310080</v>
      </c>
      <c r="E997" s="25" t="n">
        <f aca="false">A997/'Giả định'!$B$19*'Giả định'!$B$20+A997*'Giả định'!$B$23+'Giả định'!$B$24</f>
        <v>369290756.302521</v>
      </c>
      <c r="F997" s="25" t="n">
        <f aca="false">E997-D997</f>
        <v>-796019323.697479</v>
      </c>
      <c r="G997" s="25" t="n">
        <f aca="false">E997-C997</f>
        <v>-652414323.697479</v>
      </c>
      <c r="H997" s="7" t="str">
        <f aca="false">IF(F997&gt;=0,A997,"")</f>
        <v/>
      </c>
      <c r="I997" s="7" t="n">
        <f aca="false">IF(F997&lt;0,A997,0)</f>
        <v>992</v>
      </c>
      <c r="J997" s="7" t="str">
        <f aca="false">IF(G997&gt;=0,A997,"")</f>
        <v/>
      </c>
      <c r="K997" s="7" t="n">
        <f aca="false">IF(G997&lt;0,A997,0)</f>
        <v>992</v>
      </c>
    </row>
    <row r="998" customFormat="false" ht="15" hidden="false" customHeight="false" outlineLevel="0" collapsed="false">
      <c r="A998" s="7" t="n">
        <f aca="false">A997+1</f>
        <v>993</v>
      </c>
      <c r="B998" s="7" t="n">
        <f aca="false">MAX('Giả định'!$B$9,ROUNDUP(A998/'Giả định'!$B$7,0)+'Giả định'!$B$8)</f>
        <v>101</v>
      </c>
      <c r="C998" s="25" t="n">
        <f aca="false">('Chi phí'!$C$76+'Chi phí'!$D$76*B998+'Chi phí'!$E$76*A998+'Giả định'!$B$15*('Chi phí'!$F$76+'Chi phí'!$G$76*B998+'Chi phí'!$H$76*A998))*(1+'Giả định'!$B$16)</f>
        <v>1021741820</v>
      </c>
      <c r="D998" s="25" t="n">
        <f aca="false">('Chi phí'!$C$77+'Chi phí'!$D$77*B998+'Chi phí'!$E$77*A998+'Giả định'!$B$15*('Chi phí'!$F$77+'Chi phí'!$G$77*B998+'Chi phí'!$H$77*A998))*(1+'Giả định'!$B$16)</f>
        <v>1165346820</v>
      </c>
      <c r="E998" s="25" t="n">
        <f aca="false">A998/'Giả định'!$B$19*'Giả định'!$B$20+A998*'Giả định'!$B$23+'Giả định'!$B$24</f>
        <v>369663025.210084</v>
      </c>
      <c r="F998" s="25" t="n">
        <f aca="false">E998-D998</f>
        <v>-795683794.789916</v>
      </c>
      <c r="G998" s="25" t="n">
        <f aca="false">E998-C998</f>
        <v>-652078794.789916</v>
      </c>
      <c r="H998" s="7" t="str">
        <f aca="false">IF(F998&gt;=0,A998,"")</f>
        <v/>
      </c>
      <c r="I998" s="7" t="n">
        <f aca="false">IF(F998&lt;0,A998,0)</f>
        <v>993</v>
      </c>
      <c r="J998" s="7" t="str">
        <f aca="false">IF(G998&gt;=0,A998,"")</f>
        <v/>
      </c>
      <c r="K998" s="7" t="n">
        <f aca="false">IF(G998&lt;0,A998,0)</f>
        <v>993</v>
      </c>
    </row>
    <row r="999" customFormat="false" ht="15" hidden="false" customHeight="false" outlineLevel="0" collapsed="false">
      <c r="A999" s="7" t="n">
        <f aca="false">A998+1</f>
        <v>994</v>
      </c>
      <c r="B999" s="7" t="n">
        <f aca="false">MAX('Giả định'!$B$9,ROUNDUP(A999/'Giả định'!$B$7,0)+'Giả định'!$B$8)</f>
        <v>101</v>
      </c>
      <c r="C999" s="25" t="n">
        <f aca="false">('Chi phí'!$C$76+'Chi phí'!$D$76*B999+'Chi phí'!$E$76*A999+'Giả định'!$B$15*('Chi phí'!$F$76+'Chi phí'!$G$76*B999+'Chi phí'!$H$76*A999))*(1+'Giả định'!$B$16)</f>
        <v>1021778560</v>
      </c>
      <c r="D999" s="25" t="n">
        <f aca="false">('Chi phí'!$C$77+'Chi phí'!$D$77*B999+'Chi phí'!$E$77*A999+'Giả định'!$B$15*('Chi phí'!$F$77+'Chi phí'!$G$77*B999+'Chi phí'!$H$77*A999))*(1+'Giả định'!$B$16)</f>
        <v>1165383560</v>
      </c>
      <c r="E999" s="25" t="n">
        <f aca="false">A999/'Giả định'!$B$19*'Giả định'!$B$20+A999*'Giả định'!$B$23+'Giả định'!$B$24</f>
        <v>370035294.117647</v>
      </c>
      <c r="F999" s="25" t="n">
        <f aca="false">E999-D999</f>
        <v>-795348265.882353</v>
      </c>
      <c r="G999" s="25" t="n">
        <f aca="false">E999-C999</f>
        <v>-651743265.882353</v>
      </c>
      <c r="H999" s="7" t="str">
        <f aca="false">IF(F999&gt;=0,A999,"")</f>
        <v/>
      </c>
      <c r="I999" s="7" t="n">
        <f aca="false">IF(F999&lt;0,A999,0)</f>
        <v>994</v>
      </c>
      <c r="J999" s="7" t="str">
        <f aca="false">IF(G999&gt;=0,A999,"")</f>
        <v/>
      </c>
      <c r="K999" s="7" t="n">
        <f aca="false">IF(G999&lt;0,A999,0)</f>
        <v>994</v>
      </c>
    </row>
    <row r="1000" customFormat="false" ht="15" hidden="false" customHeight="false" outlineLevel="0" collapsed="false">
      <c r="A1000" s="7" t="n">
        <f aca="false">A999+1</f>
        <v>995</v>
      </c>
      <c r="B1000" s="7" t="n">
        <f aca="false">MAX('Giả định'!$B$9,ROUNDUP(A1000/'Giả định'!$B$7,0)+'Giả định'!$B$8)</f>
        <v>101</v>
      </c>
      <c r="C1000" s="25" t="n">
        <f aca="false">('Chi phí'!$C$76+'Chi phí'!$D$76*B1000+'Chi phí'!$E$76*A1000+'Giả định'!$B$15*('Chi phí'!$F$76+'Chi phí'!$G$76*B1000+'Chi phí'!$H$76*A1000))*(1+'Giả định'!$B$16)</f>
        <v>1021815300</v>
      </c>
      <c r="D1000" s="25" t="n">
        <f aca="false">('Chi phí'!$C$77+'Chi phí'!$D$77*B1000+'Chi phí'!$E$77*A1000+'Giả định'!$B$15*('Chi phí'!$F$77+'Chi phí'!$G$77*B1000+'Chi phí'!$H$77*A1000))*(1+'Giả định'!$B$16)</f>
        <v>1165420300</v>
      </c>
      <c r="E1000" s="25" t="n">
        <f aca="false">A1000/'Giả định'!$B$19*'Giả định'!$B$20+A1000*'Giả định'!$B$23+'Giả định'!$B$24</f>
        <v>370407563.02521</v>
      </c>
      <c r="F1000" s="25" t="n">
        <f aca="false">E1000-D1000</f>
        <v>-795012736.97479</v>
      </c>
      <c r="G1000" s="25" t="n">
        <f aca="false">E1000-C1000</f>
        <v>-651407736.97479</v>
      </c>
      <c r="H1000" s="7" t="str">
        <f aca="false">IF(F1000&gt;=0,A1000,"")</f>
        <v/>
      </c>
      <c r="I1000" s="7" t="n">
        <f aca="false">IF(F1000&lt;0,A1000,0)</f>
        <v>995</v>
      </c>
      <c r="J1000" s="7" t="str">
        <f aca="false">IF(G1000&gt;=0,A1000,"")</f>
        <v/>
      </c>
      <c r="K1000" s="7" t="n">
        <f aca="false">IF(G1000&lt;0,A1000,0)</f>
        <v>995</v>
      </c>
    </row>
    <row r="1001" customFormat="false" ht="15" hidden="false" customHeight="false" outlineLevel="0" collapsed="false">
      <c r="A1001" s="7" t="n">
        <f aca="false">A1000+1</f>
        <v>996</v>
      </c>
      <c r="B1001" s="7" t="n">
        <f aca="false">MAX('Giả định'!$B$9,ROUNDUP(A1001/'Giả định'!$B$7,0)+'Giả định'!$B$8)</f>
        <v>101</v>
      </c>
      <c r="C1001" s="25" t="n">
        <f aca="false">('Chi phí'!$C$76+'Chi phí'!$D$76*B1001+'Chi phí'!$E$76*A1001+'Giả định'!$B$15*('Chi phí'!$F$76+'Chi phí'!$G$76*B1001+'Chi phí'!$H$76*A1001))*(1+'Giả định'!$B$16)</f>
        <v>1021852040</v>
      </c>
      <c r="D1001" s="25" t="n">
        <f aca="false">('Chi phí'!$C$77+'Chi phí'!$D$77*B1001+'Chi phí'!$E$77*A1001+'Giả định'!$B$15*('Chi phí'!$F$77+'Chi phí'!$G$77*B1001+'Chi phí'!$H$77*A1001))*(1+'Giả định'!$B$16)</f>
        <v>1165457040</v>
      </c>
      <c r="E1001" s="25" t="n">
        <f aca="false">A1001/'Giả định'!$B$19*'Giả định'!$B$20+A1001*'Giả định'!$B$23+'Giả định'!$B$24</f>
        <v>370779831.932773</v>
      </c>
      <c r="F1001" s="25" t="n">
        <f aca="false">E1001-D1001</f>
        <v>-794677208.067227</v>
      </c>
      <c r="G1001" s="25" t="n">
        <f aca="false">E1001-C1001</f>
        <v>-651072208.067227</v>
      </c>
      <c r="H1001" s="7" t="str">
        <f aca="false">IF(F1001&gt;=0,A1001,"")</f>
        <v/>
      </c>
      <c r="I1001" s="7" t="n">
        <f aca="false">IF(F1001&lt;0,A1001,0)</f>
        <v>996</v>
      </c>
      <c r="J1001" s="7" t="str">
        <f aca="false">IF(G1001&gt;=0,A1001,"")</f>
        <v/>
      </c>
      <c r="K1001" s="7" t="n">
        <f aca="false">IF(G1001&lt;0,A1001,0)</f>
        <v>996</v>
      </c>
    </row>
    <row r="1002" customFormat="false" ht="15" hidden="false" customHeight="false" outlineLevel="0" collapsed="false">
      <c r="A1002" s="7" t="n">
        <f aca="false">A1001+1</f>
        <v>997</v>
      </c>
      <c r="B1002" s="7" t="n">
        <f aca="false">MAX('Giả định'!$B$9,ROUNDUP(A1002/'Giả định'!$B$7,0)+'Giả định'!$B$8)</f>
        <v>101</v>
      </c>
      <c r="C1002" s="25" t="n">
        <f aca="false">('Chi phí'!$C$76+'Chi phí'!$D$76*B1002+'Chi phí'!$E$76*A1002+'Giả định'!$B$15*('Chi phí'!$F$76+'Chi phí'!$G$76*B1002+'Chi phí'!$H$76*A1002))*(1+'Giả định'!$B$16)</f>
        <v>1021888780</v>
      </c>
      <c r="D1002" s="25" t="n">
        <f aca="false">('Chi phí'!$C$77+'Chi phí'!$D$77*B1002+'Chi phí'!$E$77*A1002+'Giả định'!$B$15*('Chi phí'!$F$77+'Chi phí'!$G$77*B1002+'Chi phí'!$H$77*A1002))*(1+'Giả định'!$B$16)</f>
        <v>1165493780</v>
      </c>
      <c r="E1002" s="25" t="n">
        <f aca="false">A1002/'Giả định'!$B$19*'Giả định'!$B$20+A1002*'Giả định'!$B$23+'Giả định'!$B$24</f>
        <v>371152100.840336</v>
      </c>
      <c r="F1002" s="25" t="n">
        <f aca="false">E1002-D1002</f>
        <v>-794341679.159664</v>
      </c>
      <c r="G1002" s="25" t="n">
        <f aca="false">E1002-C1002</f>
        <v>-650736679.159664</v>
      </c>
      <c r="H1002" s="7" t="str">
        <f aca="false">IF(F1002&gt;=0,A1002,"")</f>
        <v/>
      </c>
      <c r="I1002" s="7" t="n">
        <f aca="false">IF(F1002&lt;0,A1002,0)</f>
        <v>997</v>
      </c>
      <c r="J1002" s="7" t="str">
        <f aca="false">IF(G1002&gt;=0,A1002,"")</f>
        <v/>
      </c>
      <c r="K1002" s="7" t="n">
        <f aca="false">IF(G1002&lt;0,A1002,0)</f>
        <v>997</v>
      </c>
    </row>
    <row r="1003" customFormat="false" ht="15" hidden="false" customHeight="false" outlineLevel="0" collapsed="false">
      <c r="A1003" s="7" t="n">
        <f aca="false">A1002+1</f>
        <v>998</v>
      </c>
      <c r="B1003" s="7" t="n">
        <f aca="false">MAX('Giả định'!$B$9,ROUNDUP(A1003/'Giả định'!$B$7,0)+'Giả định'!$B$8)</f>
        <v>101</v>
      </c>
      <c r="C1003" s="25" t="n">
        <f aca="false">('Chi phí'!$C$76+'Chi phí'!$D$76*B1003+'Chi phí'!$E$76*A1003+'Giả định'!$B$15*('Chi phí'!$F$76+'Chi phí'!$G$76*B1003+'Chi phí'!$H$76*A1003))*(1+'Giả định'!$B$16)</f>
        <v>1021925520</v>
      </c>
      <c r="D1003" s="25" t="n">
        <f aca="false">('Chi phí'!$C$77+'Chi phí'!$D$77*B1003+'Chi phí'!$E$77*A1003+'Giả định'!$B$15*('Chi phí'!$F$77+'Chi phí'!$G$77*B1003+'Chi phí'!$H$77*A1003))*(1+'Giả định'!$B$16)</f>
        <v>1165530520</v>
      </c>
      <c r="E1003" s="25" t="n">
        <f aca="false">A1003/'Giả định'!$B$19*'Giả định'!$B$20+A1003*'Giả định'!$B$23+'Giả định'!$B$24</f>
        <v>371524369.747899</v>
      </c>
      <c r="F1003" s="25" t="n">
        <f aca="false">E1003-D1003</f>
        <v>-794006150.252101</v>
      </c>
      <c r="G1003" s="25" t="n">
        <f aca="false">E1003-C1003</f>
        <v>-650401150.252101</v>
      </c>
      <c r="H1003" s="7" t="str">
        <f aca="false">IF(F1003&gt;=0,A1003,"")</f>
        <v/>
      </c>
      <c r="I1003" s="7" t="n">
        <f aca="false">IF(F1003&lt;0,A1003,0)</f>
        <v>998</v>
      </c>
      <c r="J1003" s="7" t="str">
        <f aca="false">IF(G1003&gt;=0,A1003,"")</f>
        <v/>
      </c>
      <c r="K1003" s="7" t="n">
        <f aca="false">IF(G1003&lt;0,A1003,0)</f>
        <v>998</v>
      </c>
    </row>
    <row r="1004" customFormat="false" ht="15" hidden="false" customHeight="false" outlineLevel="0" collapsed="false">
      <c r="A1004" s="7" t="n">
        <f aca="false">A1003+1</f>
        <v>999</v>
      </c>
      <c r="B1004" s="7" t="n">
        <f aca="false">MAX('Giả định'!$B$9,ROUNDUP(A1004/'Giả định'!$B$7,0)+'Giả định'!$B$8)</f>
        <v>101</v>
      </c>
      <c r="C1004" s="25" t="n">
        <f aca="false">('Chi phí'!$C$76+'Chi phí'!$D$76*B1004+'Chi phí'!$E$76*A1004+'Giả định'!$B$15*('Chi phí'!$F$76+'Chi phí'!$G$76*B1004+'Chi phí'!$H$76*A1004))*(1+'Giả định'!$B$16)</f>
        <v>1021962260</v>
      </c>
      <c r="D1004" s="25" t="n">
        <f aca="false">('Chi phí'!$C$77+'Chi phí'!$D$77*B1004+'Chi phí'!$E$77*A1004+'Giả định'!$B$15*('Chi phí'!$F$77+'Chi phí'!$G$77*B1004+'Chi phí'!$H$77*A1004))*(1+'Giả định'!$B$16)</f>
        <v>1165567260</v>
      </c>
      <c r="E1004" s="25" t="n">
        <f aca="false">A1004/'Giả định'!$B$19*'Giả định'!$B$20+A1004*'Giả định'!$B$23+'Giả định'!$B$24</f>
        <v>371896638.655462</v>
      </c>
      <c r="F1004" s="25" t="n">
        <f aca="false">E1004-D1004</f>
        <v>-793670621.344538</v>
      </c>
      <c r="G1004" s="25" t="n">
        <f aca="false">E1004-C1004</f>
        <v>-650065621.344538</v>
      </c>
      <c r="H1004" s="7" t="str">
        <f aca="false">IF(F1004&gt;=0,A1004,"")</f>
        <v/>
      </c>
      <c r="I1004" s="7" t="n">
        <f aca="false">IF(F1004&lt;0,A1004,0)</f>
        <v>999</v>
      </c>
      <c r="J1004" s="7" t="str">
        <f aca="false">IF(G1004&gt;=0,A1004,"")</f>
        <v/>
      </c>
      <c r="K1004" s="7" t="n">
        <f aca="false">IF(G1004&lt;0,A1004,0)</f>
        <v>999</v>
      </c>
    </row>
    <row r="1005" customFormat="false" ht="15" hidden="false" customHeight="false" outlineLevel="0" collapsed="false">
      <c r="A1005" s="7" t="n">
        <f aca="false">A1004+1</f>
        <v>1000</v>
      </c>
      <c r="B1005" s="7" t="n">
        <f aca="false">MAX('Giả định'!$B$9,ROUNDUP(A1005/'Giả định'!$B$7,0)+'Giả định'!$B$8)</f>
        <v>101</v>
      </c>
      <c r="C1005" s="25" t="n">
        <f aca="false">('Chi phí'!$C$76+'Chi phí'!$D$76*B1005+'Chi phí'!$E$76*A1005+'Giả định'!$B$15*('Chi phí'!$F$76+'Chi phí'!$G$76*B1005+'Chi phí'!$H$76*A1005))*(1+'Giả định'!$B$16)</f>
        <v>1021999000</v>
      </c>
      <c r="D1005" s="25" t="n">
        <f aca="false">('Chi phí'!$C$77+'Chi phí'!$D$77*B1005+'Chi phí'!$E$77*A1005+'Giả định'!$B$15*('Chi phí'!$F$77+'Chi phí'!$G$77*B1005+'Chi phí'!$H$77*A1005))*(1+'Giả định'!$B$16)</f>
        <v>1165604000</v>
      </c>
      <c r="E1005" s="25" t="n">
        <f aca="false">A1005/'Giả định'!$B$19*'Giả định'!$B$20+A1005*'Giả định'!$B$23+'Giả định'!$B$24</f>
        <v>372268907.563025</v>
      </c>
      <c r="F1005" s="25" t="n">
        <f aca="false">E1005-D1005</f>
        <v>-793335092.436975</v>
      </c>
      <c r="G1005" s="25" t="n">
        <f aca="false">E1005-C1005</f>
        <v>-649730092.436975</v>
      </c>
      <c r="H1005" s="7" t="str">
        <f aca="false">IF(F1005&gt;=0,A1005,"")</f>
        <v/>
      </c>
      <c r="I1005" s="7" t="n">
        <f aca="false">IF(F1005&lt;0,A1005,0)</f>
        <v>1000</v>
      </c>
      <c r="J1005" s="7" t="str">
        <f aca="false">IF(G1005&gt;=0,A1005,"")</f>
        <v/>
      </c>
      <c r="K1005" s="7" t="n">
        <f aca="false">IF(G1005&lt;0,A1005,0)</f>
        <v>1000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2026-10-23T21:40:59Z</dcterms:created>
  <dc:creator>openpyxl</dc:creator>
  <dc:description/>
  <dc:language>en-US</dc:language>
  <cp:lastModifiedBy/>
  <dcterms:modified xsi:type="dcterms:W3CDTF">2026-10-23T21:41:02Z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