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Mô phỏn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<sst xmlns="http://schemas.openxmlformats.org/spreadsheetml/2006/main" count="339" uniqueCount="236">
  <si>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</si>
  <si>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</si>
  <si>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</si>
  <si>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</si>
  <si>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</si>
  <si>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</si>
  <si>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</si>
  <si>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</si>
  <si>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Toàn bộ đơn giá và mức mừng là ƯỚC TÍNH THAM KHẢO của Claude cho tiệc tầm trung ở đô thị Việt Nam, chưa phải báo giá thật và chưa kiểm chứng với nhà hàng nào. Bạn cần thay bằng số thực tế trước khi ra quyết định.</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</si>
  <si>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</si>
  <si>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</si>
  <si>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</si>
  <si>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</si>
  <si>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</si>
  <si>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</si>
  <si>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</si>
  <si>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</si>
  <si>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</si>
  <si>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</si>
  <si>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</si>
  <si>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</si>
  <si>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</si>
  <si>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</si>
  <si>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</si>
  <si>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</si>
  <si>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</si>
  <si>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</si>
  <si>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</si>
  <si>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</si>
  <si>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</si>
  <si>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</si>
  <si>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</si>
  <si>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</si>
  <si>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</si>
  <si>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</si>
  <si>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</si>
  <si>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</si>
  <si>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</si>
  <si>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Thuế suất 8% hoặc 10% tùy thời điểm, nhập đúng theo hóa đơn nhà hàng. Hỏi rõ báo giá đã gồm VAT chưa.</t>
  </si>
  <si>
    <t xml:space="preserve">Phí phục vụ (service charge) trên các khoản đánh dấu VAT = 1</t>
  </si>
  <si>
    <t xml:space="preserve">Trung tâm tiệc cưới thường cộng thêm 5%.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</si>
  <si>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</si>
  <si>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</si>
  <si>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</si>
  <si>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</si>
  <si>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</si>
  <si>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</si>
  <si>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</si>
  <si>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</si>
  <si>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</si>
  <si>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</si>
  <si>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Giả định của Claude, thay bằng số bạn ước lượng từ sổ mừng đám cưới bạn đã đi. Đây là giả định quyết định lãi hay lỗ.</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</si>
  <si>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</si>
  <si>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</si>
  <si>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</si>
  <si>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Thường thấp hơn khách dự tiệc vì không ăn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</si>
  <si>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</si>
  <si>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</si>
  <si>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</si>
  <si>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</si>
  <si>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</si>
  <si>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</si>
  <si>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</si>
  <si>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</si>
  <si>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</si>
  <si>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</si>
  <si>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</si>
  <si>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</si>
  <si>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</si>
  <si>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</si>
  <si>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</si>
  <si>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</si>
  <si>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</si>
  <si>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</si>
  <si>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</si>
  <si>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</si>
  <si>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1. Tiệc cưới</t>
  </si>
  <si>
    <t xml:space="preserve">Thực đơn tiệc (món ăn)</t>
  </si>
  <si>
    <t xml:space="preserve">Theo bàn</t>
  </si>
  <si>
    <t xml:space="preserve">Mức tầm trung 3.5 đến 5 triệu/bàn 10 người. Biến số lớn nhất của ngân sách.</t>
  </si>
  <si>
    <t xml:space="preserve">Đồ uống (bia, nước ngọt, rượu)</t>
  </si>
  <si>
    <t xml:space="preserve">Nhiều nhà hàng tính riêng, khách đi nhiều thì uống nhiều hơn.</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</si>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</sst>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FC7CE"/>
        </patternFill>
      </fill>
    </dxf>
    <dxf>
      <font>
        <name val="Arial"/>
        <charset val="1"/>
        <family val="0"/>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vốn'!$A$58:$A$82</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vốn'!$B$58:$B$82</c:f>
              <c:numCache>
                <c:formatCode>#,##0;\(#,##0\);\-</c:formatCode>
                <c:ptCount val="25"/>
                <c:pt idx="0">
                  <c:v>0</c:v>
                </c:pt>
                <c:pt idx="1">
                  <c:v>18487394.9579832</c:v>
                </c:pt>
                <c:pt idx="2">
                  <c:v>36974789.9159664</c:v>
                </c:pt>
                <c:pt idx="3">
                  <c:v>55462184.8739496</c:v>
                </c:pt>
                <c:pt idx="4">
                  <c:v>73949579.8319328</c:v>
                </c:pt>
                <c:pt idx="5">
                  <c:v>92436974.789916</c:v>
                </c:pt>
                <c:pt idx="6">
                  <c:v>110924369.747899</c:v>
                </c:pt>
                <c:pt idx="7">
                  <c:v>129411764.705882</c:v>
                </c:pt>
                <c:pt idx="8">
                  <c:v>147899159.663866</c:v>
                </c:pt>
                <c:pt idx="9">
                  <c:v>166386554.621849</c:v>
                </c:pt>
                <c:pt idx="10">
                  <c:v>184873949.579832</c:v>
                </c:pt>
                <c:pt idx="11">
                  <c:v>203361344.537815</c:v>
                </c:pt>
                <c:pt idx="12">
                  <c:v>221848739.495798</c:v>
                </c:pt>
                <c:pt idx="13">
                  <c:v>240336134.453782</c:v>
                </c:pt>
                <c:pt idx="14">
                  <c:v>258823529.411765</c:v>
                </c:pt>
                <c:pt idx="15">
                  <c:v>277310924.369748</c:v>
                </c:pt>
                <c:pt idx="16">
                  <c:v>295798319.327731</c:v>
                </c:pt>
                <c:pt idx="17">
                  <c:v>314285714.285714</c:v>
                </c:pt>
                <c:pt idx="18">
                  <c:v>332773109.243698</c:v>
                </c:pt>
                <c:pt idx="19">
                  <c:v>351260504.201681</c:v>
                </c:pt>
                <c:pt idx="20">
                  <c:v>369747899.159664</c:v>
                </c:pt>
                <c:pt idx="21">
                  <c:v>388235294.117647</c:v>
                </c:pt>
                <c:pt idx="22">
                  <c:v>406722689.07563</c:v>
                </c:pt>
                <c:pt idx="23">
                  <c:v>425210084.033613</c:v>
                </c:pt>
                <c:pt idx="24">
                  <c:v>443697478.991597</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vốn'!$A$58:$A$82</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vốn'!$C$58:$C$82</c:f>
              <c:numCache>
                <c:formatCode>#,##0;\(#,##0\);\-</c:formatCode>
                <c:ptCount val="25"/>
                <c:pt idx="0">
                  <c:v>282194000</c:v>
                </c:pt>
                <c:pt idx="1">
                  <c:v>283112500</c:v>
                </c:pt>
                <c:pt idx="2">
                  <c:v>284031000</c:v>
                </c:pt>
                <c:pt idx="3">
                  <c:v>284949500</c:v>
                </c:pt>
                <c:pt idx="4">
                  <c:v>285868000</c:v>
                </c:pt>
                <c:pt idx="5">
                  <c:v>286786500</c:v>
                </c:pt>
                <c:pt idx="6">
                  <c:v>293090600</c:v>
                </c:pt>
                <c:pt idx="7">
                  <c:v>310165900</c:v>
                </c:pt>
                <c:pt idx="8">
                  <c:v>321855600</c:v>
                </c:pt>
                <c:pt idx="9">
                  <c:v>338930900</c:v>
                </c:pt>
                <c:pt idx="10">
                  <c:v>350620600</c:v>
                </c:pt>
                <c:pt idx="11">
                  <c:v>367695900</c:v>
                </c:pt>
                <c:pt idx="12">
                  <c:v>379385600</c:v>
                </c:pt>
                <c:pt idx="13">
                  <c:v>396460900</c:v>
                </c:pt>
                <c:pt idx="14">
                  <c:v>408150600</c:v>
                </c:pt>
                <c:pt idx="15">
                  <c:v>425225900</c:v>
                </c:pt>
                <c:pt idx="16">
                  <c:v>436915600</c:v>
                </c:pt>
                <c:pt idx="17">
                  <c:v>453990900</c:v>
                </c:pt>
                <c:pt idx="18">
                  <c:v>465680600</c:v>
                </c:pt>
                <c:pt idx="19">
                  <c:v>482755900</c:v>
                </c:pt>
                <c:pt idx="20">
                  <c:v>494445600</c:v>
                </c:pt>
                <c:pt idx="21">
                  <c:v>511520900</c:v>
                </c:pt>
                <c:pt idx="22">
                  <c:v>523210600</c:v>
                </c:pt>
                <c:pt idx="23">
                  <c:v>540285900</c:v>
                </c:pt>
                <c:pt idx="24">
                  <c:v>551975600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vốn'!$A$58:$A$82</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vốn'!$D$58:$D$82</c:f>
              <c:numCache>
                <c:formatCode>#,##0;\(#,##0\);\-</c:formatCode>
                <c:ptCount val="25"/>
                <c:pt idx="0">
                  <c:v>139249000</c:v>
                </c:pt>
                <c:pt idx="1">
                  <c:v>140167500</c:v>
                </c:pt>
                <c:pt idx="2">
                  <c:v>141086000</c:v>
                </c:pt>
                <c:pt idx="3">
                  <c:v>142004500</c:v>
                </c:pt>
                <c:pt idx="4">
                  <c:v>142923000</c:v>
                </c:pt>
                <c:pt idx="5">
                  <c:v>143841500</c:v>
                </c:pt>
                <c:pt idx="6">
                  <c:v>150145600</c:v>
                </c:pt>
                <c:pt idx="7">
                  <c:v>167220900</c:v>
                </c:pt>
                <c:pt idx="8">
                  <c:v>178910600</c:v>
                </c:pt>
                <c:pt idx="9">
                  <c:v>195985900</c:v>
                </c:pt>
                <c:pt idx="10">
                  <c:v>207675600</c:v>
                </c:pt>
                <c:pt idx="11">
                  <c:v>224750900</c:v>
                </c:pt>
                <c:pt idx="12">
                  <c:v>236440600</c:v>
                </c:pt>
                <c:pt idx="13">
                  <c:v>253515900</c:v>
                </c:pt>
                <c:pt idx="14">
                  <c:v>265205600</c:v>
                </c:pt>
                <c:pt idx="15">
                  <c:v>282280900</c:v>
                </c:pt>
                <c:pt idx="16">
                  <c:v>293970600</c:v>
                </c:pt>
                <c:pt idx="17">
                  <c:v>311045900</c:v>
                </c:pt>
                <c:pt idx="18">
                  <c:v>322735600</c:v>
                </c:pt>
                <c:pt idx="19">
                  <c:v>339810900</c:v>
                </c:pt>
                <c:pt idx="20">
                  <c:v>351500600</c:v>
                </c:pt>
                <c:pt idx="21">
                  <c:v>368575900</c:v>
                </c:pt>
                <c:pt idx="22">
                  <c:v>380265600</c:v>
                </c:pt>
                <c:pt idx="23">
                  <c:v>397340900</c:v>
                </c:pt>
                <c:pt idx="24">
                  <c:v>409030600</c:v>
                </c:pt>
              </c:numCache>
            </c:numRef>
          </c:yVal>
          <c:smooth val="0"/>
        </c:ser>
        <c:axId val="15822149"/>
        <c:axId val="41497628"/>
      </c:scatterChart>
      <c:valAx>
        <c:axId val="1582214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497628"/>
        <c:crosses val="autoZero"/>
        <c:crossBetween val="midCat"/>
      </c:valAx>
      <c:valAx>
        <c:axId val="4149762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822149"/>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30" hidden="false" customHeight="true" outlineLevel="0" collapsed="false">
      <c r="A6" s="2" t="s">
        <v>7</v>
      </c>
      <c r="B6" s="3" t="s">
        <v>8</v>
      </c>
    </row>
    <row r="7" customFormat="false" ht="42" hidden="false" customHeight="true" outlineLevel="0" collapsed="false">
      <c r="A7" s="2" t="s">
        <v>9</v>
      </c>
      <c r="B7" s="3" t="s">
        <v>10</v>
      </c>
    </row>
    <row r="8" customFormat="false" ht="111.75" hidden="false" customHeight="true" outlineLevel="0" collapsed="false">
      <c r="A8" s="2" t="s">
        <v>11</v>
      </c>
      <c r="B8" s="3" t="s">
        <v>12</v>
      </c>
    </row>
    <row r="9" customFormat="false" ht="126" hidden="false" customHeight="true" outlineLevel="0" collapsed="false">
      <c r="A9" s="2" t="s">
        <v>13</v>
      </c>
      <c r="B9"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15</v>
      </c>
    </row>
    <row r="2" customFormat="false" ht="15" hidden="false" customHeight="false" outlineLevel="0" collapsed="false">
      <c r="A2" s="4" t="s">
        <v>16</v>
      </c>
    </row>
    <row r="3" customFormat="false" ht="15" hidden="false" customHeight="false" outlineLevel="0" collapsed="false">
      <c r="A3" s="5" t="s">
        <v>17</v>
      </c>
      <c r="B3" s="6"/>
      <c r="C3" s="6"/>
      <c r="D3" s="6"/>
    </row>
    <row r="4" customFormat="false" ht="15" hidden="false" customHeight="false" outlineLevel="0" collapsed="false">
      <c r="A4" s="7" t="s">
        <v>18</v>
      </c>
      <c r="B4" s="8" t="n">
        <v>300</v>
      </c>
      <c r="C4" s="9" t="s">
        <v>19</v>
      </c>
      <c r="D4" s="10" t="s">
        <v>20</v>
      </c>
    </row>
    <row r="5" customFormat="false" ht="15" hidden="false" customHeight="false" outlineLevel="0" collapsed="false">
      <c r="A5" s="7" t="s">
        <v>21</v>
      </c>
      <c r="B5" s="11" t="n">
        <v>0.85</v>
      </c>
      <c r="C5" s="9" t="s">
        <v>22</v>
      </c>
      <c r="D5" s="10" t="s">
        <v>23</v>
      </c>
    </row>
    <row r="6" customFormat="false" ht="15" hidden="false" customHeight="false" outlineLevel="0" collapsed="false">
      <c r="A6" s="7" t="s">
        <v>24</v>
      </c>
      <c r="B6" s="12" t="n">
        <f aca="false">ROUND(B4*B5,0)</f>
        <v>255</v>
      </c>
      <c r="C6" s="9" t="s">
        <v>19</v>
      </c>
      <c r="D6" s="10" t="s">
        <v>25</v>
      </c>
    </row>
    <row r="7" customFormat="false" ht="15" hidden="false" customHeight="false" outlineLevel="0" collapsed="false">
      <c r="A7" s="7" t="s">
        <v>26</v>
      </c>
      <c r="B7" s="13" t="n">
        <v>10</v>
      </c>
      <c r="C7" s="9" t="s">
        <v>27</v>
      </c>
      <c r="D7" s="10" t="s">
        <v>28</v>
      </c>
    </row>
    <row r="8" customFormat="false" ht="15" hidden="false" customHeight="false" outlineLevel="0" collapsed="false">
      <c r="A8" s="7" t="s">
        <v>29</v>
      </c>
      <c r="B8" s="13" t="n">
        <v>1</v>
      </c>
      <c r="C8" s="9" t="s">
        <v>30</v>
      </c>
      <c r="D8" s="10" t="s">
        <v>31</v>
      </c>
    </row>
    <row r="9" customFormat="false" ht="15" hidden="false" customHeight="false" outlineLevel="0" collapsed="false">
      <c r="A9" s="7" t="s">
        <v>32</v>
      </c>
      <c r="B9" s="13" t="n">
        <v>15</v>
      </c>
      <c r="C9" s="9" t="s">
        <v>30</v>
      </c>
      <c r="D9" s="10" t="s">
        <v>33</v>
      </c>
    </row>
    <row r="10" customFormat="false" ht="15" hidden="false" customHeight="false" outlineLevel="0" collapsed="false">
      <c r="A10" s="7" t="s">
        <v>34</v>
      </c>
      <c r="B10" s="12" t="n">
        <f aca="false">MAX(B9,ROUNDUP(B6/B7,0)+B8)</f>
        <v>27</v>
      </c>
      <c r="C10" s="9" t="s">
        <v>30</v>
      </c>
      <c r="D10" s="10" t="s">
        <v>35</v>
      </c>
    </row>
    <row r="12" customFormat="false" ht="15" hidden="false" customHeight="false" outlineLevel="0" collapsed="false">
      <c r="A12" s="5" t="s">
        <v>36</v>
      </c>
      <c r="B12" s="6"/>
      <c r="C12" s="6"/>
      <c r="D12" s="6"/>
    </row>
    <row r="13" customFormat="false" ht="15" hidden="false" customHeight="false" outlineLevel="0" collapsed="false">
      <c r="A13" s="7" t="s">
        <v>37</v>
      </c>
      <c r="B13" s="11" t="n">
        <v>0.08</v>
      </c>
      <c r="C13" s="9" t="s">
        <v>22</v>
      </c>
      <c r="D13" s="10" t="s">
        <v>38</v>
      </c>
    </row>
    <row r="14" customFormat="false" ht="15" hidden="false" customHeight="false" outlineLevel="0" collapsed="false">
      <c r="A14" s="7" t="s">
        <v>39</v>
      </c>
      <c r="B14" s="11" t="n">
        <v>0.05</v>
      </c>
      <c r="C14" s="9" t="s">
        <v>22</v>
      </c>
      <c r="D14" s="10" t="s">
        <v>40</v>
      </c>
    </row>
    <row r="15" customFormat="false" ht="15" hidden="false" customHeight="false" outlineLevel="0" collapsed="false">
      <c r="A15" s="7" t="s">
        <v>41</v>
      </c>
      <c r="B15" s="14" t="n">
        <f aca="false">B13+B14</f>
        <v>0.13</v>
      </c>
      <c r="C15" s="9" t="s">
        <v>22</v>
      </c>
      <c r="D15" s="10" t="s">
        <v>42</v>
      </c>
    </row>
    <row r="16" customFormat="false" ht="15" hidden="false" customHeight="false" outlineLevel="0" collapsed="false">
      <c r="A16" s="7" t="s">
        <v>43</v>
      </c>
      <c r="B16" s="15" t="n">
        <v>0.1</v>
      </c>
      <c r="C16" s="9" t="s">
        <v>22</v>
      </c>
      <c r="D16" s="10" t="s">
        <v>44</v>
      </c>
    </row>
    <row r="18" customFormat="false" ht="15" hidden="false" customHeight="false" outlineLevel="0" collapsed="false">
      <c r="A18" s="5" t="s">
        <v>45</v>
      </c>
      <c r="B18" s="6"/>
      <c r="C18" s="6"/>
      <c r="D18" s="6"/>
    </row>
    <row r="19" customFormat="false" ht="15" hidden="false" customHeight="false" outlineLevel="0" collapsed="false">
      <c r="A19" s="7" t="s">
        <v>46</v>
      </c>
      <c r="B19" s="16" t="n">
        <v>1.4</v>
      </c>
      <c r="C19" s="9" t="s">
        <v>47</v>
      </c>
      <c r="D19" s="10" t="s">
        <v>48</v>
      </c>
    </row>
    <row r="20" customFormat="false" ht="15" hidden="false" customHeight="false" outlineLevel="0" collapsed="false">
      <c r="A20" s="7" t="s">
        <v>49</v>
      </c>
      <c r="B20" s="8" t="n">
        <v>1000000</v>
      </c>
      <c r="C20" s="9" t="s">
        <v>50</v>
      </c>
      <c r="D20" s="10" t="s">
        <v>51</v>
      </c>
    </row>
    <row r="21" customFormat="false" ht="22.35" hidden="false" customHeight="false" outlineLevel="0" collapsed="false">
      <c r="A21" s="7" t="s">
        <v>52</v>
      </c>
      <c r="B21" s="15" t="n">
        <v>0.4</v>
      </c>
      <c r="C21" s="9" t="s">
        <v>22</v>
      </c>
      <c r="D21" s="10" t="s">
        <v>53</v>
      </c>
    </row>
    <row r="22" customFormat="false" ht="15" hidden="false" customHeight="false" outlineLevel="0" collapsed="false">
      <c r="A22" s="7" t="s">
        <v>54</v>
      </c>
      <c r="B22" s="13" t="n">
        <v>500000</v>
      </c>
      <c r="C22" s="9" t="s">
        <v>50</v>
      </c>
      <c r="D22" s="10" t="s">
        <v>55</v>
      </c>
    </row>
    <row r="23" customFormat="false" ht="22.35" hidden="false" customHeight="false" outlineLevel="0" collapsed="false">
      <c r="A23" s="7" t="s">
        <v>56</v>
      </c>
      <c r="B23" s="12" t="n">
        <f aca="false">(1-B5)/B5*B21*B22/B19</f>
        <v>25210.0840336135</v>
      </c>
      <c r="C23" s="9" t="s">
        <v>57</v>
      </c>
      <c r="D23" s="10" t="s">
        <v>58</v>
      </c>
    </row>
    <row r="24" customFormat="false" ht="15" hidden="false" customHeight="false" outlineLevel="0" collapsed="false">
      <c r="A24" s="7" t="s">
        <v>59</v>
      </c>
      <c r="B24" s="13" t="n">
        <v>0</v>
      </c>
      <c r="C24" s="9" t="s">
        <v>50</v>
      </c>
      <c r="D24" s="10" t="s">
        <v>60</v>
      </c>
    </row>
    <row r="25" customFormat="false" ht="15" hidden="false" customHeight="false" outlineLevel="0" collapsed="false">
      <c r="A25" s="7" t="s">
        <v>61</v>
      </c>
      <c r="B25" s="12" t="n">
        <f aca="false">B20/B19+B23</f>
        <v>739495.798319328</v>
      </c>
      <c r="C25" s="9" t="s">
        <v>57</v>
      </c>
      <c r="D25" s="10"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s>
  <sheetData>
    <row r="1" customFormat="false" ht="17.35" hidden="false" customHeight="false" outlineLevel="0" collapsed="false">
      <c r="A1" s="1" t="s">
        <v>63</v>
      </c>
    </row>
    <row r="2" customFormat="false" ht="42" hidden="false" customHeight="true" outlineLevel="0" collapsed="false">
      <c r="A2" s="17" t="s">
        <v>64</v>
      </c>
      <c r="B2" s="17"/>
      <c r="C2" s="17"/>
      <c r="D2" s="17"/>
      <c r="E2" s="17"/>
      <c r="F2" s="17"/>
      <c r="G2" s="17"/>
      <c r="H2" s="17"/>
      <c r="I2" s="17"/>
      <c r="J2" s="17"/>
      <c r="K2" s="17"/>
    </row>
    <row r="4" customFormat="false" ht="43.5" hidden="false" customHeight="true" outlineLevel="0" collapsed="false">
      <c r="A4" s="18" t="s">
        <v>65</v>
      </c>
      <c r="B4" s="18" t="s">
        <v>66</v>
      </c>
      <c r="C4" s="18" t="s">
        <v>67</v>
      </c>
      <c r="D4" s="18" t="s">
        <v>68</v>
      </c>
      <c r="E4" s="18" t="s">
        <v>69</v>
      </c>
      <c r="F4" s="18" t="s">
        <v>70</v>
      </c>
      <c r="G4" s="18" t="s">
        <v>71</v>
      </c>
      <c r="H4" s="18" t="s">
        <v>72</v>
      </c>
      <c r="I4" s="18" t="s">
        <v>73</v>
      </c>
      <c r="J4" s="18" t="s">
        <v>74</v>
      </c>
      <c r="K4" s="18" t="s">
        <v>75</v>
      </c>
    </row>
    <row r="5" customFormat="false" ht="15" hidden="false" customHeight="false" outlineLevel="0" collapsed="false">
      <c r="A5" s="19" t="n">
        <v>1</v>
      </c>
      <c r="B5" s="20" t="s">
        <v>76</v>
      </c>
      <c r="C5" s="20" t="s">
        <v>77</v>
      </c>
      <c r="D5" s="20" t="s">
        <v>78</v>
      </c>
      <c r="E5" s="13" t="n">
        <v>3800000</v>
      </c>
      <c r="F5" s="21" t="n">
        <v>1</v>
      </c>
      <c r="G5" s="22" t="n">
        <v>1</v>
      </c>
      <c r="H5" s="22" t="n">
        <v>1</v>
      </c>
      <c r="I5" s="12" t="n">
        <f aca="false">H5*E5*F5*IF(D5="Cố định",1,IF(D5="Theo bàn",'Giả định'!$B$10,IF(D5="Theo khách",'Giả định'!$B$6,0)))</f>
        <v>102600000</v>
      </c>
      <c r="J5" s="12" t="n">
        <f aca="false">E5*F5*H5</f>
        <v>3800000</v>
      </c>
      <c r="K5" s="23" t="s">
        <v>79</v>
      </c>
    </row>
    <row r="6" customFormat="false" ht="15" hidden="false" customHeight="false" outlineLevel="0" collapsed="false">
      <c r="A6" s="19" t="n">
        <v>2</v>
      </c>
      <c r="B6" s="20" t="s">
        <v>76</v>
      </c>
      <c r="C6" s="20" t="s">
        <v>80</v>
      </c>
      <c r="D6" s="20" t="s">
        <v>78</v>
      </c>
      <c r="E6" s="13" t="n">
        <v>400000</v>
      </c>
      <c r="F6" s="21" t="n">
        <v>1</v>
      </c>
      <c r="G6" s="22" t="n">
        <v>1</v>
      </c>
      <c r="H6" s="22" t="n">
        <v>1</v>
      </c>
      <c r="I6" s="12" t="n">
        <f aca="false">H6*E6*F6*IF(D6="Cố định",1,IF(D6="Theo bàn",'Giả định'!$B$10,IF(D6="Theo khách",'Giả định'!$B$6,0)))</f>
        <v>10800000</v>
      </c>
      <c r="J6" s="12" t="n">
        <f aca="false">E6*F6*H6</f>
        <v>400000</v>
      </c>
      <c r="K6" s="23" t="s">
        <v>81</v>
      </c>
    </row>
    <row r="7" customFormat="false" ht="15" hidden="false" customHeight="false" outlineLevel="0" collapsed="false">
      <c r="A7" s="19" t="n">
        <v>3</v>
      </c>
      <c r="B7" s="20" t="s">
        <v>76</v>
      </c>
      <c r="C7" s="20" t="s">
        <v>82</v>
      </c>
      <c r="D7" s="20" t="s">
        <v>78</v>
      </c>
      <c r="E7" s="13" t="n">
        <v>150000</v>
      </c>
      <c r="F7" s="21" t="n">
        <v>1</v>
      </c>
      <c r="G7" s="22" t="n">
        <v>0</v>
      </c>
      <c r="H7" s="22" t="n">
        <v>1</v>
      </c>
      <c r="I7" s="12" t="n">
        <f aca="false">H7*E7*F7*IF(D7="Cố định",1,IF(D7="Theo bàn",'Giả định'!$B$10,IF(D7="Theo khách",'Giả định'!$B$6,0)))</f>
        <v>4050000</v>
      </c>
      <c r="J7" s="12" t="n">
        <f aca="false">E7*F7*H7</f>
        <v>150000</v>
      </c>
      <c r="K7" s="23" t="s">
        <v>83</v>
      </c>
    </row>
    <row r="8" customFormat="false" ht="15" hidden="false" customHeight="false" outlineLevel="0" collapsed="false">
      <c r="A8" s="19" t="n">
        <v>4</v>
      </c>
      <c r="B8" s="20" t="s">
        <v>76</v>
      </c>
      <c r="C8" s="20" t="s">
        <v>84</v>
      </c>
      <c r="D8" s="20" t="s">
        <v>85</v>
      </c>
      <c r="E8" s="13" t="n">
        <v>5000000</v>
      </c>
      <c r="F8" s="21" t="n">
        <v>1</v>
      </c>
      <c r="G8" s="22" t="n">
        <v>1</v>
      </c>
      <c r="H8" s="22" t="n">
        <v>1</v>
      </c>
      <c r="I8" s="12" t="n">
        <f aca="false">H8*E8*F8*IF(D8="Cố định",1,IF(D8="Theo bàn",'Giả định'!$B$10,IF(D8="Theo khách",'Giả định'!$B$6,0)))</f>
        <v>5000000</v>
      </c>
      <c r="J8" s="12" t="n">
        <f aca="false">E8*F8*H8</f>
        <v>5000000</v>
      </c>
      <c r="K8" s="23" t="s">
        <v>86</v>
      </c>
    </row>
    <row r="9" customFormat="false" ht="22.35" hidden="false" customHeight="false" outlineLevel="0" collapsed="false">
      <c r="A9" s="19" t="n">
        <v>5</v>
      </c>
      <c r="B9" s="20" t="s">
        <v>76</v>
      </c>
      <c r="C9" s="20" t="s">
        <v>87</v>
      </c>
      <c r="D9" s="20" t="s">
        <v>85</v>
      </c>
      <c r="E9" s="13" t="n">
        <v>20000000</v>
      </c>
      <c r="F9" s="21" t="n">
        <v>1</v>
      </c>
      <c r="G9" s="22" t="n">
        <v>0</v>
      </c>
      <c r="H9" s="22" t="n">
        <v>1</v>
      </c>
      <c r="I9" s="12" t="n">
        <f aca="false">H9*E9*F9*IF(D9="Cố định",1,IF(D9="Theo bàn",'Giả định'!$B$10,IF(D9="Theo khách",'Giả định'!$B$6,0)))</f>
        <v>20000000</v>
      </c>
      <c r="J9" s="12" t="n">
        <f aca="false">E9*F9*H9</f>
        <v>20000000</v>
      </c>
      <c r="K9" s="23" t="s">
        <v>88</v>
      </c>
    </row>
    <row r="10" customFormat="false" ht="15" hidden="false" customHeight="false" outlineLevel="0" collapsed="false">
      <c r="A10" s="19" t="n">
        <v>6</v>
      </c>
      <c r="B10" s="20" t="s">
        <v>76</v>
      </c>
      <c r="C10" s="20" t="s">
        <v>89</v>
      </c>
      <c r="D10" s="20" t="s">
        <v>85</v>
      </c>
      <c r="E10" s="13" t="n">
        <v>10000000</v>
      </c>
      <c r="F10" s="21" t="n">
        <v>1</v>
      </c>
      <c r="G10" s="22" t="n">
        <v>0</v>
      </c>
      <c r="H10" s="22" t="n">
        <v>1</v>
      </c>
      <c r="I10" s="12" t="n">
        <f aca="false">H10*E10*F10*IF(D10="Cố định",1,IF(D10="Theo bàn",'Giả định'!$B$10,IF(D10="Theo khách",'Giả định'!$B$6,0)))</f>
        <v>10000000</v>
      </c>
      <c r="J10" s="12" t="n">
        <f aca="false">E10*F10*H10</f>
        <v>10000000</v>
      </c>
      <c r="K10" s="23"/>
    </row>
    <row r="11" customFormat="false" ht="15" hidden="false" customHeight="false" outlineLevel="0" collapsed="false">
      <c r="A11" s="19" t="n">
        <v>7</v>
      </c>
      <c r="B11" s="20" t="s">
        <v>76</v>
      </c>
      <c r="C11" s="20" t="s">
        <v>90</v>
      </c>
      <c r="D11" s="20" t="s">
        <v>85</v>
      </c>
      <c r="E11" s="13" t="n">
        <v>5000000</v>
      </c>
      <c r="F11" s="21" t="n">
        <v>1</v>
      </c>
      <c r="G11" s="22" t="n">
        <v>0</v>
      </c>
      <c r="H11" s="22" t="n">
        <v>1</v>
      </c>
      <c r="I11" s="12" t="n">
        <f aca="false">H11*E11*F11*IF(D11="Cố định",1,IF(D11="Theo bàn",'Giả định'!$B$10,IF(D11="Theo khách",'Giả định'!$B$6,0)))</f>
        <v>5000000</v>
      </c>
      <c r="J11" s="12" t="n">
        <f aca="false">E11*F11*H11</f>
        <v>5000000</v>
      </c>
      <c r="K11" s="23" t="s">
        <v>91</v>
      </c>
    </row>
    <row r="12" customFormat="false" ht="15" hidden="false" customHeight="false" outlineLevel="0" collapsed="false">
      <c r="A12" s="19" t="n">
        <v>8</v>
      </c>
      <c r="B12" s="20" t="s">
        <v>76</v>
      </c>
      <c r="C12" s="20" t="s">
        <v>92</v>
      </c>
      <c r="D12" s="20" t="s">
        <v>85</v>
      </c>
      <c r="E12" s="13" t="n">
        <v>4000000</v>
      </c>
      <c r="F12" s="21" t="n">
        <v>1</v>
      </c>
      <c r="G12" s="22" t="n">
        <v>0</v>
      </c>
      <c r="H12" s="22" t="n">
        <v>1</v>
      </c>
      <c r="I12" s="12" t="n">
        <f aca="false">H12*E12*F12*IF(D12="Cố định",1,IF(D12="Theo bàn",'Giả định'!$B$10,IF(D12="Theo khách",'Giả định'!$B$6,0)))</f>
        <v>4000000</v>
      </c>
      <c r="J12" s="12" t="n">
        <f aca="false">E12*F12*H12</f>
        <v>4000000</v>
      </c>
      <c r="K12" s="23"/>
    </row>
    <row r="13" customFormat="false" ht="15" hidden="false" customHeight="false" outlineLevel="0" collapsed="false">
      <c r="A13" s="19" t="n">
        <v>9</v>
      </c>
      <c r="B13" s="20" t="s">
        <v>76</v>
      </c>
      <c r="C13" s="20" t="s">
        <v>93</v>
      </c>
      <c r="D13" s="20" t="s">
        <v>85</v>
      </c>
      <c r="E13" s="13" t="n">
        <v>3000000</v>
      </c>
      <c r="F13" s="21" t="n">
        <v>1</v>
      </c>
      <c r="G13" s="22" t="n">
        <v>0</v>
      </c>
      <c r="H13" s="22" t="n">
        <v>1</v>
      </c>
      <c r="I13" s="12" t="n">
        <f aca="false">H13*E13*F13*IF(D13="Cố định",1,IF(D13="Theo bàn",'Giả định'!$B$10,IF(D13="Theo khách",'Giả định'!$B$6,0)))</f>
        <v>3000000</v>
      </c>
      <c r="J13" s="12" t="n">
        <f aca="false">E13*F13*H13</f>
        <v>3000000</v>
      </c>
      <c r="K13" s="23"/>
    </row>
    <row r="14" customFormat="false" ht="15" hidden="false" customHeight="false" outlineLevel="0" collapsed="false">
      <c r="A14" s="19" t="n">
        <v>10</v>
      </c>
      <c r="B14" s="20" t="s">
        <v>76</v>
      </c>
      <c r="C14" s="20" t="s">
        <v>94</v>
      </c>
      <c r="D14" s="20" t="s">
        <v>85</v>
      </c>
      <c r="E14" s="13" t="n">
        <v>500000</v>
      </c>
      <c r="F14" s="21" t="n">
        <v>1</v>
      </c>
      <c r="G14" s="22" t="n">
        <v>0</v>
      </c>
      <c r="H14" s="22" t="n">
        <v>1</v>
      </c>
      <c r="I14" s="12" t="n">
        <f aca="false">H14*E14*F14*IF(D14="Cố định",1,IF(D14="Theo bàn",'Giả định'!$B$10,IF(D14="Theo khách",'Giả định'!$B$6,0)))</f>
        <v>500000</v>
      </c>
      <c r="J14" s="12" t="n">
        <f aca="false">E14*F14*H14</f>
        <v>500000</v>
      </c>
      <c r="K14" s="23"/>
    </row>
    <row r="15" customFormat="false" ht="15" hidden="false" customHeight="false" outlineLevel="0" collapsed="false">
      <c r="A15" s="19" t="n">
        <v>11</v>
      </c>
      <c r="B15" s="20" t="s">
        <v>76</v>
      </c>
      <c r="C15" s="20" t="s">
        <v>95</v>
      </c>
      <c r="D15" s="20" t="s">
        <v>85</v>
      </c>
      <c r="E15" s="13" t="n">
        <v>3000000</v>
      </c>
      <c r="F15" s="21" t="n">
        <v>1</v>
      </c>
      <c r="G15" s="22" t="n">
        <v>0</v>
      </c>
      <c r="H15" s="22" t="n">
        <v>1</v>
      </c>
      <c r="I15" s="12" t="n">
        <f aca="false">H15*E15*F15*IF(D15="Cố định",1,IF(D15="Theo bàn",'Giả định'!$B$10,IF(D15="Theo khách",'Giả định'!$B$6,0)))</f>
        <v>3000000</v>
      </c>
      <c r="J15" s="12" t="n">
        <f aca="false">E15*F15*H15</f>
        <v>3000000</v>
      </c>
      <c r="K15" s="23" t="s">
        <v>96</v>
      </c>
    </row>
    <row r="16" customFormat="false" ht="15" hidden="false" customHeight="false" outlineLevel="0" collapsed="false">
      <c r="A16" s="19" t="n">
        <v>12</v>
      </c>
      <c r="B16" s="20" t="s">
        <v>76</v>
      </c>
      <c r="C16" s="20" t="s">
        <v>97</v>
      </c>
      <c r="D16" s="20" t="s">
        <v>85</v>
      </c>
      <c r="E16" s="13" t="n">
        <v>2000000</v>
      </c>
      <c r="F16" s="21" t="n">
        <v>1</v>
      </c>
      <c r="G16" s="22" t="n">
        <v>0</v>
      </c>
      <c r="H16" s="22" t="n">
        <v>1</v>
      </c>
      <c r="I16" s="12" t="n">
        <f aca="false">H16*E16*F16*IF(D16="Cố định",1,IF(D16="Theo bàn",'Giả định'!$B$10,IF(D16="Theo khách",'Giả định'!$B$6,0)))</f>
        <v>2000000</v>
      </c>
      <c r="J16" s="12" t="n">
        <f aca="false">E16*F16*H16</f>
        <v>2000000</v>
      </c>
      <c r="K16" s="23"/>
    </row>
    <row r="17" customFormat="false" ht="15" hidden="false" customHeight="false" outlineLevel="0" collapsed="false">
      <c r="A17" s="19" t="n">
        <v>13</v>
      </c>
      <c r="B17" s="20" t="s">
        <v>76</v>
      </c>
      <c r="C17" s="20" t="s">
        <v>98</v>
      </c>
      <c r="D17" s="20" t="s">
        <v>99</v>
      </c>
      <c r="E17" s="13" t="n">
        <v>25000</v>
      </c>
      <c r="F17" s="21" t="n">
        <v>1</v>
      </c>
      <c r="G17" s="22" t="n">
        <v>0</v>
      </c>
      <c r="H17" s="22" t="n">
        <v>1</v>
      </c>
      <c r="I17" s="12" t="n">
        <f aca="false">H17*E17*F17*IF(D17="Cố định",1,IF(D17="Theo bàn",'Giả định'!$B$10,IF(D17="Theo khách",'Giả định'!$B$6,0)))</f>
        <v>6375000</v>
      </c>
      <c r="J17" s="12" t="n">
        <f aca="false">E17*F17*H17</f>
        <v>25000</v>
      </c>
      <c r="K17" s="23" t="s">
        <v>100</v>
      </c>
    </row>
    <row r="18" customFormat="false" ht="22.35" hidden="false" customHeight="false" outlineLevel="0" collapsed="false">
      <c r="A18" s="19" t="n">
        <v>14</v>
      </c>
      <c r="B18" s="20" t="s">
        <v>76</v>
      </c>
      <c r="C18" s="20" t="s">
        <v>101</v>
      </c>
      <c r="D18" s="20" t="s">
        <v>99</v>
      </c>
      <c r="E18" s="13" t="n">
        <v>12000</v>
      </c>
      <c r="F18" s="21" t="n">
        <v>0.7</v>
      </c>
      <c r="G18" s="22" t="n">
        <v>0</v>
      </c>
      <c r="H18" s="22" t="n">
        <v>1</v>
      </c>
      <c r="I18" s="12" t="n">
        <f aca="false">H18*E18*F18*IF(D18="Cố định",1,IF(D18="Theo bàn",'Giả định'!$B$10,IF(D18="Theo khách",'Giả định'!$B$6,0)))</f>
        <v>2142000</v>
      </c>
      <c r="J18" s="12" t="n">
        <f aca="false">E18*F18*H18</f>
        <v>8400</v>
      </c>
      <c r="K18" s="23" t="s">
        <v>102</v>
      </c>
    </row>
    <row r="19" customFormat="false" ht="15" hidden="false" customHeight="false" outlineLevel="0" collapsed="false">
      <c r="A19" s="19" t="n">
        <v>15</v>
      </c>
      <c r="B19" s="20" t="s">
        <v>103</v>
      </c>
      <c r="C19" s="20" t="s">
        <v>104</v>
      </c>
      <c r="D19" s="20" t="s">
        <v>85</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105</v>
      </c>
    </row>
    <row r="20" customFormat="false" ht="15" hidden="false" customHeight="false" outlineLevel="0" collapsed="false">
      <c r="A20" s="19" t="n">
        <v>16</v>
      </c>
      <c r="B20" s="20" t="s">
        <v>103</v>
      </c>
      <c r="C20" s="20" t="s">
        <v>106</v>
      </c>
      <c r="D20" s="20" t="s">
        <v>85</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107</v>
      </c>
    </row>
    <row r="21" customFormat="false" ht="15" hidden="false" customHeight="false" outlineLevel="0" collapsed="false">
      <c r="A21" s="19" t="n">
        <v>17</v>
      </c>
      <c r="B21" s="20" t="s">
        <v>103</v>
      </c>
      <c r="C21" s="20" t="s">
        <v>108</v>
      </c>
      <c r="D21" s="20" t="s">
        <v>85</v>
      </c>
      <c r="E21" s="13" t="n">
        <v>5000000</v>
      </c>
      <c r="F21" s="21" t="n">
        <v>1</v>
      </c>
      <c r="G21" s="22" t="n">
        <v>0</v>
      </c>
      <c r="H21" s="22" t="n">
        <v>1</v>
      </c>
      <c r="I21" s="12" t="n">
        <f aca="false">H21*E21*F21*IF(D21="Cố định",1,IF(D21="Theo bàn",'Giả định'!$B$10,IF(D21="Theo khách",'Giả định'!$B$6,0)))</f>
        <v>5000000</v>
      </c>
      <c r="J21" s="12" t="n">
        <f aca="false">E21*F21*H21</f>
        <v>5000000</v>
      </c>
      <c r="K21" s="23"/>
    </row>
    <row r="22" customFormat="false" ht="15" hidden="false" customHeight="false" outlineLevel="0" collapsed="false">
      <c r="A22" s="19" t="n">
        <v>18</v>
      </c>
      <c r="B22" s="20" t="s">
        <v>103</v>
      </c>
      <c r="C22" s="20" t="s">
        <v>109</v>
      </c>
      <c r="D22" s="20" t="s">
        <v>85</v>
      </c>
      <c r="E22" s="13" t="n">
        <v>4000000</v>
      </c>
      <c r="F22" s="21" t="n">
        <v>1</v>
      </c>
      <c r="G22" s="22" t="n">
        <v>0</v>
      </c>
      <c r="H22" s="22" t="n">
        <v>1</v>
      </c>
      <c r="I22" s="12" t="n">
        <f aca="false">H22*E22*F22*IF(D22="Cố định",1,IF(D22="Theo bàn",'Giả định'!$B$10,IF(D22="Theo khách",'Giả định'!$B$6,0)))</f>
        <v>4000000</v>
      </c>
      <c r="J22" s="12" t="n">
        <f aca="false">E22*F22*H22</f>
        <v>4000000</v>
      </c>
      <c r="K22" s="23"/>
    </row>
    <row r="23" customFormat="false" ht="15" hidden="false" customHeight="false" outlineLevel="0" collapsed="false">
      <c r="A23" s="19" t="n">
        <v>19</v>
      </c>
      <c r="B23" s="20" t="s">
        <v>103</v>
      </c>
      <c r="C23" s="20" t="s">
        <v>110</v>
      </c>
      <c r="D23" s="20" t="s">
        <v>85</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111</v>
      </c>
    </row>
    <row r="24" customFormat="false" ht="15" hidden="false" customHeight="false" outlineLevel="0" collapsed="false">
      <c r="A24" s="19" t="n">
        <v>20</v>
      </c>
      <c r="B24" s="20" t="s">
        <v>103</v>
      </c>
      <c r="C24" s="20" t="s">
        <v>112</v>
      </c>
      <c r="D24" s="20" t="s">
        <v>85</v>
      </c>
      <c r="E24" s="13" t="n">
        <v>4000000</v>
      </c>
      <c r="F24" s="21" t="n">
        <v>1</v>
      </c>
      <c r="G24" s="22" t="n">
        <v>0</v>
      </c>
      <c r="H24" s="22" t="n">
        <v>1</v>
      </c>
      <c r="I24" s="12" t="n">
        <f aca="false">H24*E24*F24*IF(D24="Cố định",1,IF(D24="Theo bàn",'Giả định'!$B$10,IF(D24="Theo khách",'Giả định'!$B$6,0)))</f>
        <v>4000000</v>
      </c>
      <c r="J24" s="12" t="n">
        <f aca="false">E24*F24*H24</f>
        <v>4000000</v>
      </c>
      <c r="K24" s="23"/>
    </row>
    <row r="25" customFormat="false" ht="15" hidden="false" customHeight="false" outlineLevel="0" collapsed="false">
      <c r="A25" s="19" t="n">
        <v>21</v>
      </c>
      <c r="B25" s="20" t="s">
        <v>113</v>
      </c>
      <c r="C25" s="20" t="s">
        <v>114</v>
      </c>
      <c r="D25" s="20" t="s">
        <v>85</v>
      </c>
      <c r="E25" s="13" t="n">
        <v>12000000</v>
      </c>
      <c r="F25" s="21" t="n">
        <v>1</v>
      </c>
      <c r="G25" s="22" t="n">
        <v>0</v>
      </c>
      <c r="H25" s="22" t="n">
        <v>1</v>
      </c>
      <c r="I25" s="12" t="n">
        <f aca="false">H25*E25*F25*IF(D25="Cố định",1,IF(D25="Theo bàn",'Giả định'!$B$10,IF(D25="Theo khách",'Giả định'!$B$6,0)))</f>
        <v>12000000</v>
      </c>
      <c r="J25" s="12" t="n">
        <f aca="false">E25*F25*H25</f>
        <v>12000000</v>
      </c>
      <c r="K25" s="23"/>
    </row>
    <row r="26" customFormat="false" ht="15" hidden="false" customHeight="false" outlineLevel="0" collapsed="false">
      <c r="A26" s="19" t="n">
        <v>22</v>
      </c>
      <c r="B26" s="20" t="s">
        <v>113</v>
      </c>
      <c r="C26" s="20" t="s">
        <v>115</v>
      </c>
      <c r="D26" s="20" t="s">
        <v>85</v>
      </c>
      <c r="E26" s="13" t="n">
        <v>4000000</v>
      </c>
      <c r="F26" s="21" t="n">
        <v>1</v>
      </c>
      <c r="G26" s="22" t="n">
        <v>0</v>
      </c>
      <c r="H26" s="22" t="n">
        <v>1</v>
      </c>
      <c r="I26" s="12" t="n">
        <f aca="false">H26*E26*F26*IF(D26="Cố định",1,IF(D26="Theo bàn",'Giả định'!$B$10,IF(D26="Theo khách",'Giả định'!$B$6,0)))</f>
        <v>4000000</v>
      </c>
      <c r="J26" s="12" t="n">
        <f aca="false">E26*F26*H26</f>
        <v>4000000</v>
      </c>
      <c r="K26" s="23"/>
    </row>
    <row r="27" customFormat="false" ht="15" hidden="false" customHeight="false" outlineLevel="0" collapsed="false">
      <c r="A27" s="19" t="n">
        <v>23</v>
      </c>
      <c r="B27" s="20" t="s">
        <v>113</v>
      </c>
      <c r="C27" s="20" t="s">
        <v>116</v>
      </c>
      <c r="D27" s="20" t="s">
        <v>85</v>
      </c>
      <c r="E27" s="13" t="n">
        <v>3000000</v>
      </c>
      <c r="F27" s="21" t="n">
        <v>1</v>
      </c>
      <c r="G27" s="22" t="n">
        <v>0</v>
      </c>
      <c r="H27" s="22" t="n">
        <v>1</v>
      </c>
      <c r="I27" s="12" t="n">
        <f aca="false">H27*E27*F27*IF(D27="Cố định",1,IF(D27="Theo bàn",'Giả định'!$B$10,IF(D27="Theo khách",'Giả định'!$B$6,0)))</f>
        <v>3000000</v>
      </c>
      <c r="J27" s="12" t="n">
        <f aca="false">E27*F27*H27</f>
        <v>3000000</v>
      </c>
      <c r="K27" s="23"/>
    </row>
    <row r="28" customFormat="false" ht="15" hidden="false" customHeight="false" outlineLevel="0" collapsed="false">
      <c r="A28" s="19" t="n">
        <v>24</v>
      </c>
      <c r="B28" s="20" t="s">
        <v>113</v>
      </c>
      <c r="C28" s="20" t="s">
        <v>117</v>
      </c>
      <c r="D28" s="20" t="s">
        <v>85</v>
      </c>
      <c r="E28" s="13" t="n">
        <v>6000000</v>
      </c>
      <c r="F28" s="21" t="n">
        <v>1</v>
      </c>
      <c r="G28" s="22" t="n">
        <v>0</v>
      </c>
      <c r="H28" s="22" t="n">
        <v>1</v>
      </c>
      <c r="I28" s="12" t="n">
        <f aca="false">H28*E28*F28*IF(D28="Cố định",1,IF(D28="Theo bàn",'Giả định'!$B$10,IF(D28="Theo khách",'Giả định'!$B$6,0)))</f>
        <v>6000000</v>
      </c>
      <c r="J28" s="12" t="n">
        <f aca="false">E28*F28*H28</f>
        <v>6000000</v>
      </c>
      <c r="K28" s="23"/>
    </row>
    <row r="29" customFormat="false" ht="15" hidden="false" customHeight="false" outlineLevel="0" collapsed="false">
      <c r="A29" s="19" t="n">
        <v>25</v>
      </c>
      <c r="B29" s="20" t="s">
        <v>113</v>
      </c>
      <c r="C29" s="20" t="s">
        <v>118</v>
      </c>
      <c r="D29" s="20" t="s">
        <v>85</v>
      </c>
      <c r="E29" s="13" t="n">
        <v>2500000</v>
      </c>
      <c r="F29" s="21" t="n">
        <v>1</v>
      </c>
      <c r="G29" s="22" t="n">
        <v>0</v>
      </c>
      <c r="H29" s="22" t="n">
        <v>1</v>
      </c>
      <c r="I29" s="12" t="n">
        <f aca="false">H29*E29*F29*IF(D29="Cố định",1,IF(D29="Theo bàn",'Giả định'!$B$10,IF(D29="Theo khách",'Giả định'!$B$6,0)))</f>
        <v>2500000</v>
      </c>
      <c r="J29" s="12" t="n">
        <f aca="false">E29*F29*H29</f>
        <v>2500000</v>
      </c>
      <c r="K29" s="23"/>
    </row>
    <row r="30" customFormat="false" ht="15" hidden="false" customHeight="false" outlineLevel="0" collapsed="false">
      <c r="A30" s="19" t="n">
        <v>26</v>
      </c>
      <c r="B30" s="20" t="s">
        <v>113</v>
      </c>
      <c r="C30" s="20" t="s">
        <v>119</v>
      </c>
      <c r="D30" s="20" t="s">
        <v>85</v>
      </c>
      <c r="E30" s="13" t="n">
        <v>1500000</v>
      </c>
      <c r="F30" s="21" t="n">
        <v>1</v>
      </c>
      <c r="G30" s="22" t="n">
        <v>0</v>
      </c>
      <c r="H30" s="22" t="n">
        <v>1</v>
      </c>
      <c r="I30" s="12" t="n">
        <f aca="false">H30*E30*F30*IF(D30="Cố định",1,IF(D30="Theo bàn",'Giả định'!$B$10,IF(D30="Theo khách",'Giả định'!$B$6,0)))</f>
        <v>1500000</v>
      </c>
      <c r="J30" s="12" t="n">
        <f aca="false">E30*F30*H30</f>
        <v>1500000</v>
      </c>
      <c r="K30" s="23"/>
    </row>
    <row r="31" customFormat="false" ht="15" hidden="false" customHeight="false" outlineLevel="0" collapsed="false">
      <c r="A31" s="19" t="n">
        <v>27</v>
      </c>
      <c r="B31" s="20" t="s">
        <v>113</v>
      </c>
      <c r="C31" s="20" t="s">
        <v>120</v>
      </c>
      <c r="D31" s="20" t="s">
        <v>85</v>
      </c>
      <c r="E31" s="13" t="n">
        <v>1500000</v>
      </c>
      <c r="F31" s="21" t="n">
        <v>1</v>
      </c>
      <c r="G31" s="22" t="n">
        <v>0</v>
      </c>
      <c r="H31" s="22" t="n">
        <v>1</v>
      </c>
      <c r="I31" s="12" t="n">
        <f aca="false">H31*E31*F31*IF(D31="Cố định",1,IF(D31="Theo bàn",'Giả định'!$B$10,IF(D31="Theo khách",'Giả định'!$B$6,0)))</f>
        <v>1500000</v>
      </c>
      <c r="J31" s="12" t="n">
        <f aca="false">E31*F31*H31</f>
        <v>1500000</v>
      </c>
      <c r="K31" s="23"/>
    </row>
    <row r="32" customFormat="false" ht="15" hidden="false" customHeight="false" outlineLevel="0" collapsed="false">
      <c r="A32" s="19" t="n">
        <v>28</v>
      </c>
      <c r="B32" s="20" t="s">
        <v>121</v>
      </c>
      <c r="C32" s="20" t="s">
        <v>122</v>
      </c>
      <c r="D32" s="20" t="s">
        <v>85</v>
      </c>
      <c r="E32" s="13" t="n">
        <v>12000000</v>
      </c>
      <c r="F32" s="21" t="n">
        <v>1</v>
      </c>
      <c r="G32" s="22" t="n">
        <v>0</v>
      </c>
      <c r="H32" s="22" t="n">
        <v>1</v>
      </c>
      <c r="I32" s="12" t="n">
        <f aca="false">H32*E32*F32*IF(D32="Cố định",1,IF(D32="Theo bàn",'Giả định'!$B$10,IF(D32="Theo khách",'Giả định'!$B$6,0)))</f>
        <v>12000000</v>
      </c>
      <c r="J32" s="12" t="n">
        <f aca="false">E32*F32*H32</f>
        <v>12000000</v>
      </c>
      <c r="K32" s="23"/>
    </row>
    <row r="33" customFormat="false" ht="15" hidden="false" customHeight="false" outlineLevel="0" collapsed="false">
      <c r="A33" s="19" t="n">
        <v>29</v>
      </c>
      <c r="B33" s="20" t="s">
        <v>121</v>
      </c>
      <c r="C33" s="20" t="s">
        <v>123</v>
      </c>
      <c r="D33" s="20" t="s">
        <v>85</v>
      </c>
      <c r="E33" s="13" t="n">
        <v>8000000</v>
      </c>
      <c r="F33" s="21" t="n">
        <v>1</v>
      </c>
      <c r="G33" s="22" t="n">
        <v>0</v>
      </c>
      <c r="H33" s="22" t="n">
        <v>1</v>
      </c>
      <c r="I33" s="12" t="n">
        <f aca="false">H33*E33*F33*IF(D33="Cố định",1,IF(D33="Theo bàn",'Giả định'!$B$10,IF(D33="Theo khách",'Giả định'!$B$6,0)))</f>
        <v>8000000</v>
      </c>
      <c r="J33" s="12" t="n">
        <f aca="false">E33*F33*H33</f>
        <v>8000000</v>
      </c>
      <c r="K33" s="23"/>
    </row>
    <row r="34" customFormat="false" ht="15" hidden="false" customHeight="false" outlineLevel="0" collapsed="false">
      <c r="A34" s="19" t="n">
        <v>30</v>
      </c>
      <c r="B34" s="20" t="s">
        <v>121</v>
      </c>
      <c r="C34" s="20" t="s">
        <v>124</v>
      </c>
      <c r="D34" s="20" t="s">
        <v>85</v>
      </c>
      <c r="E34" s="13" t="n">
        <v>8000000</v>
      </c>
      <c r="F34" s="21" t="n">
        <v>1</v>
      </c>
      <c r="G34" s="22" t="n">
        <v>0</v>
      </c>
      <c r="H34" s="22" t="n">
        <v>1</v>
      </c>
      <c r="I34" s="12" t="n">
        <f aca="false">H34*E34*F34*IF(D34="Cố định",1,IF(D34="Theo bàn",'Giả định'!$B$10,IF(D34="Theo khách",'Giả định'!$B$6,0)))</f>
        <v>8000000</v>
      </c>
      <c r="J34" s="12" t="n">
        <f aca="false">E34*F34*H34</f>
        <v>8000000</v>
      </c>
      <c r="K34" s="23"/>
    </row>
    <row r="35" customFormat="false" ht="15" hidden="false" customHeight="false" outlineLevel="0" collapsed="false">
      <c r="A35" s="19" t="n">
        <v>31</v>
      </c>
      <c r="B35" s="20" t="s">
        <v>121</v>
      </c>
      <c r="C35" s="20" t="s">
        <v>125</v>
      </c>
      <c r="D35" s="20" t="s">
        <v>85</v>
      </c>
      <c r="E35" s="13" t="n">
        <v>2000000</v>
      </c>
      <c r="F35" s="21" t="n">
        <v>1</v>
      </c>
      <c r="G35" s="22" t="n">
        <v>0</v>
      </c>
      <c r="H35" s="22" t="n">
        <v>1</v>
      </c>
      <c r="I35" s="12" t="n">
        <f aca="false">H35*E35*F35*IF(D35="Cố định",1,IF(D35="Theo bàn",'Giả định'!$B$10,IF(D35="Theo khách",'Giả định'!$B$6,0)))</f>
        <v>2000000</v>
      </c>
      <c r="J35" s="12" t="n">
        <f aca="false">E35*F35*H35</f>
        <v>2000000</v>
      </c>
      <c r="K35" s="23"/>
    </row>
    <row r="36" customFormat="false" ht="22.35" hidden="false" customHeight="false" outlineLevel="0" collapsed="false">
      <c r="A36" s="19" t="n">
        <v>32</v>
      </c>
      <c r="B36" s="20" t="s">
        <v>126</v>
      </c>
      <c r="C36" s="20" t="s">
        <v>127</v>
      </c>
      <c r="D36" s="20" t="s">
        <v>85</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128</v>
      </c>
    </row>
    <row r="37" customFormat="false" ht="15" hidden="false" customHeight="false" outlineLevel="0" collapsed="false">
      <c r="A37" s="19" t="n">
        <v>33</v>
      </c>
      <c r="B37" s="20" t="s">
        <v>126</v>
      </c>
      <c r="C37" s="20" t="s">
        <v>129</v>
      </c>
      <c r="D37" s="20" t="s">
        <v>85</v>
      </c>
      <c r="E37" s="13" t="n">
        <v>1000000</v>
      </c>
      <c r="F37" s="21" t="n">
        <v>1</v>
      </c>
      <c r="G37" s="22" t="n">
        <v>0</v>
      </c>
      <c r="H37" s="22" t="n">
        <v>1</v>
      </c>
      <c r="I37" s="12" t="n">
        <f aca="false">H37*E37*F37*IF(D37="Cố định",1,IF(D37="Theo bàn",'Giả định'!$B$10,IF(D37="Theo khách",'Giả định'!$B$6,0)))</f>
        <v>1000000</v>
      </c>
      <c r="J37" s="12" t="n">
        <f aca="false">E37*F37*H37</f>
        <v>1000000</v>
      </c>
      <c r="K37" s="23"/>
    </row>
    <row r="38" customFormat="false" ht="15" hidden="false" customHeight="false" outlineLevel="0" collapsed="false">
      <c r="A38" s="19" t="n">
        <v>34</v>
      </c>
      <c r="B38" s="20" t="s">
        <v>130</v>
      </c>
      <c r="C38" s="20" t="s">
        <v>131</v>
      </c>
      <c r="D38" s="20" t="s">
        <v>85</v>
      </c>
      <c r="E38" s="13" t="n">
        <v>5000000</v>
      </c>
      <c r="F38" s="21" t="n">
        <v>1</v>
      </c>
      <c r="G38" s="22" t="n">
        <v>0</v>
      </c>
      <c r="H38" s="22" t="n">
        <v>1</v>
      </c>
      <c r="I38" s="12" t="n">
        <f aca="false">H38*E38*F38*IF(D38="Cố định",1,IF(D38="Theo bàn",'Giả định'!$B$10,IF(D38="Theo khách",'Giả định'!$B$6,0)))</f>
        <v>5000000</v>
      </c>
      <c r="J38" s="12" t="n">
        <f aca="false">E38*F38*H38</f>
        <v>5000000</v>
      </c>
      <c r="K38" s="23"/>
    </row>
    <row r="39" customFormat="false" ht="15" hidden="false" customHeight="false" outlineLevel="0" collapsed="false">
      <c r="A39" s="19" t="n">
        <v>35</v>
      </c>
      <c r="B39" s="20" t="s">
        <v>130</v>
      </c>
      <c r="C39" s="20" t="s">
        <v>132</v>
      </c>
      <c r="D39" s="20" t="s">
        <v>85</v>
      </c>
      <c r="E39" s="13" t="n">
        <v>2000000</v>
      </c>
      <c r="F39" s="21" t="n">
        <v>1</v>
      </c>
      <c r="G39" s="22" t="n">
        <v>0</v>
      </c>
      <c r="H39" s="22" t="n">
        <v>1</v>
      </c>
      <c r="I39" s="12" t="n">
        <f aca="false">H39*E39*F39*IF(D39="Cố định",1,IF(D39="Theo bàn",'Giả định'!$B$10,IF(D39="Theo khách",'Giả định'!$B$6,0)))</f>
        <v>2000000</v>
      </c>
      <c r="J39" s="12" t="n">
        <f aca="false">E39*F39*H39</f>
        <v>2000000</v>
      </c>
      <c r="K39" s="23"/>
    </row>
    <row r="40" customFormat="false" ht="15" hidden="false" customHeight="false" outlineLevel="0" collapsed="false">
      <c r="A40" s="19" t="n">
        <v>36</v>
      </c>
      <c r="B40" s="20" t="s">
        <v>130</v>
      </c>
      <c r="C40" s="20" t="s">
        <v>133</v>
      </c>
      <c r="D40" s="20" t="s">
        <v>85</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134</v>
      </c>
    </row>
    <row r="41" customFormat="false" ht="15" hidden="false" customHeight="false" outlineLevel="0" collapsed="false">
      <c r="A41" s="19" t="n">
        <v>37</v>
      </c>
      <c r="B41" s="20" t="s">
        <v>130</v>
      </c>
      <c r="C41" s="20" t="s">
        <v>135</v>
      </c>
      <c r="D41" s="20" t="s">
        <v>85</v>
      </c>
      <c r="E41" s="13" t="n">
        <v>500000</v>
      </c>
      <c r="F41" s="21" t="n">
        <v>1</v>
      </c>
      <c r="G41" s="22" t="n">
        <v>0</v>
      </c>
      <c r="H41" s="22" t="n">
        <v>1</v>
      </c>
      <c r="I41" s="12" t="n">
        <f aca="false">H41*E41*F41*IF(D41="Cố định",1,IF(D41="Theo bàn",'Giả định'!$B$10,IF(D41="Theo khách",'Giả định'!$B$6,0)))</f>
        <v>500000</v>
      </c>
      <c r="J41" s="12" t="n">
        <f aca="false">E41*F41*H41</f>
        <v>500000</v>
      </c>
      <c r="K41" s="23"/>
    </row>
    <row r="42" customFormat="false" ht="15" hidden="false" customHeight="false" outlineLevel="0" collapsed="false">
      <c r="A42" s="19" t="n">
        <v>38</v>
      </c>
      <c r="B42" s="20" t="s">
        <v>130</v>
      </c>
      <c r="C42" s="20" t="s">
        <v>136</v>
      </c>
      <c r="D42" s="20" t="s">
        <v>85</v>
      </c>
      <c r="E42" s="13" t="n">
        <v>2000000</v>
      </c>
      <c r="F42" s="21" t="n">
        <v>1</v>
      </c>
      <c r="G42" s="22" t="n">
        <v>0</v>
      </c>
      <c r="H42" s="22" t="n">
        <v>1</v>
      </c>
      <c r="I42" s="12" t="n">
        <f aca="false">H42*E42*F42*IF(D42="Cố định",1,IF(D42="Theo bàn",'Giả định'!$B$10,IF(D42="Theo khách",'Giả định'!$B$6,0)))</f>
        <v>2000000</v>
      </c>
      <c r="J42" s="12" t="n">
        <f aca="false">E42*F42*H42</f>
        <v>2000000</v>
      </c>
      <c r="K42" s="23"/>
    </row>
    <row r="43" customFormat="false" ht="15" hidden="false" customHeight="false" outlineLevel="0" collapsed="false">
      <c r="A43" s="19" t="n">
        <v>39</v>
      </c>
      <c r="B43" s="20" t="s">
        <v>137</v>
      </c>
      <c r="C43" s="20" t="s">
        <v>138</v>
      </c>
      <c r="D43" s="20" t="s">
        <v>78</v>
      </c>
      <c r="E43" s="13" t="n">
        <v>150000</v>
      </c>
      <c r="F43" s="21" t="n">
        <v>1</v>
      </c>
      <c r="G43" s="22" t="n">
        <v>1</v>
      </c>
      <c r="H43" s="22" t="n">
        <v>0</v>
      </c>
      <c r="I43" s="12" t="n">
        <f aca="false">H43*E43*F43*IF(D43="Cố định",1,IF(D43="Theo bàn",'Giả định'!$B$10,IF(D43="Theo khách",'Giả định'!$B$6,0)))</f>
        <v>0</v>
      </c>
      <c r="J43" s="12" t="n">
        <f aca="false">E43*F43*H43</f>
        <v>0</v>
      </c>
      <c r="K43" s="23" t="s">
        <v>139</v>
      </c>
    </row>
    <row r="44" customFormat="false" ht="15" hidden="false" customHeight="false" outlineLevel="0" collapsed="false">
      <c r="A44" s="19" t="n">
        <v>40</v>
      </c>
      <c r="B44" s="20" t="s">
        <v>137</v>
      </c>
      <c r="C44" s="20" t="s">
        <v>140</v>
      </c>
      <c r="D44" s="20" t="s">
        <v>85</v>
      </c>
      <c r="E44" s="13" t="n">
        <v>3000000</v>
      </c>
      <c r="F44" s="21" t="n">
        <v>1</v>
      </c>
      <c r="G44" s="22" t="n">
        <v>0</v>
      </c>
      <c r="H44" s="22" t="n">
        <v>0</v>
      </c>
      <c r="I44" s="12" t="n">
        <f aca="false">H44*E44*F44*IF(D44="Cố định",1,IF(D44="Theo bàn",'Giả định'!$B$10,IF(D44="Theo khách",'Giả định'!$B$6,0)))</f>
        <v>0</v>
      </c>
      <c r="J44" s="12" t="n">
        <f aca="false">E44*F44*H44</f>
        <v>0</v>
      </c>
      <c r="K44" s="23" t="s">
        <v>141</v>
      </c>
    </row>
    <row r="45" customFormat="false" ht="15" hidden="false" customHeight="false" outlineLevel="0" collapsed="false">
      <c r="A45" s="19" t="n">
        <v>41</v>
      </c>
      <c r="B45" s="20" t="s">
        <v>137</v>
      </c>
      <c r="C45" s="20" t="s">
        <v>142</v>
      </c>
      <c r="D45" s="20" t="s">
        <v>85</v>
      </c>
      <c r="E45" s="13" t="n">
        <v>8000000</v>
      </c>
      <c r="F45" s="21" t="n">
        <v>1</v>
      </c>
      <c r="G45" s="22" t="n">
        <v>0</v>
      </c>
      <c r="H45" s="22" t="n">
        <v>0</v>
      </c>
      <c r="I45" s="12" t="n">
        <f aca="false">H45*E45*F45*IF(D45="Cố định",1,IF(D45="Theo bàn",'Giả định'!$B$10,IF(D45="Theo khách",'Giả định'!$B$6,0)))</f>
        <v>0</v>
      </c>
      <c r="J45" s="12" t="n">
        <f aca="false">E45*F45*H45</f>
        <v>0</v>
      </c>
      <c r="K45" s="23" t="s">
        <v>143</v>
      </c>
    </row>
    <row r="46" customFormat="false" ht="15" hidden="false" customHeight="false" outlineLevel="0" collapsed="false">
      <c r="A46" s="19" t="n">
        <v>42</v>
      </c>
      <c r="B46" s="20" t="s">
        <v>137</v>
      </c>
      <c r="C46" s="20" t="s">
        <v>144</v>
      </c>
      <c r="D46" s="20" t="s">
        <v>78</v>
      </c>
      <c r="E46" s="13" t="n">
        <v>4500000</v>
      </c>
      <c r="F46" s="21" t="n">
        <v>1</v>
      </c>
      <c r="G46" s="22" t="n">
        <v>1</v>
      </c>
      <c r="H46" s="22" t="n">
        <v>0</v>
      </c>
      <c r="I46" s="12" t="n">
        <f aca="false">H46*E46*F46*IF(D46="Cố định",1,IF(D46="Theo bàn",'Giả định'!$B$10,IF(D46="Theo khách",'Giả định'!$B$6,0)))</f>
        <v>0</v>
      </c>
      <c r="J46" s="12" t="n">
        <f aca="false">E46*F46*H46</f>
        <v>0</v>
      </c>
      <c r="K46" s="23" t="s">
        <v>145</v>
      </c>
    </row>
    <row r="47" customFormat="false" ht="15" hidden="false" customHeight="false" outlineLevel="0" collapsed="false">
      <c r="A47" s="19" t="n">
        <v>43</v>
      </c>
      <c r="B47" s="20" t="s">
        <v>137</v>
      </c>
      <c r="C47" s="20" t="s">
        <v>146</v>
      </c>
      <c r="D47" s="20" t="s">
        <v>85</v>
      </c>
      <c r="E47" s="13" t="n">
        <v>30000000</v>
      </c>
      <c r="F47" s="21" t="n">
        <v>1</v>
      </c>
      <c r="G47" s="22" t="n">
        <v>0</v>
      </c>
      <c r="H47" s="22" t="n">
        <v>0</v>
      </c>
      <c r="I47" s="12" t="n">
        <f aca="false">H47*E47*F47*IF(D47="Cố định",1,IF(D47="Theo bàn",'Giả định'!$B$10,IF(D47="Theo khách",'Giả định'!$B$6,0)))</f>
        <v>0</v>
      </c>
      <c r="J47" s="12" t="n">
        <f aca="false">E47*F47*H47</f>
        <v>0</v>
      </c>
      <c r="K47" s="23" t="s">
        <v>147</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148</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row>
    <row r="55" customFormat="false" ht="15" hidden="false" customHeight="false" outlineLevel="0" collapsed="false">
      <c r="A55" s="5" t="s">
        <v>149</v>
      </c>
      <c r="B55" s="6"/>
      <c r="C55" s="6"/>
      <c r="D55" s="6"/>
      <c r="E55" s="6"/>
      <c r="F55" s="6"/>
      <c r="G55" s="6"/>
      <c r="H55" s="6"/>
      <c r="I55" s="6"/>
      <c r="J55" s="6"/>
      <c r="K55" s="6"/>
    </row>
    <row r="56" customFormat="false" ht="15" hidden="false" customHeight="false" outlineLevel="0" collapsed="false">
      <c r="C56" s="7" t="s">
        <v>150</v>
      </c>
      <c r="I56" s="25" t="n">
        <f aca="false">SUM(I5:I53)</f>
        <v>306467000</v>
      </c>
    </row>
    <row r="57" customFormat="false" ht="15" hidden="false" customHeight="false" outlineLevel="0" collapsed="false">
      <c r="C57" s="7" t="s">
        <v>151</v>
      </c>
      <c r="I57" s="25" t="n">
        <f aca="false">'Giả định'!$B$15*SUMPRODUCT($G$5:$G$53,$I$5:$I$53)</f>
        <v>17342000</v>
      </c>
    </row>
    <row r="58" customFormat="false" ht="15" hidden="false" customHeight="false" outlineLevel="0" collapsed="false">
      <c r="C58" s="7" t="s">
        <v>152</v>
      </c>
      <c r="I58" s="25" t="n">
        <f aca="false">'Giả định'!$B$16*(I56+I57)</f>
        <v>32380900</v>
      </c>
    </row>
    <row r="59" customFormat="false" ht="15" hidden="false" customHeight="false" outlineLevel="0" collapsed="false">
      <c r="C59" s="26" t="s">
        <v>153</v>
      </c>
      <c r="D59" s="27"/>
      <c r="E59" s="27"/>
      <c r="F59" s="27"/>
      <c r="G59" s="27"/>
      <c r="H59" s="27"/>
      <c r="I59" s="28" t="n">
        <f aca="false">I56+I57+I58</f>
        <v>356189900</v>
      </c>
    </row>
    <row r="60" customFormat="false" ht="15" hidden="false" customHeight="false" outlineLevel="0" collapsed="false">
      <c r="C60" s="7" t="s">
        <v>154</v>
      </c>
      <c r="I60" s="25" t="n">
        <f aca="false">'Giả định'!$B$6/'Giả định'!$B$19*'Giả định'!$B$20+'Giả định'!$B$6*'Giả định'!$B$23+'Giả định'!$B$24</f>
        <v>188571428.571429</v>
      </c>
    </row>
    <row r="61" customFormat="false" ht="15" hidden="false" customHeight="false" outlineLevel="0" collapsed="false">
      <c r="C61" s="26" t="s">
        <v>155</v>
      </c>
      <c r="D61" s="27"/>
      <c r="E61" s="27"/>
      <c r="F61" s="27"/>
      <c r="G61" s="27"/>
      <c r="H61" s="27"/>
      <c r="I61" s="28" t="n">
        <f aca="false">I60-I59</f>
        <v>-167618471.428571</v>
      </c>
    </row>
    <row r="63" customFormat="false" ht="15" hidden="false" customHeight="false" outlineLevel="0" collapsed="false">
      <c r="A63" s="5" t="s">
        <v>156</v>
      </c>
      <c r="B63" s="6"/>
      <c r="C63" s="6"/>
      <c r="D63" s="6"/>
      <c r="E63" s="6"/>
      <c r="F63" s="6"/>
      <c r="G63" s="6"/>
      <c r="H63" s="6"/>
      <c r="I63" s="6"/>
      <c r="J63" s="6"/>
      <c r="K63" s="6"/>
    </row>
    <row r="64" customFormat="false" ht="15" hidden="false" customHeight="false" outlineLevel="0" collapsed="false">
      <c r="C64" s="29" t="s">
        <v>66</v>
      </c>
      <c r="I64" s="30" t="s">
        <v>157</v>
      </c>
      <c r="J64" s="30" t="s">
        <v>158</v>
      </c>
    </row>
    <row r="65" customFormat="false" ht="15" hidden="false" customHeight="false" outlineLevel="0" collapsed="false">
      <c r="C65" s="7" t="s">
        <v>76</v>
      </c>
      <c r="I65" s="25" t="n">
        <f aca="false">SUMIFS($I$5:$I$53,$B$5:$B$53,C65)</f>
        <v>178467000</v>
      </c>
      <c r="J65" s="31" t="n">
        <f aca="false">IF($I$56=0,0,I65/$I$56)</f>
        <v>0.582336760564759</v>
      </c>
    </row>
    <row r="66" customFormat="false" ht="15" hidden="false" customHeight="false" outlineLevel="0" collapsed="false">
      <c r="C66" s="7" t="s">
        <v>103</v>
      </c>
      <c r="I66" s="25" t="n">
        <f aca="false">SUMIFS($I$5:$I$53,$B$5:$B$53,C66)</f>
        <v>46000000</v>
      </c>
      <c r="J66" s="31" t="n">
        <f aca="false">IF($I$56=0,0,I66/$I$56)</f>
        <v>0.15009772667204</v>
      </c>
    </row>
    <row r="67" customFormat="false" ht="15" hidden="false" customHeight="false" outlineLevel="0" collapsed="false">
      <c r="C67" s="7" t="s">
        <v>113</v>
      </c>
      <c r="I67" s="25" t="n">
        <f aca="false">SUMIFS($I$5:$I$53,$B$5:$B$53,C67)</f>
        <v>30500000</v>
      </c>
      <c r="J67" s="31" t="n">
        <f aca="false">IF($I$56=0,0,I67/$I$56)</f>
        <v>0.0995213187716785</v>
      </c>
    </row>
    <row r="68" customFormat="false" ht="15" hidden="false" customHeight="false" outlineLevel="0" collapsed="false">
      <c r="C68" s="7" t="s">
        <v>121</v>
      </c>
      <c r="I68" s="25" t="n">
        <f aca="false">SUMIFS($I$5:$I$53,$B$5:$B$53,C68)</f>
        <v>30000000</v>
      </c>
      <c r="J68" s="31" t="n">
        <f aca="false">IF($I$56=0,0,I68/$I$56)</f>
        <v>0.0978898217426346</v>
      </c>
    </row>
    <row r="69" customFormat="false" ht="15" hidden="false" customHeight="false" outlineLevel="0" collapsed="false">
      <c r="C69" s="7" t="s">
        <v>126</v>
      </c>
      <c r="I69" s="25" t="n">
        <f aca="false">SUMIFS($I$5:$I$53,$B$5:$B$53,C69)</f>
        <v>11000000</v>
      </c>
      <c r="J69" s="31" t="n">
        <f aca="false">IF($I$56=0,0,I69/$I$56)</f>
        <v>0.035892934638966</v>
      </c>
    </row>
    <row r="70" customFormat="false" ht="15" hidden="false" customHeight="false" outlineLevel="0" collapsed="false">
      <c r="C70" s="7" t="s">
        <v>130</v>
      </c>
      <c r="I70" s="25" t="n">
        <f aca="false">SUMIFS($I$5:$I$53,$B$5:$B$53,C70)</f>
        <v>10500000</v>
      </c>
      <c r="J70" s="31" t="n">
        <f aca="false">IF($I$56=0,0,I70/$I$56)</f>
        <v>0.0342614376099221</v>
      </c>
    </row>
    <row r="71" customFormat="false" ht="15" hidden="false" customHeight="false" outlineLevel="0" collapsed="false">
      <c r="C71" s="7" t="s">
        <v>137</v>
      </c>
      <c r="I71" s="25" t="n">
        <f aca="false">SUMIFS($I$5:$I$53,$B$5:$B$53,C71)</f>
        <v>0</v>
      </c>
      <c r="J71" s="31" t="n">
        <f aca="false">IF($I$56=0,0,I71/$I$56)</f>
        <v>0</v>
      </c>
    </row>
    <row r="72" customFormat="false" ht="15" hidden="false" customHeight="false" outlineLevel="0" collapsed="false">
      <c r="C72" s="9" t="s">
        <v>159</v>
      </c>
      <c r="I72" s="9" t="str">
        <f aca="false">IF(ABS(SUM(I65:I71)-I56)&lt;1,"OK","LỆCH: có hạng mục sai tên nhóm")</f>
        <v>OK</v>
      </c>
    </row>
    <row r="74" customFormat="false" ht="15" hidden="false" customHeight="false" outlineLevel="0" collapsed="false">
      <c r="A74" s="5" t="s">
        <v>160</v>
      </c>
      <c r="B74" s="6"/>
      <c r="C74" s="6"/>
      <c r="D74" s="6"/>
      <c r="E74" s="6"/>
      <c r="F74" s="6"/>
      <c r="G74" s="6"/>
      <c r="H74" s="6"/>
      <c r="I74" s="6"/>
      <c r="J74" s="6"/>
      <c r="K74" s="6"/>
    </row>
    <row r="75" customFormat="false" ht="30" hidden="false" customHeight="true" outlineLevel="0" collapsed="false">
      <c r="B75" s="30" t="s">
        <v>161</v>
      </c>
      <c r="C75" s="30" t="s">
        <v>162</v>
      </c>
      <c r="D75" s="30" t="s">
        <v>163</v>
      </c>
      <c r="E75" s="30" t="s">
        <v>164</v>
      </c>
      <c r="F75" s="30" t="s">
        <v>165</v>
      </c>
      <c r="G75" s="30" t="s">
        <v>166</v>
      </c>
      <c r="H75" s="30" t="s">
        <v>167</v>
      </c>
    </row>
    <row r="76" customFormat="false" ht="15" hidden="false" customHeight="false" outlineLevel="0" collapsed="false">
      <c r="B76" s="7" t="s">
        <v>76</v>
      </c>
      <c r="C76" s="25" t="n">
        <f aca="false">SUMIFS($J$5:$J$53,$B$5:$B$53,$B$76,$D$5:$D$53,"Cố định")</f>
        <v>52500000</v>
      </c>
      <c r="D76" s="25" t="n">
        <f aca="false">SUMIFS($J$5:$J$53,$B$5:$B$53,$B$76,$D$5:$D$53,"Theo bàn")</f>
        <v>4350000</v>
      </c>
      <c r="E76" s="25" t="n">
        <f aca="false">SUMIFS($J$5:$J$53,$B$5:$B$53,$B$76,$D$5:$D$53,"Theo khách")</f>
        <v>33400</v>
      </c>
      <c r="F76" s="25" t="n">
        <f aca="false">SUMIFS($J$5:$J$53,$B$5:$B$53,$B$76,$D$5:$D$53,"Cố định",$G$5:$G$53,1)</f>
        <v>5000000</v>
      </c>
      <c r="G76" s="25" t="n">
        <f aca="false">SUMIFS($J$5:$J$53,$B$5:$B$53,$B$76,$D$5:$D$53,"Theo bàn",$G$5:$G$53,1)</f>
        <v>4200000</v>
      </c>
      <c r="H76" s="25" t="n">
        <f aca="false">SUMIFS($J$5:$J$53,$B$5:$B$53,$B$76,$D$5:$D$53,"Theo khách",$G$5:$G$53,1)</f>
        <v>0</v>
      </c>
    </row>
    <row r="77" customFormat="false" ht="15" hidden="false" customHeight="false" outlineLevel="0" collapsed="false">
      <c r="B77" s="7" t="s">
        <v>168</v>
      </c>
      <c r="C77" s="25" t="n">
        <f aca="false">SUMIFS($J$5:$J$53,$D$5:$D$53,"Cố định")</f>
        <v>180500000</v>
      </c>
      <c r="D77" s="25" t="n">
        <f aca="false">SUMIFS($J$5:$J$53,$D$5:$D$53,"Theo bàn")</f>
        <v>4350000</v>
      </c>
      <c r="E77" s="25" t="n">
        <f aca="false">SUMIFS($J$5:$J$53,$D$5:$D$53,"Theo khách")</f>
        <v>33400</v>
      </c>
      <c r="F77" s="25" t="n">
        <f aca="false">SUMIFS($J$5:$J$53,$D$5:$D$53,"Cố định",$G$5:$G$53,1)</f>
        <v>20000000</v>
      </c>
      <c r="G77" s="25" t="n">
        <f aca="false">SUMIFS($J$5:$J$53,$D$5:$D$53,"Theo bàn",$G$5:$G$53,1)</f>
        <v>4200000</v>
      </c>
      <c r="H77" s="25" t="n">
        <f aca="false">SUMIFS($J$5:$J$53,$D$5:$D$53,"Theo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169</v>
      </c>
    </row>
    <row r="2" customFormat="false" ht="15" hidden="false" customHeight="false" outlineLevel="0" collapsed="false">
      <c r="A2" s="4" t="s">
        <v>170</v>
      </c>
    </row>
    <row r="4" customFormat="false" ht="15" hidden="false" customHeight="false" outlineLevel="0" collapsed="false">
      <c r="A4" s="5" t="s">
        <v>171</v>
      </c>
      <c r="B4" s="6"/>
      <c r="C4" s="6"/>
    </row>
    <row r="5" customFormat="false" ht="15" hidden="false" customHeight="false" outlineLevel="0" collapsed="false">
      <c r="A5" s="7" t="s">
        <v>18</v>
      </c>
      <c r="B5" s="32" t="n">
        <f aca="false">'Giả định'!$B$4</f>
        <v>300</v>
      </c>
    </row>
    <row r="6" customFormat="false" ht="15" hidden="false" customHeight="false" outlineLevel="0" collapsed="false">
      <c r="A6" s="7" t="s">
        <v>24</v>
      </c>
      <c r="B6" s="32" t="n">
        <f aca="false">'Giả định'!$B$6</f>
        <v>255</v>
      </c>
    </row>
    <row r="7" customFormat="false" ht="15" hidden="false" customHeight="false" outlineLevel="0" collapsed="false">
      <c r="A7" s="7" t="s">
        <v>34</v>
      </c>
      <c r="B7" s="32" t="n">
        <f aca="false">'Giả định'!$B$10</f>
        <v>27</v>
      </c>
    </row>
    <row r="8" customFormat="false" ht="15" hidden="false" customHeight="false" outlineLevel="0" collapsed="false">
      <c r="A8" s="7" t="s">
        <v>172</v>
      </c>
      <c r="B8" s="32" t="n">
        <f aca="false">'Chi phí'!I59</f>
        <v>356189900</v>
      </c>
    </row>
    <row r="9" customFormat="false" ht="15" hidden="false" customHeight="false" outlineLevel="0" collapsed="false">
      <c r="A9" s="7" t="s">
        <v>173</v>
      </c>
      <c r="B9" s="32" t="n">
        <f aca="false">'Chi phí'!I60</f>
        <v>188571428.571429</v>
      </c>
    </row>
    <row r="10" customFormat="false" ht="15" hidden="false" customHeight="false" outlineLevel="0" collapsed="false">
      <c r="A10" s="33" t="s">
        <v>174</v>
      </c>
      <c r="B10" s="28" t="n">
        <f aca="false">B9-B8</f>
        <v>-167618471.428571</v>
      </c>
    </row>
    <row r="11" customFormat="false" ht="15" hidden="false" customHeight="false" outlineLevel="0" collapsed="false">
      <c r="A11" s="7" t="s">
        <v>175</v>
      </c>
      <c r="B11" s="12" t="n">
        <f aca="false">IF(B6=0,0,B8/B6)</f>
        <v>1396823.1372549</v>
      </c>
    </row>
    <row r="12" customFormat="false" ht="15" hidden="false" customHeight="false" outlineLevel="0" collapsed="false">
      <c r="A12" s="7" t="s">
        <v>176</v>
      </c>
      <c r="B12" s="32" t="n">
        <f aca="false">'Giả định'!$B$20/'Giả định'!$B$19+'Giả định'!$B$23</f>
        <v>739495.798319328</v>
      </c>
    </row>
    <row r="13" customFormat="false" ht="15" hidden="false" customHeight="false" outlineLevel="0" collapsed="false">
      <c r="A13" s="7" t="s">
        <v>177</v>
      </c>
      <c r="B13" s="32" t="n">
        <f aca="false">INDEX('Mô phỏng'!$G$5:$G$1005,B6+1)</f>
        <v>-24673471.4285714</v>
      </c>
    </row>
    <row r="15" customFormat="false" ht="15" hidden="false" customHeight="false" outlineLevel="0" collapsed="false">
      <c r="A15" s="5" t="s">
        <v>178</v>
      </c>
      <c r="B15" s="6"/>
      <c r="C15" s="6"/>
    </row>
    <row r="16" customFormat="false" ht="15" hidden="false" customHeight="false" outlineLevel="0" collapsed="false">
      <c r="A16" s="29" t="s">
        <v>179</v>
      </c>
      <c r="B16" s="30" t="s">
        <v>168</v>
      </c>
      <c r="C16" s="30" t="s">
        <v>180</v>
      </c>
    </row>
    <row r="17" customFormat="false" ht="15" hidden="false" customHeight="false" outlineLevel="0" collapsed="false">
      <c r="A17" s="7" t="s">
        <v>181</v>
      </c>
      <c r="B17" s="12" t="str">
        <f aca="false">IF(COUNT('Mô phỏng'!$H$5:$H$1005)=0,"Không đạt (trên 1,000)",MIN('Mô phỏng'!$H$5:$H$1005))</f>
        <v>Không đạt (trên 1,000)</v>
      </c>
      <c r="C17" s="12" t="n">
        <f aca="false">IF(COUNT('Mô phỏng'!$J$5:$J$1005)=0,"Không đạt (trên 1,000)",MIN('Mô phỏng'!$J$5:$J$1005))</f>
        <v>390</v>
      </c>
    </row>
    <row r="18" customFormat="false" ht="15" hidden="false" customHeight="false" outlineLevel="0" collapsed="false">
      <c r="A18" s="33" t="s">
        <v>182</v>
      </c>
      <c r="B18" s="34" t="str">
        <f aca="false">IF(COUNTIF('Mô phỏng'!$F$5:$F$1005,"&lt;0")=0,0,IF(MAX('Mô phỏng'!$I$5:$I$1005)&gt;=1000,"Không đạt (trên 1,000)",MAX('Mô phỏng'!$I$5:$I$1005)+1))</f>
        <v>Không đạt (trên 1,000)</v>
      </c>
      <c r="C18" s="34" t="n">
        <f aca="false">IF(COUNTIF('Mô phỏng'!$G$5:$G$1005,"&lt;0")=0,0,IF(MAX('Mô phỏng'!$K$5:$K$1005)&gt;=1000,"Không đạt (trên 1,000)",MAX('Mô phỏng'!$K$5:$K$1005)+1))</f>
        <v>413</v>
      </c>
    </row>
    <row r="19" customFormat="false" ht="15" hidden="false" customHeight="false" outlineLevel="0" collapsed="false">
      <c r="A19" s="7" t="s">
        <v>183</v>
      </c>
      <c r="B19" s="12" t="str">
        <f aca="false">IF(ISNUMBER(B18),ROUNDUP(B18/'Giả định'!$B$5,0),"n/a")</f>
        <v>n/a</v>
      </c>
      <c r="C19" s="12" t="n">
        <f aca="false">IF(ISNUMBER(C18),ROUNDUP(C18/'Giả định'!$B$5,0),"n/a")</f>
        <v>486</v>
      </c>
    </row>
    <row r="20" customFormat="false" ht="15" hidden="false" customHeight="false" outlineLevel="0" collapsed="false">
      <c r="A20" s="7" t="s">
        <v>184</v>
      </c>
      <c r="B20" s="12" t="str">
        <f aca="false">IF(ISNUMBER(B18),INDEX('Mô phỏng'!$B$5:$B$1005,B18+1),"n/a")</f>
        <v>n/a</v>
      </c>
      <c r="C20" s="12" t="n">
        <f aca="false">IF(ISNUMBER(C18),INDEX('Mô phỏng'!$B$5:$B$1005,C18+1),"n/a")</f>
        <v>43</v>
      </c>
    </row>
    <row r="21" customFormat="false" ht="15" hidden="false" customHeight="false" outlineLevel="0" collapsed="false">
      <c r="A21" s="33" t="s">
        <v>185</v>
      </c>
      <c r="B21" s="34" t="n">
        <f aca="false">IF(B6=0,0,(INDEX('Mô phỏng'!$D$5:$D$1005,B6+1)-'Giả định'!$B$24-B6*'Giả định'!$B$23)/(B6/'Giả định'!$B$19))</f>
        <v>1920258.2745098</v>
      </c>
      <c r="C21" s="34" t="n">
        <f aca="false">IF(B6=0,0,(INDEX('Mô phỏng'!$C$5:$C$1005,B6+1)-'Giả định'!$B$24-B6*'Giả định'!$B$23)/(B6/'Giả định'!$B$19))</f>
        <v>1135462.19607843</v>
      </c>
    </row>
    <row r="22" customFormat="false" ht="15" hidden="false" customHeight="false" outlineLevel="0" collapsed="false">
      <c r="A22" s="7" t="s">
        <v>186</v>
      </c>
      <c r="B22" s="12" t="n">
        <f aca="false">B21/'Giả định'!$B$19</f>
        <v>1371613.05322129</v>
      </c>
      <c r="C22" s="12" t="n">
        <f aca="false">C21/'Giả định'!$B$19</f>
        <v>811044.425770308</v>
      </c>
    </row>
    <row r="23" customFormat="false" ht="15" hidden="false" customHeight="false" outlineLevel="0" collapsed="false">
      <c r="A23" s="7" t="s">
        <v>187</v>
      </c>
      <c r="B23" s="12" t="n">
        <f aca="false">'Giả định'!$B$20/'Giả định'!$B$19+'Giả định'!$B$23-(('Chi phí'!$D$77+'Giả định'!$B$15*'Chi phí'!$G$77)/'Giả định'!$B$7+'Chi phí'!$E$77+'Giả định'!$B$15*'Chi phí'!$H$77)*(1+'Giả định'!$B$16)</f>
        <v>164195.798319328</v>
      </c>
      <c r="C23" s="12" t="n">
        <f aca="false">'Giả định'!$B$20/'Giả định'!$B$19+'Giả định'!$B$23-(('Chi phí'!$D$76+'Giả định'!$B$15*'Chi phí'!$G$76)/'Giả định'!$B$7+'Chi phí'!$E$76+'Giả định'!$B$15*'Chi phí'!$H$76)*(1+'Giả định'!$B$16)</f>
        <v>164195.798319328</v>
      </c>
    </row>
    <row r="24" customFormat="false" ht="15" hidden="false" customHeight="false" outlineLevel="0" collapsed="false">
      <c r="A24" s="7" t="s">
        <v>188</v>
      </c>
      <c r="B24" s="12" t="n">
        <f aca="false">IF(B23&lt;=0,"Không bao giờ hòa vốn",MAX(0,('Chi phí'!$C$77+'Giả định'!$B$15*'Chi phí'!$F$77+'Giả định'!$B$8*('Chi phí'!$D$77+'Giả định'!$B$15*'Chi phí'!$G$77))*(1+'Giả định'!$B$16)-'Giả định'!$B$24)/B23)</f>
        <v>1259.4451387716</v>
      </c>
      <c r="C24" s="12" t="n">
        <f aca="false">IF(C23&lt;=0,"Không bao giờ hòa vốn",MAX(0,('Chi phí'!$C$76+'Giả định'!$B$15*'Chi phí'!$F$76+'Giả định'!$B$8*('Chi phí'!$D$76+'Giả định'!$B$15*'Chi phí'!$G$76))*(1+'Giả định'!$B$16)-'Giả định'!$B$24)/C23)</f>
        <v>388.86865957327</v>
      </c>
    </row>
    <row r="25" customFormat="false" ht="15" hidden="false" customHeight="false" outlineLevel="0" collapsed="false">
      <c r="A25" s="9" t="s">
        <v>189</v>
      </c>
      <c r="B25" s="9" t="str">
        <f aca="false">IF(ABS(B8-INDEX('Mô phỏng'!$D$5:$D$1005,B6+1))&lt;1,"OK","LỆCH")</f>
        <v>OK</v>
      </c>
    </row>
    <row r="26" customFormat="false" ht="15" hidden="false" customHeight="false" outlineLevel="0" collapsed="false">
      <c r="A26" s="9" t="s">
        <v>190</v>
      </c>
    </row>
    <row r="28" customFormat="false" ht="15" hidden="false" customHeight="false" outlineLevel="0" collapsed="false">
      <c r="A28" s="5" t="s">
        <v>191</v>
      </c>
      <c r="B28" s="6"/>
      <c r="C28" s="6"/>
      <c r="D28" s="6"/>
      <c r="E28" s="6"/>
      <c r="F28" s="6"/>
      <c r="G28" s="6"/>
    </row>
    <row r="29" customFormat="false" ht="30" hidden="false" customHeight="true" outlineLevel="0" collapsed="false">
      <c r="A29" s="30" t="s">
        <v>192</v>
      </c>
      <c r="B29" s="35" t="n">
        <v>600000</v>
      </c>
      <c r="C29" s="35" t="n">
        <v>800000</v>
      </c>
      <c r="D29" s="35" t="n">
        <v>1000000</v>
      </c>
      <c r="E29" s="35" t="n">
        <v>1200000</v>
      </c>
      <c r="F29" s="35" t="n">
        <v>1400000</v>
      </c>
      <c r="G29" s="35" t="n">
        <v>1600000</v>
      </c>
    </row>
    <row r="30" customFormat="false" ht="15" hidden="false" customHeight="false" outlineLevel="0" collapsed="false">
      <c r="A30" s="35" t="n">
        <v>100</v>
      </c>
      <c r="B30" s="12" t="n">
        <f aca="false">($A30/'Giả định'!$B$19*B$29+$A30*'Giả định'!$B$23+'Giả định'!$B$24)-INDEX('Mô phỏng'!$D$5:$D$1005,$A30+1)</f>
        <v>-240489848.739496</v>
      </c>
      <c r="C30" s="12" t="n">
        <f aca="false">($A30/'Giả định'!$B$19*C$29+$A30*'Giả định'!$B$23+'Giả định'!$B$24)-INDEX('Mô phỏng'!$D$5:$D$1005,$A30+1)</f>
        <v>-226204134.453782</v>
      </c>
      <c r="D30" s="12" t="n">
        <f aca="false">($A30/'Giả định'!$B$19*D$29+$A30*'Giả định'!$B$23+'Giả định'!$B$24)-INDEX('Mô phỏng'!$D$5:$D$1005,$A30+1)</f>
        <v>-211918420.168067</v>
      </c>
      <c r="E30" s="12" t="n">
        <f aca="false">($A30/'Giả định'!$B$19*E$29+$A30*'Giả định'!$B$23+'Giả định'!$B$24)-INDEX('Mô phỏng'!$D$5:$D$1005,$A30+1)</f>
        <v>-197632705.882353</v>
      </c>
      <c r="F30" s="12" t="n">
        <f aca="false">($A30/'Giả định'!$B$19*F$29+$A30*'Giả định'!$B$23+'Giả định'!$B$24)-INDEX('Mô phỏng'!$D$5:$D$1005,$A30+1)</f>
        <v>-183346991.596639</v>
      </c>
      <c r="G30" s="12" t="n">
        <f aca="false">($A30/'Giả định'!$B$19*G$29+$A30*'Giả định'!$B$23+'Giả định'!$B$24)-INDEX('Mô phỏng'!$D$5:$D$1005,$A30+1)</f>
        <v>-169061277.310924</v>
      </c>
    </row>
    <row r="31" customFormat="false" ht="15" hidden="false" customHeight="false" outlineLevel="0" collapsed="false">
      <c r="A31" s="35" t="n">
        <v>150</v>
      </c>
      <c r="B31" s="12" t="n">
        <f aca="false">($A31/'Giả định'!$B$19*B$29+$A31*'Giả định'!$B$23+'Giả định'!$B$24)-INDEX('Mô phỏng'!$D$5:$D$1005,$A31+1)</f>
        <v>-225023373.109244</v>
      </c>
      <c r="C31" s="12" t="n">
        <f aca="false">($A31/'Giả định'!$B$19*C$29+$A31*'Giả định'!$B$23+'Giả định'!$B$24)-INDEX('Mô phỏng'!$D$5:$D$1005,$A31+1)</f>
        <v>-203594801.680672</v>
      </c>
      <c r="D31" s="12" t="n">
        <f aca="false">($A31/'Giả định'!$B$19*D$29+$A31*'Giả định'!$B$23+'Giả định'!$B$24)-INDEX('Mô phỏng'!$D$5:$D$1005,$A31+1)</f>
        <v>-182166230.252101</v>
      </c>
      <c r="E31" s="12" t="n">
        <f aca="false">($A31/'Giả định'!$B$19*E$29+$A31*'Giả định'!$B$23+'Giả định'!$B$24)-INDEX('Mô phỏng'!$D$5:$D$1005,$A31+1)</f>
        <v>-160737658.823529</v>
      </c>
      <c r="F31" s="12" t="n">
        <f aca="false">($A31/'Giả định'!$B$19*F$29+$A31*'Giả định'!$B$23+'Giả định'!$B$24)-INDEX('Mô phỏng'!$D$5:$D$1005,$A31+1)</f>
        <v>-139309087.394958</v>
      </c>
      <c r="G31" s="12" t="n">
        <f aca="false">($A31/'Giả định'!$B$19*G$29+$A31*'Giả định'!$B$23+'Giả định'!$B$24)-INDEX('Mô phỏng'!$D$5:$D$1005,$A31+1)</f>
        <v>-117880515.966387</v>
      </c>
    </row>
    <row r="32" customFormat="false" ht="15" hidden="false" customHeight="false" outlineLevel="0" collapsed="false">
      <c r="A32" s="35" t="n">
        <v>200</v>
      </c>
      <c r="B32" s="12" t="n">
        <f aca="false">($A32/'Giả định'!$B$19*B$29+$A32*'Giả định'!$B$23+'Giả định'!$B$24)-INDEX('Mô phỏng'!$D$5:$D$1005,$A32+1)</f>
        <v>-231099297.478992</v>
      </c>
      <c r="C32" s="12" t="n">
        <f aca="false">($A32/'Giả định'!$B$19*C$29+$A32*'Giả định'!$B$23+'Giả định'!$B$24)-INDEX('Mô phỏng'!$D$5:$D$1005,$A32+1)</f>
        <v>-202527868.907563</v>
      </c>
      <c r="D32" s="12" t="n">
        <f aca="false">($A32/'Giả định'!$B$19*D$29+$A32*'Giả định'!$B$23+'Giả định'!$B$24)-INDEX('Mô phỏng'!$D$5:$D$1005,$A32+1)</f>
        <v>-173956440.336134</v>
      </c>
      <c r="E32" s="12" t="n">
        <f aca="false">($A32/'Giả định'!$B$19*E$29+$A32*'Giả định'!$B$23+'Giả định'!$B$24)-INDEX('Mô phỏng'!$D$5:$D$1005,$A32+1)</f>
        <v>-145385011.764706</v>
      </c>
      <c r="F32" s="12" t="n">
        <f aca="false">($A32/'Giả định'!$B$19*F$29+$A32*'Giả định'!$B$23+'Giả định'!$B$24)-INDEX('Mô phỏng'!$D$5:$D$1005,$A32+1)</f>
        <v>-116813583.193277</v>
      </c>
      <c r="G32" s="12" t="n">
        <f aca="false">($A32/'Giả định'!$B$19*G$29+$A32*'Giả định'!$B$23+'Giả định'!$B$24)-INDEX('Mô phỏng'!$D$5:$D$1005,$A32+1)</f>
        <v>-88242154.6218487</v>
      </c>
    </row>
    <row r="33" customFormat="false" ht="15" hidden="false" customHeight="false" outlineLevel="0" collapsed="false">
      <c r="A33" s="35" t="n">
        <v>250</v>
      </c>
      <c r="B33" s="12" t="n">
        <f aca="false">($A33/'Giả định'!$B$19*B$29+$A33*'Giả định'!$B$23+'Giả định'!$B$24)-INDEX('Mô phỏng'!$D$5:$D$1005,$A33+1)</f>
        <v>-237175221.84874</v>
      </c>
      <c r="C33" s="12" t="n">
        <f aca="false">($A33/'Giả định'!$B$19*C$29+$A33*'Giả định'!$B$23+'Giả định'!$B$24)-INDEX('Mô phỏng'!$D$5:$D$1005,$A33+1)</f>
        <v>-201460936.134454</v>
      </c>
      <c r="D33" s="12" t="n">
        <f aca="false">($A33/'Giả định'!$B$19*D$29+$A33*'Giả định'!$B$23+'Giả định'!$B$24)-INDEX('Mô phỏng'!$D$5:$D$1005,$A33+1)</f>
        <v>-165746650.420168</v>
      </c>
      <c r="E33" s="12" t="n">
        <f aca="false">($A33/'Giả định'!$B$19*E$29+$A33*'Giả định'!$B$23+'Giả định'!$B$24)-INDEX('Mô phỏng'!$D$5:$D$1005,$A33+1)</f>
        <v>-130032364.705882</v>
      </c>
      <c r="F33" s="12" t="n">
        <f aca="false">($A33/'Giả định'!$B$19*F$29+$A33*'Giả định'!$B$23+'Giả định'!$B$24)-INDEX('Mô phỏng'!$D$5:$D$1005,$A33+1)</f>
        <v>-94318078.9915966</v>
      </c>
      <c r="G33" s="12" t="n">
        <f aca="false">($A33/'Giả định'!$B$19*G$29+$A33*'Giả định'!$B$23+'Giả định'!$B$24)-INDEX('Mô phỏng'!$D$5:$D$1005,$A33+1)</f>
        <v>-58603793.2773109</v>
      </c>
    </row>
    <row r="34" customFormat="false" ht="15" hidden="false" customHeight="false" outlineLevel="0" collapsed="false">
      <c r="A34" s="35" t="n">
        <v>300</v>
      </c>
      <c r="B34" s="12" t="n">
        <f aca="false">($A34/'Giả định'!$B$19*B$29+$A34*'Giả định'!$B$23+'Giả định'!$B$24)-INDEX('Mô phỏng'!$D$5:$D$1005,$A34+1)</f>
        <v>-243251146.218487</v>
      </c>
      <c r="C34" s="12" t="n">
        <f aca="false">($A34/'Giả định'!$B$19*C$29+$A34*'Giả định'!$B$23+'Giả định'!$B$24)-INDEX('Mô phỏng'!$D$5:$D$1005,$A34+1)</f>
        <v>-200394003.361345</v>
      </c>
      <c r="D34" s="12" t="n">
        <f aca="false">($A34/'Giả định'!$B$19*D$29+$A34*'Giả định'!$B$23+'Giả định'!$B$24)-INDEX('Mô phỏng'!$D$5:$D$1005,$A34+1)</f>
        <v>-157536860.504202</v>
      </c>
      <c r="E34" s="12" t="n">
        <f aca="false">($A34/'Giả định'!$B$19*E$29+$A34*'Giả định'!$B$23+'Giả định'!$B$24)-INDEX('Mô phỏng'!$D$5:$D$1005,$A34+1)</f>
        <v>-114679717.647059</v>
      </c>
      <c r="F34" s="12" t="n">
        <f aca="false">($A34/'Giả định'!$B$19*F$29+$A34*'Giả định'!$B$23+'Giả định'!$B$24)-INDEX('Mô phỏng'!$D$5:$D$1005,$A34+1)</f>
        <v>-71822574.789916</v>
      </c>
      <c r="G34" s="12" t="n">
        <f aca="false">($A34/'Giả định'!$B$19*G$29+$A34*'Giả định'!$B$23+'Giả định'!$B$24)-INDEX('Mô phỏng'!$D$5:$D$1005,$A34+1)</f>
        <v>-28965431.9327732</v>
      </c>
    </row>
    <row r="35" customFormat="false" ht="15" hidden="false" customHeight="false" outlineLevel="0" collapsed="false">
      <c r="A35" s="35" t="n">
        <v>350</v>
      </c>
      <c r="B35" s="12" t="n">
        <f aca="false">($A35/'Giả định'!$B$19*B$29+$A35*'Giả định'!$B$23+'Giả định'!$B$24)-INDEX('Mô phỏng'!$D$5:$D$1005,$A35+1)</f>
        <v>-249327070.588235</v>
      </c>
      <c r="C35" s="12" t="n">
        <f aca="false">($A35/'Giả định'!$B$19*C$29+$A35*'Giả định'!$B$23+'Giả định'!$B$24)-INDEX('Mô phỏng'!$D$5:$D$1005,$A35+1)</f>
        <v>-199327070.588235</v>
      </c>
      <c r="D35" s="12" t="n">
        <f aca="false">($A35/'Giả định'!$B$19*D$29+$A35*'Giả định'!$B$23+'Giả định'!$B$24)-INDEX('Mô phỏng'!$D$5:$D$1005,$A35+1)</f>
        <v>-149327070.588235</v>
      </c>
      <c r="E35" s="12" t="n">
        <f aca="false">($A35/'Giả định'!$B$19*E$29+$A35*'Giả định'!$B$23+'Giả định'!$B$24)-INDEX('Mô phỏng'!$D$5:$D$1005,$A35+1)</f>
        <v>-99327070.5882353</v>
      </c>
      <c r="F35" s="12" t="n">
        <f aca="false">($A35/'Giả định'!$B$19*F$29+$A35*'Giả định'!$B$23+'Giả định'!$B$24)-INDEX('Mô phỏng'!$D$5:$D$1005,$A35+1)</f>
        <v>-49327070.5882353</v>
      </c>
      <c r="G35" s="12" t="n">
        <f aca="false">($A35/'Giả định'!$B$19*G$29+$A35*'Giả định'!$B$23+'Giả định'!$B$24)-INDEX('Mô phỏng'!$D$5:$D$1005,$A35+1)</f>
        <v>672929.411764681</v>
      </c>
    </row>
    <row r="36" customFormat="false" ht="15" hidden="false" customHeight="false" outlineLevel="0" collapsed="false">
      <c r="A36" s="35" t="n">
        <v>400</v>
      </c>
      <c r="B36" s="12" t="n">
        <f aca="false">($A36/'Giả định'!$B$19*B$29+$A36*'Giả định'!$B$23+'Giả định'!$B$24)-INDEX('Mô phỏng'!$D$5:$D$1005,$A36+1)</f>
        <v>-255402994.957983</v>
      </c>
      <c r="C36" s="12" t="n">
        <f aca="false">($A36/'Giả định'!$B$19*C$29+$A36*'Giả định'!$B$23+'Giả định'!$B$24)-INDEX('Mô phỏng'!$D$5:$D$1005,$A36+1)</f>
        <v>-198260137.815126</v>
      </c>
      <c r="D36" s="12" t="n">
        <f aca="false">($A36/'Giả định'!$B$19*D$29+$A36*'Giả định'!$B$23+'Giả định'!$B$24)-INDEX('Mô phỏng'!$D$5:$D$1005,$A36+1)</f>
        <v>-141117280.672269</v>
      </c>
      <c r="E36" s="12" t="n">
        <f aca="false">($A36/'Giả định'!$B$19*E$29+$A36*'Giả định'!$B$23+'Giả định'!$B$24)-INDEX('Mô phỏng'!$D$5:$D$1005,$A36+1)</f>
        <v>-83974423.5294118</v>
      </c>
      <c r="F36" s="12" t="n">
        <f aca="false">($A36/'Giả định'!$B$19*F$29+$A36*'Giả định'!$B$23+'Giả định'!$B$24)-INDEX('Mô phỏng'!$D$5:$D$1005,$A36+1)</f>
        <v>-26831566.3865547</v>
      </c>
      <c r="G36" s="12" t="n">
        <f aca="false">($A36/'Giả định'!$B$19*G$29+$A36*'Giả định'!$B$23+'Giả định'!$B$24)-INDEX('Mô phỏng'!$D$5:$D$1005,$A36+1)</f>
        <v>30311290.7563025</v>
      </c>
    </row>
    <row r="37" customFormat="false" ht="15" hidden="false" customHeight="false" outlineLevel="0" collapsed="false">
      <c r="A37" s="35" t="n">
        <v>450</v>
      </c>
      <c r="B37" s="12" t="n">
        <f aca="false">($A37/'Giả định'!$B$19*B$29+$A37*'Giả định'!$B$23+'Giả định'!$B$24)-INDEX('Mô phỏng'!$D$5:$D$1005,$A37+1)</f>
        <v>-261478919.327731</v>
      </c>
      <c r="C37" s="12" t="n">
        <f aca="false">($A37/'Giả định'!$B$19*C$29+$A37*'Giả định'!$B$23+'Giả định'!$B$24)-INDEX('Mô phỏng'!$D$5:$D$1005,$A37+1)</f>
        <v>-197193205.042017</v>
      </c>
      <c r="D37" s="12" t="n">
        <f aca="false">($A37/'Giả định'!$B$19*D$29+$A37*'Giả định'!$B$23+'Giả định'!$B$24)-INDEX('Mô phỏng'!$D$5:$D$1005,$A37+1)</f>
        <v>-132907490.756303</v>
      </c>
      <c r="E37" s="12" t="n">
        <f aca="false">($A37/'Giả định'!$B$19*E$29+$A37*'Giả định'!$B$23+'Giả định'!$B$24)-INDEX('Mô phỏng'!$D$5:$D$1005,$A37+1)</f>
        <v>-68621776.4705883</v>
      </c>
      <c r="F37" s="12" t="n">
        <f aca="false">($A37/'Giả định'!$B$19*F$29+$A37*'Giả định'!$B$23+'Giả định'!$B$24)-INDEX('Mô phỏng'!$D$5:$D$1005,$A37+1)</f>
        <v>-4336062.184874</v>
      </c>
      <c r="G37" s="12" t="n">
        <f aca="false">($A37/'Giả định'!$B$19*G$29+$A37*'Giả định'!$B$23+'Giả định'!$B$24)-INDEX('Mô phỏng'!$D$5:$D$1005,$A37+1)</f>
        <v>59949652.1008403</v>
      </c>
    </row>
    <row r="38" customFormat="false" ht="15" hidden="false" customHeight="false" outlineLevel="0" collapsed="false">
      <c r="A38" s="35" t="n">
        <v>500</v>
      </c>
      <c r="B38" s="12" t="n">
        <f aca="false">($A38/'Giả định'!$B$19*B$29+$A38*'Giả định'!$B$23+'Giả định'!$B$24)-INDEX('Mô phỏng'!$D$5:$D$1005,$A38+1)</f>
        <v>-267554843.697479</v>
      </c>
      <c r="C38" s="12" t="n">
        <f aca="false">($A38/'Giả định'!$B$19*C$29+$A38*'Giả định'!$B$23+'Giả định'!$B$24)-INDEX('Mô phỏng'!$D$5:$D$1005,$A38+1)</f>
        <v>-196126272.268908</v>
      </c>
      <c r="D38" s="12" t="n">
        <f aca="false">($A38/'Giả định'!$B$19*D$29+$A38*'Giả định'!$B$23+'Giả định'!$B$24)-INDEX('Mô phỏng'!$D$5:$D$1005,$A38+1)</f>
        <v>-124697700.840336</v>
      </c>
      <c r="E38" s="12" t="n">
        <f aca="false">($A38/'Giả định'!$B$19*E$29+$A38*'Giả định'!$B$23+'Giả định'!$B$24)-INDEX('Mô phỏng'!$D$5:$D$1005,$A38+1)</f>
        <v>-53269129.4117647</v>
      </c>
      <c r="F38" s="12" t="n">
        <f aca="false">($A38/'Giả định'!$B$19*F$29+$A38*'Giả định'!$B$23+'Giả định'!$B$24)-INDEX('Mô phỏng'!$D$5:$D$1005,$A38+1)</f>
        <v>18159442.0168067</v>
      </c>
      <c r="G38" s="12" t="n">
        <f aca="false">($A38/'Giả định'!$B$19*G$29+$A38*'Giả định'!$B$23+'Giả định'!$B$24)-INDEX('Mô phỏng'!$D$5:$D$1005,$A38+1)</f>
        <v>89588013.4453781</v>
      </c>
    </row>
    <row r="39" customFormat="false" ht="15" hidden="false" customHeight="false" outlineLevel="0" collapsed="false">
      <c r="A39" s="35" t="n">
        <v>550</v>
      </c>
      <c r="B39" s="12" t="n">
        <f aca="false">($A39/'Giả định'!$B$19*B$29+$A39*'Giả định'!$B$23+'Giả định'!$B$24)-INDEX('Mô phỏng'!$D$5:$D$1005,$A39+1)</f>
        <v>-273630768.067227</v>
      </c>
      <c r="C39" s="12" t="n">
        <f aca="false">($A39/'Giả định'!$B$19*C$29+$A39*'Giả định'!$B$23+'Giả định'!$B$24)-INDEX('Mô phỏng'!$D$5:$D$1005,$A39+1)</f>
        <v>-195059339.495798</v>
      </c>
      <c r="D39" s="12" t="n">
        <f aca="false">($A39/'Giả định'!$B$19*D$29+$A39*'Giả định'!$B$23+'Giả định'!$B$24)-INDEX('Mô phỏng'!$D$5:$D$1005,$A39+1)</f>
        <v>-116487910.92437</v>
      </c>
      <c r="E39" s="12" t="n">
        <f aca="false">($A39/'Giả định'!$B$19*E$29+$A39*'Giả định'!$B$23+'Giả định'!$B$24)-INDEX('Mô phỏng'!$D$5:$D$1005,$A39+1)</f>
        <v>-37916482.3529412</v>
      </c>
      <c r="F39" s="12" t="n">
        <f aca="false">($A39/'Giả định'!$B$19*F$29+$A39*'Giả định'!$B$23+'Giả định'!$B$24)-INDEX('Mô phỏng'!$D$5:$D$1005,$A39+1)</f>
        <v>40654946.2184873</v>
      </c>
      <c r="G39" s="12" t="n">
        <f aca="false">($A39/'Giả định'!$B$19*G$29+$A39*'Giả định'!$B$23+'Giả định'!$B$24)-INDEX('Mô phỏng'!$D$5:$D$1005,$A39+1)</f>
        <v>119226374.789916</v>
      </c>
    </row>
    <row r="40" customFormat="false" ht="15" hidden="false" customHeight="false" outlineLevel="0" collapsed="false">
      <c r="A40" s="35" t="n">
        <v>600</v>
      </c>
      <c r="B40" s="12" t="n">
        <f aca="false">($A40/'Giả định'!$B$19*B$29+$A40*'Giả định'!$B$23+'Giả định'!$B$24)-INDEX('Mô phỏng'!$D$5:$D$1005,$A40+1)</f>
        <v>-279706692.436975</v>
      </c>
      <c r="C40" s="12" t="n">
        <f aca="false">($A40/'Giả định'!$B$19*C$29+$A40*'Giả định'!$B$23+'Giả định'!$B$24)-INDEX('Mô phỏng'!$D$5:$D$1005,$A40+1)</f>
        <v>-193992406.722689</v>
      </c>
      <c r="D40" s="12" t="n">
        <f aca="false">($A40/'Giả định'!$B$19*D$29+$A40*'Giả định'!$B$23+'Giả định'!$B$24)-INDEX('Mô phỏng'!$D$5:$D$1005,$A40+1)</f>
        <v>-108278121.008403</v>
      </c>
      <c r="E40" s="12" t="n">
        <f aca="false">($A40/'Giả định'!$B$19*E$29+$A40*'Giả định'!$B$23+'Giả định'!$B$24)-INDEX('Mô phỏng'!$D$5:$D$1005,$A40+1)</f>
        <v>-22563835.2941176</v>
      </c>
      <c r="F40" s="12" t="n">
        <f aca="false">($A40/'Giả định'!$B$19*F$29+$A40*'Giả định'!$B$23+'Giả định'!$B$24)-INDEX('Mô phỏng'!$D$5:$D$1005,$A40+1)</f>
        <v>63150450.420168</v>
      </c>
      <c r="G40" s="12" t="n">
        <f aca="false">($A40/'Giả định'!$B$19*G$29+$A40*'Giả định'!$B$23+'Giả định'!$B$24)-INDEX('Mô phỏng'!$D$5:$D$1005,$A40+1)</f>
        <v>148864736.134454</v>
      </c>
    </row>
    <row r="42" customFormat="false" ht="15" hidden="false" customHeight="false" outlineLevel="0" collapsed="false">
      <c r="A42" s="5" t="s">
        <v>193</v>
      </c>
      <c r="B42" s="6"/>
      <c r="C42" s="6"/>
      <c r="D42" s="6"/>
      <c r="E42" s="6"/>
      <c r="F42" s="6"/>
      <c r="G42" s="6"/>
    </row>
    <row r="43" customFormat="false" ht="30" hidden="false" customHeight="true" outlineLevel="0" collapsed="false">
      <c r="A43" s="30" t="s">
        <v>192</v>
      </c>
      <c r="B43" s="35" t="n">
        <v>600000</v>
      </c>
      <c r="C43" s="35" t="n">
        <v>800000</v>
      </c>
      <c r="D43" s="35" t="n">
        <v>1000000</v>
      </c>
      <c r="E43" s="35" t="n">
        <v>1200000</v>
      </c>
      <c r="F43" s="35" t="n">
        <v>1400000</v>
      </c>
      <c r="G43" s="35" t="n">
        <v>1600000</v>
      </c>
    </row>
    <row r="44" customFormat="false" ht="15" hidden="false" customHeight="false" outlineLevel="0" collapsed="false">
      <c r="A44" s="35" t="n">
        <v>100</v>
      </c>
      <c r="B44" s="12" t="n">
        <f aca="false">($A44/'Giả định'!$B$19*B$43+$A44*'Giả định'!$B$23+'Giả định'!$B$24)-INDEX('Mô phỏng'!$C$5:$C$1005,$A44+1)</f>
        <v>-97544848.7394958</v>
      </c>
      <c r="C44" s="12" t="n">
        <f aca="false">($A44/'Giả định'!$B$19*C$43+$A44*'Giả định'!$B$23+'Giả định'!$B$24)-INDEX('Mô phỏng'!$C$5:$C$1005,$A44+1)</f>
        <v>-83259134.4537815</v>
      </c>
      <c r="D44" s="12" t="n">
        <f aca="false">($A44/'Giả định'!$B$19*D$43+$A44*'Giả định'!$B$23+'Giả định'!$B$24)-INDEX('Mô phỏng'!$C$5:$C$1005,$A44+1)</f>
        <v>-68973420.1680672</v>
      </c>
      <c r="E44" s="12" t="n">
        <f aca="false">($A44/'Giả định'!$B$19*E$43+$A44*'Giả định'!$B$23+'Giả định'!$B$24)-INDEX('Mô phỏng'!$C$5:$C$1005,$A44+1)</f>
        <v>-54687705.8823529</v>
      </c>
      <c r="F44" s="12" t="n">
        <f aca="false">($A44/'Giả định'!$B$19*F$43+$A44*'Giả định'!$B$23+'Giả định'!$B$24)-INDEX('Mô phỏng'!$C$5:$C$1005,$A44+1)</f>
        <v>-40401991.5966387</v>
      </c>
      <c r="G44" s="12" t="n">
        <f aca="false">($A44/'Giả định'!$B$19*G$43+$A44*'Giả định'!$B$23+'Giả định'!$B$24)-INDEX('Mô phỏng'!$C$5:$C$1005,$A44+1)</f>
        <v>-26116277.3109244</v>
      </c>
    </row>
    <row r="45" customFormat="false" ht="15" hidden="false" customHeight="false" outlineLevel="0" collapsed="false">
      <c r="A45" s="35" t="n">
        <v>150</v>
      </c>
      <c r="B45" s="12" t="n">
        <f aca="false">($A45/'Giả định'!$B$19*B$43+$A45*'Giả định'!$B$23+'Giả định'!$B$24)-INDEX('Mô phỏng'!$C$5:$C$1005,$A45+1)</f>
        <v>-82078373.1092437</v>
      </c>
      <c r="C45" s="12" t="n">
        <f aca="false">($A45/'Giả định'!$B$19*C$43+$A45*'Giả định'!$B$23+'Giả định'!$B$24)-INDEX('Mô phỏng'!$C$5:$C$1005,$A45+1)</f>
        <v>-60649801.6806723</v>
      </c>
      <c r="D45" s="12" t="n">
        <f aca="false">($A45/'Giả định'!$B$19*D$43+$A45*'Giả định'!$B$23+'Giả định'!$B$24)-INDEX('Mô phỏng'!$C$5:$C$1005,$A45+1)</f>
        <v>-39221230.2521008</v>
      </c>
      <c r="E45" s="12" t="n">
        <f aca="false">($A45/'Giả định'!$B$19*E$43+$A45*'Giả định'!$B$23+'Giả định'!$B$24)-INDEX('Mô phỏng'!$C$5:$C$1005,$A45+1)</f>
        <v>-17792658.8235294</v>
      </c>
      <c r="F45" s="12" t="n">
        <f aca="false">($A45/'Giả định'!$B$19*F$43+$A45*'Giả định'!$B$23+'Giả định'!$B$24)-INDEX('Mô phỏng'!$C$5:$C$1005,$A45+1)</f>
        <v>3635912.60504201</v>
      </c>
      <c r="G45" s="12" t="n">
        <f aca="false">($A45/'Giả định'!$B$19*G$43+$A45*'Giả định'!$B$23+'Giả định'!$B$24)-INDEX('Mô phỏng'!$C$5:$C$1005,$A45+1)</f>
        <v>25064484.0336134</v>
      </c>
    </row>
    <row r="46" customFormat="false" ht="15" hidden="false" customHeight="false" outlineLevel="0" collapsed="false">
      <c r="A46" s="35" t="n">
        <v>200</v>
      </c>
      <c r="B46" s="12" t="n">
        <f aca="false">($A46/'Giả định'!$B$19*B$43+$A46*'Giả định'!$B$23+'Giả định'!$B$24)-INDEX('Mô phỏng'!$C$5:$C$1005,$A46+1)</f>
        <v>-88154297.4789916</v>
      </c>
      <c r="C46" s="12" t="n">
        <f aca="false">($A46/'Giả định'!$B$19*C$43+$A46*'Giả định'!$B$23+'Giả định'!$B$24)-INDEX('Mô phỏng'!$C$5:$C$1005,$A46+1)</f>
        <v>-59582868.907563</v>
      </c>
      <c r="D46" s="12" t="n">
        <f aca="false">($A46/'Giả định'!$B$19*D$43+$A46*'Giả định'!$B$23+'Giả định'!$B$24)-INDEX('Mô phỏng'!$C$5:$C$1005,$A46+1)</f>
        <v>-31011440.3361344</v>
      </c>
      <c r="E46" s="12" t="n">
        <f aca="false">($A46/'Giả định'!$B$19*E$43+$A46*'Giả định'!$B$23+'Giả định'!$B$24)-INDEX('Mô phỏng'!$C$5:$C$1005,$A46+1)</f>
        <v>-2440011.76470587</v>
      </c>
      <c r="F46" s="12" t="n">
        <f aca="false">($A46/'Giả định'!$B$19*F$43+$A46*'Giả định'!$B$23+'Giả định'!$B$24)-INDEX('Mô phỏng'!$C$5:$C$1005,$A46+1)</f>
        <v>26131416.8067227</v>
      </c>
      <c r="G46" s="12" t="n">
        <f aca="false">($A46/'Giả định'!$B$19*G$43+$A46*'Giả định'!$B$23+'Giả định'!$B$24)-INDEX('Mô phỏng'!$C$5:$C$1005,$A46+1)</f>
        <v>54702845.3781513</v>
      </c>
    </row>
    <row r="47" customFormat="false" ht="15" hidden="false" customHeight="false" outlineLevel="0" collapsed="false">
      <c r="A47" s="35" t="n">
        <v>250</v>
      </c>
      <c r="B47" s="12" t="n">
        <f aca="false">($A47/'Giả định'!$B$19*B$43+$A47*'Giả định'!$B$23+'Giả định'!$B$24)-INDEX('Mô phỏng'!$C$5:$C$1005,$A47+1)</f>
        <v>-94230221.8487395</v>
      </c>
      <c r="C47" s="12" t="n">
        <f aca="false">($A47/'Giả định'!$B$19*C$43+$A47*'Giả định'!$B$23+'Giả định'!$B$24)-INDEX('Mô phỏng'!$C$5:$C$1005,$A47+1)</f>
        <v>-58515936.1344538</v>
      </c>
      <c r="D47" s="12" t="n">
        <f aca="false">($A47/'Giả định'!$B$19*D$43+$A47*'Giả định'!$B$23+'Giả định'!$B$24)-INDEX('Mô phỏng'!$C$5:$C$1005,$A47+1)</f>
        <v>-22801650.4201681</v>
      </c>
      <c r="E47" s="12" t="n">
        <f aca="false">($A47/'Giả định'!$B$19*E$43+$A47*'Giả định'!$B$23+'Giả định'!$B$24)-INDEX('Mô phỏng'!$C$5:$C$1005,$A47+1)</f>
        <v>12912635.2941176</v>
      </c>
      <c r="F47" s="12" t="n">
        <f aca="false">($A47/'Giả định'!$B$19*F$43+$A47*'Giả định'!$B$23+'Giả định'!$B$24)-INDEX('Mô phỏng'!$C$5:$C$1005,$A47+1)</f>
        <v>48626921.0084034</v>
      </c>
      <c r="G47" s="12" t="n">
        <f aca="false">($A47/'Giả định'!$B$19*G$43+$A47*'Giả định'!$B$23+'Giả định'!$B$24)-INDEX('Mô phỏng'!$C$5:$C$1005,$A47+1)</f>
        <v>84341206.7226891</v>
      </c>
    </row>
    <row r="48" customFormat="false" ht="15" hidden="false" customHeight="false" outlineLevel="0" collapsed="false">
      <c r="A48" s="35" t="n">
        <v>300</v>
      </c>
      <c r="B48" s="12" t="n">
        <f aca="false">($A48/'Giả định'!$B$19*B$43+$A48*'Giả định'!$B$23+'Giả định'!$B$24)-INDEX('Mô phỏng'!$C$5:$C$1005,$A48+1)</f>
        <v>-100306146.218487</v>
      </c>
      <c r="C48" s="12" t="n">
        <f aca="false">($A48/'Giả định'!$B$19*C$43+$A48*'Giả định'!$B$23+'Giả định'!$B$24)-INDEX('Mô phỏng'!$C$5:$C$1005,$A48+1)</f>
        <v>-57449003.3613445</v>
      </c>
      <c r="D48" s="12" t="n">
        <f aca="false">($A48/'Giả định'!$B$19*D$43+$A48*'Giả định'!$B$23+'Giả định'!$B$24)-INDEX('Mô phỏng'!$C$5:$C$1005,$A48+1)</f>
        <v>-14591860.5042017</v>
      </c>
      <c r="E48" s="12" t="n">
        <f aca="false">($A48/'Giả định'!$B$19*E$43+$A48*'Giả định'!$B$23+'Giả định'!$B$24)-INDEX('Mô phỏng'!$C$5:$C$1005,$A48+1)</f>
        <v>28265282.3529412</v>
      </c>
      <c r="F48" s="12" t="n">
        <f aca="false">($A48/'Giả định'!$B$19*F$43+$A48*'Giả định'!$B$23+'Giả định'!$B$24)-INDEX('Mô phỏng'!$C$5:$C$1005,$A48+1)</f>
        <v>71122425.210084</v>
      </c>
      <c r="G48" s="12" t="n">
        <f aca="false">($A48/'Giả định'!$B$19*G$43+$A48*'Giả định'!$B$23+'Giả định'!$B$24)-INDEX('Mô phỏng'!$C$5:$C$1005,$A48+1)</f>
        <v>113979568.067227</v>
      </c>
    </row>
    <row r="49" customFormat="false" ht="15" hidden="false" customHeight="false" outlineLevel="0" collapsed="false">
      <c r="A49" s="35" t="n">
        <v>350</v>
      </c>
      <c r="B49" s="12" t="n">
        <f aca="false">($A49/'Giả định'!$B$19*B$43+$A49*'Giả định'!$B$23+'Giả định'!$B$24)-INDEX('Mô phỏng'!$C$5:$C$1005,$A49+1)</f>
        <v>-106382070.588235</v>
      </c>
      <c r="C49" s="12" t="n">
        <f aca="false">($A49/'Giả định'!$B$19*C$43+$A49*'Giả định'!$B$23+'Giả định'!$B$24)-INDEX('Mô phỏng'!$C$5:$C$1005,$A49+1)</f>
        <v>-56382070.5882353</v>
      </c>
      <c r="D49" s="12" t="n">
        <f aca="false">($A49/'Giả định'!$B$19*D$43+$A49*'Giả định'!$B$23+'Giả định'!$B$24)-INDEX('Mô phỏng'!$C$5:$C$1005,$A49+1)</f>
        <v>-6382070.58823529</v>
      </c>
      <c r="E49" s="12" t="n">
        <f aca="false">($A49/'Giả định'!$B$19*E$43+$A49*'Giả định'!$B$23+'Giả định'!$B$24)-INDEX('Mô phỏng'!$C$5:$C$1005,$A49+1)</f>
        <v>43617929.4117647</v>
      </c>
      <c r="F49" s="12" t="n">
        <f aca="false">($A49/'Giả định'!$B$19*F$43+$A49*'Giả định'!$B$23+'Giả định'!$B$24)-INDEX('Mô phỏng'!$C$5:$C$1005,$A49+1)</f>
        <v>93617929.4117647</v>
      </c>
      <c r="G49" s="12" t="n">
        <f aca="false">($A49/'Giả định'!$B$19*G$43+$A49*'Giả định'!$B$23+'Giả định'!$B$24)-INDEX('Mô phỏng'!$C$5:$C$1005,$A49+1)</f>
        <v>143617929.411765</v>
      </c>
    </row>
    <row r="50" customFormat="false" ht="15" hidden="false" customHeight="false" outlineLevel="0" collapsed="false">
      <c r="A50" s="35" t="n">
        <v>400</v>
      </c>
      <c r="B50" s="12" t="n">
        <f aca="false">($A50/'Giả định'!$B$19*B$43+$A50*'Giả định'!$B$23+'Giả định'!$B$24)-INDEX('Mô phỏng'!$C$5:$C$1005,$A50+1)</f>
        <v>-112457994.957983</v>
      </c>
      <c r="C50" s="12" t="n">
        <f aca="false">($A50/'Giả định'!$B$19*C$43+$A50*'Giả định'!$B$23+'Giả định'!$B$24)-INDEX('Mô phỏng'!$C$5:$C$1005,$A50+1)</f>
        <v>-55315137.8151261</v>
      </c>
      <c r="D50" s="12" t="n">
        <f aca="false">($A50/'Giả định'!$B$19*D$43+$A50*'Giả định'!$B$23+'Giả định'!$B$24)-INDEX('Mô phỏng'!$C$5:$C$1005,$A50+1)</f>
        <v>1827719.32773113</v>
      </c>
      <c r="E50" s="12" t="n">
        <f aca="false">($A50/'Giả định'!$B$19*E$43+$A50*'Giả định'!$B$23+'Giả định'!$B$24)-INDEX('Mô phỏng'!$C$5:$C$1005,$A50+1)</f>
        <v>58970576.4705883</v>
      </c>
      <c r="F50" s="12" t="n">
        <f aca="false">($A50/'Giả định'!$B$19*F$43+$A50*'Giả định'!$B$23+'Giả định'!$B$24)-INDEX('Mô phỏng'!$C$5:$C$1005,$A50+1)</f>
        <v>116113433.613445</v>
      </c>
      <c r="G50" s="12" t="n">
        <f aca="false">($A50/'Giả định'!$B$19*G$43+$A50*'Giả định'!$B$23+'Giả định'!$B$24)-INDEX('Mô phỏng'!$C$5:$C$1005,$A50+1)</f>
        <v>173256290.756303</v>
      </c>
    </row>
    <row r="51" customFormat="false" ht="15" hidden="false" customHeight="false" outlineLevel="0" collapsed="false">
      <c r="A51" s="35" t="n">
        <v>450</v>
      </c>
      <c r="B51" s="12" t="n">
        <f aca="false">($A51/'Giả định'!$B$19*B$43+$A51*'Giả định'!$B$23+'Giả định'!$B$24)-INDEX('Mô phỏng'!$C$5:$C$1005,$A51+1)</f>
        <v>-118533919.327731</v>
      </c>
      <c r="C51" s="12" t="n">
        <f aca="false">($A51/'Giả định'!$B$19*C$43+$A51*'Giả định'!$B$23+'Giả định'!$B$24)-INDEX('Mô phỏng'!$C$5:$C$1005,$A51+1)</f>
        <v>-54248205.0420168</v>
      </c>
      <c r="D51" s="12" t="n">
        <f aca="false">($A51/'Giả định'!$B$19*D$43+$A51*'Giả định'!$B$23+'Giả định'!$B$24)-INDEX('Mô phỏng'!$C$5:$C$1005,$A51+1)</f>
        <v>10037509.2436975</v>
      </c>
      <c r="E51" s="12" t="n">
        <f aca="false">($A51/'Giả định'!$B$19*E$43+$A51*'Giả định'!$B$23+'Giả định'!$B$24)-INDEX('Mô phỏng'!$C$5:$C$1005,$A51+1)</f>
        <v>74323223.5294118</v>
      </c>
      <c r="F51" s="12" t="n">
        <f aca="false">($A51/'Giả định'!$B$19*F$43+$A51*'Giả định'!$B$23+'Giả định'!$B$24)-INDEX('Mô phỏng'!$C$5:$C$1005,$A51+1)</f>
        <v>138608937.815126</v>
      </c>
      <c r="G51" s="12" t="n">
        <f aca="false">($A51/'Giả định'!$B$19*G$43+$A51*'Giả định'!$B$23+'Giả định'!$B$24)-INDEX('Mô phỏng'!$C$5:$C$1005,$A51+1)</f>
        <v>202894652.10084</v>
      </c>
    </row>
    <row r="52" customFormat="false" ht="15" hidden="false" customHeight="false" outlineLevel="0" collapsed="false">
      <c r="A52" s="35" t="n">
        <v>500</v>
      </c>
      <c r="B52" s="12" t="n">
        <f aca="false">($A52/'Giả định'!$B$19*B$43+$A52*'Giả định'!$B$23+'Giả định'!$B$24)-INDEX('Mô phỏng'!$C$5:$C$1005,$A52+1)</f>
        <v>-124609843.697479</v>
      </c>
      <c r="C52" s="12" t="n">
        <f aca="false">($A52/'Giả định'!$B$19*C$43+$A52*'Giả định'!$B$23+'Giả định'!$B$24)-INDEX('Mô phỏng'!$C$5:$C$1005,$A52+1)</f>
        <v>-53181272.2689076</v>
      </c>
      <c r="D52" s="12" t="n">
        <f aca="false">($A52/'Giả định'!$B$19*D$43+$A52*'Giả định'!$B$23+'Giả định'!$B$24)-INDEX('Mô phỏng'!$C$5:$C$1005,$A52+1)</f>
        <v>18247299.1596639</v>
      </c>
      <c r="E52" s="12" t="n">
        <f aca="false">($A52/'Giả định'!$B$19*E$43+$A52*'Giả định'!$B$23+'Giả định'!$B$24)-INDEX('Mô phỏng'!$C$5:$C$1005,$A52+1)</f>
        <v>89675870.5882353</v>
      </c>
      <c r="F52" s="12" t="n">
        <f aca="false">($A52/'Giả định'!$B$19*F$43+$A52*'Giả định'!$B$23+'Giả định'!$B$24)-INDEX('Mô phỏng'!$C$5:$C$1005,$A52+1)</f>
        <v>161104442.016807</v>
      </c>
      <c r="G52" s="12" t="n">
        <f aca="false">($A52/'Giả định'!$B$19*G$43+$A52*'Giả định'!$B$23+'Giả định'!$B$24)-INDEX('Mô phỏng'!$C$5:$C$1005,$A52+1)</f>
        <v>232533013.445378</v>
      </c>
    </row>
    <row r="53" customFormat="false" ht="15" hidden="false" customHeight="false" outlineLevel="0" collapsed="false">
      <c r="A53" s="35" t="n">
        <v>550</v>
      </c>
      <c r="B53" s="12" t="n">
        <f aca="false">($A53/'Giả định'!$B$19*B$43+$A53*'Giả định'!$B$23+'Giả định'!$B$24)-INDEX('Mô phỏng'!$C$5:$C$1005,$A53+1)</f>
        <v>-130685768.067227</v>
      </c>
      <c r="C53" s="12" t="n">
        <f aca="false">($A53/'Giả định'!$B$19*C$43+$A53*'Giả định'!$B$23+'Giả định'!$B$24)-INDEX('Mô phỏng'!$C$5:$C$1005,$A53+1)</f>
        <v>-52114339.4957984</v>
      </c>
      <c r="D53" s="12" t="n">
        <f aca="false">($A53/'Giả định'!$B$19*D$43+$A53*'Giả định'!$B$23+'Giả định'!$B$24)-INDEX('Mô phỏng'!$C$5:$C$1005,$A53+1)</f>
        <v>26457089.0756302</v>
      </c>
      <c r="E53" s="12" t="n">
        <f aca="false">($A53/'Giả định'!$B$19*E$43+$A53*'Giả định'!$B$23+'Giả định'!$B$24)-INDEX('Mô phỏng'!$C$5:$C$1005,$A53+1)</f>
        <v>105028517.647059</v>
      </c>
      <c r="F53" s="12" t="n">
        <f aca="false">($A53/'Giả định'!$B$19*F$43+$A53*'Giả định'!$B$23+'Giả định'!$B$24)-INDEX('Mô phỏng'!$C$5:$C$1005,$A53+1)</f>
        <v>183599946.218487</v>
      </c>
      <c r="G53" s="12" t="n">
        <f aca="false">($A53/'Giả định'!$B$19*G$43+$A53*'Giả định'!$B$23+'Giả định'!$B$24)-INDEX('Mô phỏng'!$C$5:$C$1005,$A53+1)</f>
        <v>262171374.789916</v>
      </c>
    </row>
    <row r="54" customFormat="false" ht="15" hidden="false" customHeight="false" outlineLevel="0" collapsed="false">
      <c r="A54" s="35" t="n">
        <v>600</v>
      </c>
      <c r="B54" s="12" t="n">
        <f aca="false">($A54/'Giả định'!$B$19*B$43+$A54*'Giả định'!$B$23+'Giả định'!$B$24)-INDEX('Mô phỏng'!$C$5:$C$1005,$A54+1)</f>
        <v>-136761692.436975</v>
      </c>
      <c r="C54" s="12" t="n">
        <f aca="false">($A54/'Giả định'!$B$19*C$43+$A54*'Giả định'!$B$23+'Giả định'!$B$24)-INDEX('Mô phỏng'!$C$5:$C$1005,$A54+1)</f>
        <v>-51047406.7226891</v>
      </c>
      <c r="D54" s="12" t="n">
        <f aca="false">($A54/'Giả định'!$B$19*D$43+$A54*'Giả định'!$B$23+'Giả định'!$B$24)-INDEX('Mô phỏng'!$C$5:$C$1005,$A54+1)</f>
        <v>34666878.9915966</v>
      </c>
      <c r="E54" s="12" t="n">
        <f aca="false">($A54/'Giả định'!$B$19*E$43+$A54*'Giả định'!$B$23+'Giả định'!$B$24)-INDEX('Mô phỏng'!$C$5:$C$1005,$A54+1)</f>
        <v>120381164.705882</v>
      </c>
      <c r="F54" s="12" t="n">
        <f aca="false">($A54/'Giả định'!$B$19*F$43+$A54*'Giả định'!$B$23+'Giả định'!$B$24)-INDEX('Mô phỏng'!$C$5:$C$1005,$A54+1)</f>
        <v>206095450.420168</v>
      </c>
      <c r="G54" s="12" t="n">
        <f aca="false">($A54/'Giả định'!$B$19*G$43+$A54*'Giả định'!$B$23+'Giả định'!$B$24)-INDEX('Mô phỏng'!$C$5:$C$1005,$A54+1)</f>
        <v>291809736.134454</v>
      </c>
    </row>
    <row r="56" customFormat="false" ht="15" hidden="false" customHeight="false" outlineLevel="0" collapsed="false">
      <c r="A56" s="5" t="s">
        <v>194</v>
      </c>
      <c r="B56" s="6"/>
      <c r="C56" s="6"/>
      <c r="D56" s="6"/>
      <c r="E56" s="6"/>
      <c r="F56" s="6"/>
      <c r="G56" s="6"/>
    </row>
    <row r="57" customFormat="false" ht="15" hidden="false" customHeight="false" outlineLevel="0" collapsed="false">
      <c r="A57" s="30" t="s">
        <v>195</v>
      </c>
      <c r="B57" s="30" t="s">
        <v>196</v>
      </c>
      <c r="C57" s="30" t="s">
        <v>197</v>
      </c>
      <c r="D57" s="30" t="s">
        <v>198</v>
      </c>
      <c r="E57" s="30" t="s">
        <v>199</v>
      </c>
    </row>
    <row r="58" customFormat="false" ht="15" hidden="false" customHeight="false" outlineLevel="0" collapsed="false">
      <c r="A58" s="36" t="n">
        <v>0</v>
      </c>
      <c r="B58" s="25" t="n">
        <f aca="false">INDEX('Mô phỏng'!$E$5:$E$1005,$A58+1)</f>
        <v>0</v>
      </c>
      <c r="C58" s="25" t="n">
        <f aca="false">INDEX('Mô phỏng'!$D$5:$D$1005,$A58+1)</f>
        <v>282194000</v>
      </c>
      <c r="D58" s="25" t="n">
        <f aca="false">INDEX('Mô phỏng'!$C$5:$C$1005,$A58+1)</f>
        <v>139249000</v>
      </c>
      <c r="E58" s="25" t="n">
        <f aca="false">B58-C58</f>
        <v>-282194000</v>
      </c>
    </row>
    <row r="59" customFormat="false" ht="15" hidden="false" customHeight="false" outlineLevel="0" collapsed="false">
      <c r="A59" s="25" t="n">
        <f aca="false">A58+25</f>
        <v>25</v>
      </c>
      <c r="B59" s="25" t="n">
        <f aca="false">INDEX('Mô phỏng'!$E$5:$E$1005,$A59+1)</f>
        <v>18487394.9579832</v>
      </c>
      <c r="C59" s="25" t="n">
        <f aca="false">INDEX('Mô phỏng'!$D$5:$D$1005,$A59+1)</f>
        <v>283112500</v>
      </c>
      <c r="D59" s="25" t="n">
        <f aca="false">INDEX('Mô phỏng'!$C$5:$C$1005,$A59+1)</f>
        <v>140167500</v>
      </c>
      <c r="E59" s="25" t="n">
        <f aca="false">B59-C59</f>
        <v>-264625105.042017</v>
      </c>
    </row>
    <row r="60" customFormat="false" ht="15" hidden="false" customHeight="false" outlineLevel="0" collapsed="false">
      <c r="A60" s="25" t="n">
        <f aca="false">A59+25</f>
        <v>50</v>
      </c>
      <c r="B60" s="25" t="n">
        <f aca="false">INDEX('Mô phỏng'!$E$5:$E$1005,$A60+1)</f>
        <v>36974789.9159664</v>
      </c>
      <c r="C60" s="25" t="n">
        <f aca="false">INDEX('Mô phỏng'!$D$5:$D$1005,$A60+1)</f>
        <v>284031000</v>
      </c>
      <c r="D60" s="25" t="n">
        <f aca="false">INDEX('Mô phỏng'!$C$5:$C$1005,$A60+1)</f>
        <v>141086000</v>
      </c>
      <c r="E60" s="25" t="n">
        <f aca="false">B60-C60</f>
        <v>-247056210.084034</v>
      </c>
    </row>
    <row r="61" customFormat="false" ht="15" hidden="false" customHeight="false" outlineLevel="0" collapsed="false">
      <c r="A61" s="25" t="n">
        <f aca="false">A60+25</f>
        <v>75</v>
      </c>
      <c r="B61" s="25" t="n">
        <f aca="false">INDEX('Mô phỏng'!$E$5:$E$1005,$A61+1)</f>
        <v>55462184.8739496</v>
      </c>
      <c r="C61" s="25" t="n">
        <f aca="false">INDEX('Mô phỏng'!$D$5:$D$1005,$A61+1)</f>
        <v>284949500</v>
      </c>
      <c r="D61" s="25" t="n">
        <f aca="false">INDEX('Mô phỏng'!$C$5:$C$1005,$A61+1)</f>
        <v>142004500</v>
      </c>
      <c r="E61" s="25" t="n">
        <f aca="false">B61-C61</f>
        <v>-229487315.12605</v>
      </c>
    </row>
    <row r="62" customFormat="false" ht="15" hidden="false" customHeight="false" outlineLevel="0" collapsed="false">
      <c r="A62" s="25" t="n">
        <f aca="false">A61+25</f>
        <v>100</v>
      </c>
      <c r="B62" s="25" t="n">
        <f aca="false">INDEX('Mô phỏng'!$E$5:$E$1005,$A62+1)</f>
        <v>73949579.8319328</v>
      </c>
      <c r="C62" s="25" t="n">
        <f aca="false">INDEX('Mô phỏng'!$D$5:$D$1005,$A62+1)</f>
        <v>285868000</v>
      </c>
      <c r="D62" s="25" t="n">
        <f aca="false">INDEX('Mô phỏng'!$C$5:$C$1005,$A62+1)</f>
        <v>142923000</v>
      </c>
      <c r="E62" s="25" t="n">
        <f aca="false">B62-C62</f>
        <v>-211918420.168067</v>
      </c>
    </row>
    <row r="63" customFormat="false" ht="15" hidden="false" customHeight="false" outlineLevel="0" collapsed="false">
      <c r="A63" s="25" t="n">
        <f aca="false">A62+25</f>
        <v>125</v>
      </c>
      <c r="B63" s="25" t="n">
        <f aca="false">INDEX('Mô phỏng'!$E$5:$E$1005,$A63+1)</f>
        <v>92436974.789916</v>
      </c>
      <c r="C63" s="25" t="n">
        <f aca="false">INDEX('Mô phỏng'!$D$5:$D$1005,$A63+1)</f>
        <v>286786500</v>
      </c>
      <c r="D63" s="25" t="n">
        <f aca="false">INDEX('Mô phỏng'!$C$5:$C$1005,$A63+1)</f>
        <v>143841500</v>
      </c>
      <c r="E63" s="25" t="n">
        <f aca="false">B63-C63</f>
        <v>-194349525.210084</v>
      </c>
    </row>
    <row r="64" customFormat="false" ht="15" hidden="false" customHeight="false" outlineLevel="0" collapsed="false">
      <c r="A64" s="25" t="n">
        <f aca="false">A63+25</f>
        <v>150</v>
      </c>
      <c r="B64" s="25" t="n">
        <f aca="false">INDEX('Mô phỏng'!$E$5:$E$1005,$A64+1)</f>
        <v>110924369.747899</v>
      </c>
      <c r="C64" s="25" t="n">
        <f aca="false">INDEX('Mô phỏng'!$D$5:$D$1005,$A64+1)</f>
        <v>293090600</v>
      </c>
      <c r="D64" s="25" t="n">
        <f aca="false">INDEX('Mô phỏng'!$C$5:$C$1005,$A64+1)</f>
        <v>150145600</v>
      </c>
      <c r="E64" s="25" t="n">
        <f aca="false">B64-C64</f>
        <v>-182166230.252101</v>
      </c>
    </row>
    <row r="65" customFormat="false" ht="15" hidden="false" customHeight="false" outlineLevel="0" collapsed="false">
      <c r="A65" s="25" t="n">
        <f aca="false">A64+25</f>
        <v>175</v>
      </c>
      <c r="B65" s="25" t="n">
        <f aca="false">INDEX('Mô phỏng'!$E$5:$E$1005,$A65+1)</f>
        <v>129411764.705882</v>
      </c>
      <c r="C65" s="25" t="n">
        <f aca="false">INDEX('Mô phỏng'!$D$5:$D$1005,$A65+1)</f>
        <v>310165900</v>
      </c>
      <c r="D65" s="25" t="n">
        <f aca="false">INDEX('Mô phỏng'!$C$5:$C$1005,$A65+1)</f>
        <v>167220900</v>
      </c>
      <c r="E65" s="25" t="n">
        <f aca="false">B65-C65</f>
        <v>-180754135.294118</v>
      </c>
    </row>
    <row r="66" customFormat="false" ht="15" hidden="false" customHeight="false" outlineLevel="0" collapsed="false">
      <c r="A66" s="25" t="n">
        <f aca="false">A65+25</f>
        <v>200</v>
      </c>
      <c r="B66" s="25" t="n">
        <f aca="false">INDEX('Mô phỏng'!$E$5:$E$1005,$A66+1)</f>
        <v>147899159.663866</v>
      </c>
      <c r="C66" s="25" t="n">
        <f aca="false">INDEX('Mô phỏng'!$D$5:$D$1005,$A66+1)</f>
        <v>321855600</v>
      </c>
      <c r="D66" s="25" t="n">
        <f aca="false">INDEX('Mô phỏng'!$C$5:$C$1005,$A66+1)</f>
        <v>178910600</v>
      </c>
      <c r="E66" s="25" t="n">
        <f aca="false">B66-C66</f>
        <v>-173956440.336134</v>
      </c>
    </row>
    <row r="67" customFormat="false" ht="15" hidden="false" customHeight="false" outlineLevel="0" collapsed="false">
      <c r="A67" s="25" t="n">
        <f aca="false">A66+25</f>
        <v>225</v>
      </c>
      <c r="B67" s="25" t="n">
        <f aca="false">INDEX('Mô phỏng'!$E$5:$E$1005,$A67+1)</f>
        <v>166386554.621849</v>
      </c>
      <c r="C67" s="25" t="n">
        <f aca="false">INDEX('Mô phỏng'!$D$5:$D$1005,$A67+1)</f>
        <v>338930900</v>
      </c>
      <c r="D67" s="25" t="n">
        <f aca="false">INDEX('Mô phỏng'!$C$5:$C$1005,$A67+1)</f>
        <v>195985900</v>
      </c>
      <c r="E67" s="25" t="n">
        <f aca="false">B67-C67</f>
        <v>-172544345.378151</v>
      </c>
    </row>
    <row r="68" customFormat="false" ht="15" hidden="false" customHeight="false" outlineLevel="0" collapsed="false">
      <c r="A68" s="25" t="n">
        <f aca="false">A67+25</f>
        <v>250</v>
      </c>
      <c r="B68" s="25" t="n">
        <f aca="false">INDEX('Mô phỏng'!$E$5:$E$1005,$A68+1)</f>
        <v>184873949.579832</v>
      </c>
      <c r="C68" s="25" t="n">
        <f aca="false">INDEX('Mô phỏng'!$D$5:$D$1005,$A68+1)</f>
        <v>350620600</v>
      </c>
      <c r="D68" s="25" t="n">
        <f aca="false">INDEX('Mô phỏng'!$C$5:$C$1005,$A68+1)</f>
        <v>207675600</v>
      </c>
      <c r="E68" s="25" t="n">
        <f aca="false">B68-C68</f>
        <v>-165746650.420168</v>
      </c>
    </row>
    <row r="69" customFormat="false" ht="15" hidden="false" customHeight="false" outlineLevel="0" collapsed="false">
      <c r="A69" s="25" t="n">
        <f aca="false">A68+25</f>
        <v>275</v>
      </c>
      <c r="B69" s="25" t="n">
        <f aca="false">INDEX('Mô phỏng'!$E$5:$E$1005,$A69+1)</f>
        <v>203361344.537815</v>
      </c>
      <c r="C69" s="25" t="n">
        <f aca="false">INDEX('Mô phỏng'!$D$5:$D$1005,$A69+1)</f>
        <v>367695900</v>
      </c>
      <c r="D69" s="25" t="n">
        <f aca="false">INDEX('Mô phỏng'!$C$5:$C$1005,$A69+1)</f>
        <v>224750900</v>
      </c>
      <c r="E69" s="25" t="n">
        <f aca="false">B69-C69</f>
        <v>-164334555.462185</v>
      </c>
    </row>
    <row r="70" customFormat="false" ht="15" hidden="false" customHeight="false" outlineLevel="0" collapsed="false">
      <c r="A70" s="25" t="n">
        <f aca="false">A69+25</f>
        <v>300</v>
      </c>
      <c r="B70" s="25" t="n">
        <f aca="false">INDEX('Mô phỏng'!$E$5:$E$1005,$A70+1)</f>
        <v>221848739.495798</v>
      </c>
      <c r="C70" s="25" t="n">
        <f aca="false">INDEX('Mô phỏng'!$D$5:$D$1005,$A70+1)</f>
        <v>379385600</v>
      </c>
      <c r="D70" s="25" t="n">
        <f aca="false">INDEX('Mô phỏng'!$C$5:$C$1005,$A70+1)</f>
        <v>236440600</v>
      </c>
      <c r="E70" s="25" t="n">
        <f aca="false">B70-C70</f>
        <v>-157536860.504202</v>
      </c>
    </row>
    <row r="71" customFormat="false" ht="15" hidden="false" customHeight="false" outlineLevel="0" collapsed="false">
      <c r="A71" s="25" t="n">
        <f aca="false">A70+25</f>
        <v>325</v>
      </c>
      <c r="B71" s="25" t="n">
        <f aca="false">INDEX('Mô phỏng'!$E$5:$E$1005,$A71+1)</f>
        <v>240336134.453782</v>
      </c>
      <c r="C71" s="25" t="n">
        <f aca="false">INDEX('Mô phỏng'!$D$5:$D$1005,$A71+1)</f>
        <v>396460900</v>
      </c>
      <c r="D71" s="25" t="n">
        <f aca="false">INDEX('Mô phỏng'!$C$5:$C$1005,$A71+1)</f>
        <v>253515900</v>
      </c>
      <c r="E71" s="25" t="n">
        <f aca="false">B71-C71</f>
        <v>-156124765.546219</v>
      </c>
    </row>
    <row r="72" customFormat="false" ht="15" hidden="false" customHeight="false" outlineLevel="0" collapsed="false">
      <c r="A72" s="25" t="n">
        <f aca="false">A71+25</f>
        <v>350</v>
      </c>
      <c r="B72" s="25" t="n">
        <f aca="false">INDEX('Mô phỏng'!$E$5:$E$1005,$A72+1)</f>
        <v>258823529.411765</v>
      </c>
      <c r="C72" s="25" t="n">
        <f aca="false">INDEX('Mô phỏng'!$D$5:$D$1005,$A72+1)</f>
        <v>408150600</v>
      </c>
      <c r="D72" s="25" t="n">
        <f aca="false">INDEX('Mô phỏng'!$C$5:$C$1005,$A72+1)</f>
        <v>265205600</v>
      </c>
      <c r="E72" s="25" t="n">
        <f aca="false">B72-C72</f>
        <v>-149327070.588235</v>
      </c>
    </row>
    <row r="73" customFormat="false" ht="15" hidden="false" customHeight="false" outlineLevel="0" collapsed="false">
      <c r="A73" s="25" t="n">
        <f aca="false">A72+25</f>
        <v>375</v>
      </c>
      <c r="B73" s="25" t="n">
        <f aca="false">INDEX('Mô phỏng'!$E$5:$E$1005,$A73+1)</f>
        <v>277310924.369748</v>
      </c>
      <c r="C73" s="25" t="n">
        <f aca="false">INDEX('Mô phỏng'!$D$5:$D$1005,$A73+1)</f>
        <v>425225900</v>
      </c>
      <c r="D73" s="25" t="n">
        <f aca="false">INDEX('Mô phỏng'!$C$5:$C$1005,$A73+1)</f>
        <v>282280900</v>
      </c>
      <c r="E73" s="25" t="n">
        <f aca="false">B73-C73</f>
        <v>-147914975.630252</v>
      </c>
    </row>
    <row r="74" customFormat="false" ht="15" hidden="false" customHeight="false" outlineLevel="0" collapsed="false">
      <c r="A74" s="25" t="n">
        <f aca="false">A73+25</f>
        <v>400</v>
      </c>
      <c r="B74" s="25" t="n">
        <f aca="false">INDEX('Mô phỏng'!$E$5:$E$1005,$A74+1)</f>
        <v>295798319.327731</v>
      </c>
      <c r="C74" s="25" t="n">
        <f aca="false">INDEX('Mô phỏng'!$D$5:$D$1005,$A74+1)</f>
        <v>436915600</v>
      </c>
      <c r="D74" s="25" t="n">
        <f aca="false">INDEX('Mô phỏng'!$C$5:$C$1005,$A74+1)</f>
        <v>293970600</v>
      </c>
      <c r="E74" s="25" t="n">
        <f aca="false">B74-C74</f>
        <v>-141117280.672269</v>
      </c>
    </row>
    <row r="75" customFormat="false" ht="15" hidden="false" customHeight="false" outlineLevel="0" collapsed="false">
      <c r="A75" s="25" t="n">
        <f aca="false">A74+25</f>
        <v>425</v>
      </c>
      <c r="B75" s="25" t="n">
        <f aca="false">INDEX('Mô phỏng'!$E$5:$E$1005,$A75+1)</f>
        <v>314285714.285714</v>
      </c>
      <c r="C75" s="25" t="n">
        <f aca="false">INDEX('Mô phỏng'!$D$5:$D$1005,$A75+1)</f>
        <v>453990900</v>
      </c>
      <c r="D75" s="25" t="n">
        <f aca="false">INDEX('Mô phỏng'!$C$5:$C$1005,$A75+1)</f>
        <v>311045900</v>
      </c>
      <c r="E75" s="25" t="n">
        <f aca="false">B75-C75</f>
        <v>-139705185.714286</v>
      </c>
    </row>
    <row r="76" customFormat="false" ht="15" hidden="false" customHeight="false" outlineLevel="0" collapsed="false">
      <c r="A76" s="25" t="n">
        <f aca="false">A75+25</f>
        <v>450</v>
      </c>
      <c r="B76" s="25" t="n">
        <f aca="false">INDEX('Mô phỏng'!$E$5:$E$1005,$A76+1)</f>
        <v>332773109.243698</v>
      </c>
      <c r="C76" s="25" t="n">
        <f aca="false">INDEX('Mô phỏng'!$D$5:$D$1005,$A76+1)</f>
        <v>465680600</v>
      </c>
      <c r="D76" s="25" t="n">
        <f aca="false">INDEX('Mô phỏng'!$C$5:$C$1005,$A76+1)</f>
        <v>322735600</v>
      </c>
      <c r="E76" s="25" t="n">
        <f aca="false">B76-C76</f>
        <v>-132907490.756303</v>
      </c>
    </row>
    <row r="77" customFormat="false" ht="15" hidden="false" customHeight="false" outlineLevel="0" collapsed="false">
      <c r="A77" s="25" t="n">
        <f aca="false">A76+25</f>
        <v>475</v>
      </c>
      <c r="B77" s="25" t="n">
        <f aca="false">INDEX('Mô phỏng'!$E$5:$E$1005,$A77+1)</f>
        <v>351260504.201681</v>
      </c>
      <c r="C77" s="25" t="n">
        <f aca="false">INDEX('Mô phỏng'!$D$5:$D$1005,$A77+1)</f>
        <v>482755900</v>
      </c>
      <c r="D77" s="25" t="n">
        <f aca="false">INDEX('Mô phỏng'!$C$5:$C$1005,$A77+1)</f>
        <v>339810900</v>
      </c>
      <c r="E77" s="25" t="n">
        <f aca="false">B77-C77</f>
        <v>-131495395.798319</v>
      </c>
    </row>
    <row r="78" customFormat="false" ht="15" hidden="false" customHeight="false" outlineLevel="0" collapsed="false">
      <c r="A78" s="25" t="n">
        <f aca="false">A77+25</f>
        <v>500</v>
      </c>
      <c r="B78" s="25" t="n">
        <f aca="false">INDEX('Mô phỏng'!$E$5:$E$1005,$A78+1)</f>
        <v>369747899.159664</v>
      </c>
      <c r="C78" s="25" t="n">
        <f aca="false">INDEX('Mô phỏng'!$D$5:$D$1005,$A78+1)</f>
        <v>494445600</v>
      </c>
      <c r="D78" s="25" t="n">
        <f aca="false">INDEX('Mô phỏng'!$C$5:$C$1005,$A78+1)</f>
        <v>351500600</v>
      </c>
      <c r="E78" s="25" t="n">
        <f aca="false">B78-C78</f>
        <v>-124697700.840336</v>
      </c>
    </row>
    <row r="79" customFormat="false" ht="15" hidden="false" customHeight="false" outlineLevel="0" collapsed="false">
      <c r="A79" s="25" t="n">
        <f aca="false">A78+25</f>
        <v>525</v>
      </c>
      <c r="B79" s="25" t="n">
        <f aca="false">INDEX('Mô phỏng'!$E$5:$E$1005,$A79+1)</f>
        <v>388235294.117647</v>
      </c>
      <c r="C79" s="25" t="n">
        <f aca="false">INDEX('Mô phỏng'!$D$5:$D$1005,$A79+1)</f>
        <v>511520900</v>
      </c>
      <c r="D79" s="25" t="n">
        <f aca="false">INDEX('Mô phỏng'!$C$5:$C$1005,$A79+1)</f>
        <v>368575900</v>
      </c>
      <c r="E79" s="25" t="n">
        <f aca="false">B79-C79</f>
        <v>-123285605.882353</v>
      </c>
    </row>
    <row r="80" customFormat="false" ht="15" hidden="false" customHeight="false" outlineLevel="0" collapsed="false">
      <c r="A80" s="25" t="n">
        <f aca="false">A79+25</f>
        <v>550</v>
      </c>
      <c r="B80" s="25" t="n">
        <f aca="false">INDEX('Mô phỏng'!$E$5:$E$1005,$A80+1)</f>
        <v>406722689.07563</v>
      </c>
      <c r="C80" s="25" t="n">
        <f aca="false">INDEX('Mô phỏng'!$D$5:$D$1005,$A80+1)</f>
        <v>523210600</v>
      </c>
      <c r="D80" s="25" t="n">
        <f aca="false">INDEX('Mô phỏng'!$C$5:$C$1005,$A80+1)</f>
        <v>380265600</v>
      </c>
      <c r="E80" s="25" t="n">
        <f aca="false">B80-C80</f>
        <v>-116487910.92437</v>
      </c>
    </row>
    <row r="81" customFormat="false" ht="15" hidden="false" customHeight="false" outlineLevel="0" collapsed="false">
      <c r="A81" s="25" t="n">
        <f aca="false">A80+25</f>
        <v>575</v>
      </c>
      <c r="B81" s="25" t="n">
        <f aca="false">INDEX('Mô phỏng'!$E$5:$E$1005,$A81+1)</f>
        <v>425210084.033613</v>
      </c>
      <c r="C81" s="25" t="n">
        <f aca="false">INDEX('Mô phỏng'!$D$5:$D$1005,$A81+1)</f>
        <v>540285900</v>
      </c>
      <c r="D81" s="25" t="n">
        <f aca="false">INDEX('Mô phỏng'!$C$5:$C$1005,$A81+1)</f>
        <v>397340900</v>
      </c>
      <c r="E81" s="25" t="n">
        <f aca="false">B81-C81</f>
        <v>-115075815.966387</v>
      </c>
    </row>
    <row r="82" customFormat="false" ht="15" hidden="false" customHeight="false" outlineLevel="0" collapsed="false">
      <c r="A82" s="25" t="n">
        <f aca="false">A81+25</f>
        <v>600</v>
      </c>
      <c r="B82" s="25" t="n">
        <f aca="false">INDEX('Mô phỏng'!$E$5:$E$1005,$A82+1)</f>
        <v>443697478.991597</v>
      </c>
      <c r="C82" s="25" t="n">
        <f aca="false">INDEX('Mô phỏng'!$D$5:$D$1005,$A82+1)</f>
        <v>551975600</v>
      </c>
      <c r="D82" s="25" t="n">
        <f aca="false">INDEX('Mô phỏng'!$C$5:$C$1005,$A82+1)</f>
        <v>409030600</v>
      </c>
      <c r="E82" s="25" t="n">
        <f aca="false">B82-C82</f>
        <v>-108278121.008403</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200</v>
      </c>
    </row>
    <row r="2" customFormat="false" ht="15" hidden="false" customHeight="false" outlineLevel="0" collapsed="false">
      <c r="A2" s="4" t="s">
        <v>201</v>
      </c>
    </row>
    <row r="4" customFormat="false" ht="43.5" hidden="false" customHeight="true" outlineLevel="0" collapsed="false">
      <c r="A4" s="18" t="s">
        <v>202</v>
      </c>
      <c r="B4" s="18" t="s">
        <v>203</v>
      </c>
      <c r="C4" s="18" t="s">
        <v>204</v>
      </c>
      <c r="D4" s="18" t="s">
        <v>205</v>
      </c>
      <c r="E4" s="18" t="s">
        <v>206</v>
      </c>
      <c r="F4" s="18" t="s">
        <v>207</v>
      </c>
    </row>
    <row r="5" customFormat="false" ht="15" hidden="false" customHeight="false" outlineLevel="0" collapsed="false">
      <c r="A5" s="37" t="s">
        <v>208</v>
      </c>
      <c r="B5" s="19" t="s">
        <v>209</v>
      </c>
      <c r="C5" s="15" t="n">
        <v>0.1</v>
      </c>
      <c r="D5" s="32" t="n">
        <f aca="false">C5*'Chi phí'!$I$59</f>
        <v>35618990</v>
      </c>
      <c r="E5" s="12" t="n">
        <f aca="false">D5</f>
        <v>35618990</v>
      </c>
      <c r="F5" s="22" t="n">
        <v>1</v>
      </c>
    </row>
    <row r="6" customFormat="false" ht="15" hidden="false" customHeight="false" outlineLevel="0" collapsed="false">
      <c r="A6" s="37" t="s">
        <v>210</v>
      </c>
      <c r="B6" s="19" t="s">
        <v>211</v>
      </c>
      <c r="C6" s="15" t="n">
        <v>0.3</v>
      </c>
      <c r="D6" s="32" t="n">
        <f aca="false">C6*'Chi phí'!$I$59</f>
        <v>106856970</v>
      </c>
      <c r="E6" s="12" t="n">
        <f aca="false">E5+D6</f>
        <v>142475960</v>
      </c>
      <c r="F6" s="22" t="n">
        <v>1</v>
      </c>
    </row>
    <row r="7" customFormat="false" ht="15" hidden="false" customHeight="false" outlineLevel="0" collapsed="false">
      <c r="A7" s="37" t="s">
        <v>212</v>
      </c>
      <c r="B7" s="19" t="s">
        <v>213</v>
      </c>
      <c r="C7" s="15" t="n">
        <v>0.25</v>
      </c>
      <c r="D7" s="32" t="n">
        <f aca="false">C7*'Chi phí'!$I$59</f>
        <v>89047475</v>
      </c>
      <c r="E7" s="12" t="n">
        <f aca="false">E6+D7</f>
        <v>231523435</v>
      </c>
      <c r="F7" s="22" t="n">
        <v>1</v>
      </c>
    </row>
    <row r="8" customFormat="false" ht="15" hidden="false" customHeight="false" outlineLevel="0" collapsed="false">
      <c r="A8" s="37" t="s">
        <v>214</v>
      </c>
      <c r="B8" s="19" t="s">
        <v>215</v>
      </c>
      <c r="C8" s="15" t="n">
        <v>0.35</v>
      </c>
      <c r="D8" s="32" t="n">
        <f aca="false">C8*'Chi phí'!$I$59</f>
        <v>124666465</v>
      </c>
      <c r="E8" s="12" t="n">
        <f aca="false">E7+D8</f>
        <v>356189900</v>
      </c>
      <c r="F8" s="22" t="n">
        <v>0</v>
      </c>
    </row>
    <row r="9" customFormat="false" ht="15" hidden="false" customHeight="false" outlineLevel="0" collapsed="false">
      <c r="A9" s="26" t="s">
        <v>216</v>
      </c>
      <c r="C9" s="38" t="n">
        <f aca="false">SUM(C5:C8)</f>
        <v>1</v>
      </c>
      <c r="D9" s="39" t="n">
        <f aca="false">SUM(D5:D8)</f>
        <v>356189900</v>
      </c>
      <c r="E9" s="9" t="str">
        <f aca="false">IF(ABS(C9-1)&lt;0.0001,"OK: tổng = 100%","LỆCH: tổng tỷ lệ phải bằng 100%")</f>
        <v>OK: tổng = 100%</v>
      </c>
    </row>
    <row r="11" customFormat="false" ht="15" hidden="false" customHeight="false" outlineLevel="0" collapsed="false">
      <c r="A11" s="5" t="s">
        <v>217</v>
      </c>
      <c r="B11" s="6"/>
      <c r="C11" s="6"/>
      <c r="D11" s="6"/>
      <c r="E11" s="6"/>
      <c r="F11" s="6"/>
    </row>
    <row r="12" customFormat="false" ht="15" hidden="false" customHeight="false" outlineLevel="0" collapsed="false">
      <c r="A12" s="33" t="s">
        <v>218</v>
      </c>
      <c r="B12" s="34" t="n">
        <f aca="false">SUMPRODUCT(D5:D8,F5:F8)</f>
        <v>231523435</v>
      </c>
    </row>
    <row r="13" customFormat="false" ht="15" hidden="false" customHeight="false" outlineLevel="0" collapsed="false">
      <c r="A13" s="7" t="s">
        <v>219</v>
      </c>
      <c r="B13" s="14" t="n">
        <f aca="false">IF(D9=0,0,B12/D9)</f>
        <v>0.65</v>
      </c>
    </row>
    <row r="14" customFormat="false" ht="15" hidden="false" customHeight="false" outlineLevel="0" collapsed="false">
      <c r="A14" s="7" t="s">
        <v>220</v>
      </c>
      <c r="B14" s="12" t="n">
        <f aca="false">D9-B12</f>
        <v>124666465</v>
      </c>
    </row>
    <row r="15" customFormat="false" ht="15" hidden="false" customHeight="false" outlineLevel="0" collapsed="false">
      <c r="A15" s="7" t="s">
        <v>221</v>
      </c>
      <c r="B15" s="32" t="n">
        <f aca="false">'Chi phí'!$I$60</f>
        <v>188571428.571429</v>
      </c>
    </row>
    <row r="16" customFormat="false" ht="15" hidden="false" customHeight="false" outlineLevel="0" collapsed="false">
      <c r="A16" s="7" t="s">
        <v>222</v>
      </c>
      <c r="B16" s="12" t="n">
        <f aca="false">B15-B14</f>
        <v>63904963.5714286</v>
      </c>
    </row>
    <row r="17" customFormat="false" ht="15" hidden="false" customHeight="false" outlineLevel="0" collapsed="false">
      <c r="A17" s="33" t="s">
        <v>223</v>
      </c>
      <c r="B17" s="40" t="n">
        <f aca="false">B15-D9</f>
        <v>-167618471.428571</v>
      </c>
    </row>
    <row r="19" customFormat="false" ht="51.75" hidden="false" customHeight="true" outlineLevel="0" collapsed="false">
      <c r="A19" s="41" t="s">
        <v>224</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225</v>
      </c>
    </row>
    <row r="2" customFormat="false" ht="15" hidden="false" customHeight="false" outlineLevel="0" collapsed="false">
      <c r="A2" s="4" t="s">
        <v>226</v>
      </c>
    </row>
    <row r="4" customFormat="false" ht="43.5" hidden="false" customHeight="true" outlineLevel="0" collapsed="false">
      <c r="A4" s="18" t="s">
        <v>227</v>
      </c>
      <c r="B4" s="18" t="s">
        <v>34</v>
      </c>
      <c r="C4" s="18" t="s">
        <v>228</v>
      </c>
      <c r="D4" s="18" t="s">
        <v>229</v>
      </c>
      <c r="E4" s="18" t="s">
        <v>173</v>
      </c>
      <c r="F4" s="18" t="s">
        <v>230</v>
      </c>
      <c r="G4" s="18" t="s">
        <v>231</v>
      </c>
      <c r="H4" s="18" t="s">
        <v>232</v>
      </c>
      <c r="I4" s="18" t="s">
        <v>233</v>
      </c>
      <c r="J4" s="18" t="s">
        <v>234</v>
      </c>
      <c r="K4" s="18" t="s">
        <v>235</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139249000</v>
      </c>
      <c r="D5" s="25" t="n">
        <f aca="false">('Chi phí'!$C$77+'Chi phí'!$D$77*B5+'Chi phí'!$E$77*A5+'Giả định'!$B$15*('Chi phí'!$F$77+'Chi phí'!$G$77*B5+'Chi phí'!$H$77*A5))*(1+'Giả định'!$B$16)</f>
        <v>282194000</v>
      </c>
      <c r="E5" s="25" t="n">
        <f aca="false">A5/'Giả định'!$B$19*'Giả định'!$B$20+A5*'Giả định'!$B$23+'Giả định'!$B$24</f>
        <v>0</v>
      </c>
      <c r="F5" s="25" t="n">
        <f aca="false">E5-D5</f>
        <v>-282194000</v>
      </c>
      <c r="G5" s="25" t="n">
        <f aca="false">E5-C5</f>
        <v>-139249000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139285740</v>
      </c>
      <c r="D6" s="25" t="n">
        <f aca="false">('Chi phí'!$C$77+'Chi phí'!$D$77*B6+'Chi phí'!$E$77*A6+'Giả định'!$B$15*('Chi phí'!$F$77+'Chi phí'!$G$77*B6+'Chi phí'!$H$77*A6))*(1+'Giả định'!$B$16)</f>
        <v>282230740</v>
      </c>
      <c r="E6" s="25" t="n">
        <f aca="false">A6/'Giả định'!$B$19*'Giả định'!$B$20+A6*'Giả định'!$B$23+'Giả định'!$B$24</f>
        <v>739495.798319328</v>
      </c>
      <c r="F6" s="25" t="n">
        <f aca="false">E6-D6</f>
        <v>-281491244.201681</v>
      </c>
      <c r="G6" s="25" t="n">
        <f aca="false">E6-C6</f>
        <v>-138546244.201681</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139322480</v>
      </c>
      <c r="D7" s="25" t="n">
        <f aca="false">('Chi phí'!$C$77+'Chi phí'!$D$77*B7+'Chi phí'!$E$77*A7+'Giả định'!$B$15*('Chi phí'!$F$77+'Chi phí'!$G$77*B7+'Chi phí'!$H$77*A7))*(1+'Giả định'!$B$16)</f>
        <v>282267480</v>
      </c>
      <c r="E7" s="25" t="n">
        <f aca="false">A7/'Giả định'!$B$19*'Giả định'!$B$20+A7*'Giả định'!$B$23+'Giả định'!$B$24</f>
        <v>1478991.59663866</v>
      </c>
      <c r="F7" s="25" t="n">
        <f aca="false">E7-D7</f>
        <v>-280788488.403361</v>
      </c>
      <c r="G7" s="25" t="n">
        <f aca="false">E7-C7</f>
        <v>-137843488.403361</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139359220</v>
      </c>
      <c r="D8" s="25" t="n">
        <f aca="false">('Chi phí'!$C$77+'Chi phí'!$D$77*B8+'Chi phí'!$E$77*A8+'Giả định'!$B$15*('Chi phí'!$F$77+'Chi phí'!$G$77*B8+'Chi phí'!$H$77*A8))*(1+'Giả định'!$B$16)</f>
        <v>282304220</v>
      </c>
      <c r="E8" s="25" t="n">
        <f aca="false">A8/'Giả định'!$B$19*'Giả định'!$B$20+A8*'Giả định'!$B$23+'Giả định'!$B$24</f>
        <v>2218487.39495798</v>
      </c>
      <c r="F8" s="25" t="n">
        <f aca="false">E8-D8</f>
        <v>-280085732.605042</v>
      </c>
      <c r="G8" s="25" t="n">
        <f aca="false">E8-C8</f>
        <v>-137140732.605042</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139395960</v>
      </c>
      <c r="D9" s="25" t="n">
        <f aca="false">('Chi phí'!$C$77+'Chi phí'!$D$77*B9+'Chi phí'!$E$77*A9+'Giả định'!$B$15*('Chi phí'!$F$77+'Chi phí'!$G$77*B9+'Chi phí'!$H$77*A9))*(1+'Giả định'!$B$16)</f>
        <v>282340960</v>
      </c>
      <c r="E9" s="25" t="n">
        <f aca="false">A9/'Giả định'!$B$19*'Giả định'!$B$20+A9*'Giả định'!$B$23+'Giả định'!$B$24</f>
        <v>2957983.19327731</v>
      </c>
      <c r="F9" s="25" t="n">
        <f aca="false">E9-D9</f>
        <v>-279382976.806723</v>
      </c>
      <c r="G9" s="25" t="n">
        <f aca="false">E9-C9</f>
        <v>-136437976.806723</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139432700</v>
      </c>
      <c r="D10" s="25" t="n">
        <f aca="false">('Chi phí'!$C$77+'Chi phí'!$D$77*B10+'Chi phí'!$E$77*A10+'Giả định'!$B$15*('Chi phí'!$F$77+'Chi phí'!$G$77*B10+'Chi phí'!$H$77*A10))*(1+'Giả định'!$B$16)</f>
        <v>282377700</v>
      </c>
      <c r="E10" s="25" t="n">
        <f aca="false">A10/'Giả định'!$B$19*'Giả định'!$B$20+A10*'Giả định'!$B$23+'Giả định'!$B$24</f>
        <v>3697478.99159664</v>
      </c>
      <c r="F10" s="25" t="n">
        <f aca="false">E10-D10</f>
        <v>-278680221.008403</v>
      </c>
      <c r="G10" s="25" t="n">
        <f aca="false">E10-C10</f>
        <v>-135735221.008403</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139469440</v>
      </c>
      <c r="D11" s="25" t="n">
        <f aca="false">('Chi phí'!$C$77+'Chi phí'!$D$77*B11+'Chi phí'!$E$77*A11+'Giả định'!$B$15*('Chi phí'!$F$77+'Chi phí'!$G$77*B11+'Chi phí'!$H$77*A11))*(1+'Giả định'!$B$16)</f>
        <v>282414440</v>
      </c>
      <c r="E11" s="25" t="n">
        <f aca="false">A11/'Giả định'!$B$19*'Giả định'!$B$20+A11*'Giả định'!$B$23+'Giả định'!$B$24</f>
        <v>4436974.78991597</v>
      </c>
      <c r="F11" s="25" t="n">
        <f aca="false">E11-D11</f>
        <v>-277977465.210084</v>
      </c>
      <c r="G11" s="25" t="n">
        <f aca="false">E11-C11</f>
        <v>-135032465.210084</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139506180</v>
      </c>
      <c r="D12" s="25" t="n">
        <f aca="false">('Chi phí'!$C$77+'Chi phí'!$D$77*B12+'Chi phí'!$E$77*A12+'Giả định'!$B$15*('Chi phí'!$F$77+'Chi phí'!$G$77*B12+'Chi phí'!$H$77*A12))*(1+'Giả định'!$B$16)</f>
        <v>282451180</v>
      </c>
      <c r="E12" s="25" t="n">
        <f aca="false">A12/'Giả định'!$B$19*'Giả định'!$B$20+A12*'Giả định'!$B$23+'Giả định'!$B$24</f>
        <v>5176470.58823529</v>
      </c>
      <c r="F12" s="25" t="n">
        <f aca="false">E12-D12</f>
        <v>-277274709.411765</v>
      </c>
      <c r="G12" s="25" t="n">
        <f aca="false">E12-C12</f>
        <v>-134329709.411765</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139542920</v>
      </c>
      <c r="D13" s="25" t="n">
        <f aca="false">('Chi phí'!$C$77+'Chi phí'!$D$77*B13+'Chi phí'!$E$77*A13+'Giả định'!$B$15*('Chi phí'!$F$77+'Chi phí'!$G$77*B13+'Chi phí'!$H$77*A13))*(1+'Giả định'!$B$16)</f>
        <v>282487920</v>
      </c>
      <c r="E13" s="25" t="n">
        <f aca="false">A13/'Giả định'!$B$19*'Giả định'!$B$20+A13*'Giả định'!$B$23+'Giả định'!$B$24</f>
        <v>5915966.38655462</v>
      </c>
      <c r="F13" s="25" t="n">
        <f aca="false">E13-D13</f>
        <v>-276571953.613445</v>
      </c>
      <c r="G13" s="25" t="n">
        <f aca="false">E13-C13</f>
        <v>-133626953.613445</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139579660</v>
      </c>
      <c r="D14" s="25" t="n">
        <f aca="false">('Chi phí'!$C$77+'Chi phí'!$D$77*B14+'Chi phí'!$E$77*A14+'Giả định'!$B$15*('Chi phí'!$F$77+'Chi phí'!$G$77*B14+'Chi phí'!$H$77*A14))*(1+'Giả định'!$B$16)</f>
        <v>282524660</v>
      </c>
      <c r="E14" s="25" t="n">
        <f aca="false">A14/'Giả định'!$B$19*'Giả định'!$B$20+A14*'Giả định'!$B$23+'Giả định'!$B$24</f>
        <v>6655462.18487395</v>
      </c>
      <c r="F14" s="25" t="n">
        <f aca="false">E14-D14</f>
        <v>-275869197.815126</v>
      </c>
      <c r="G14" s="25" t="n">
        <f aca="false">E14-C14</f>
        <v>-132924197.815126</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139616400</v>
      </c>
      <c r="D15" s="25" t="n">
        <f aca="false">('Chi phí'!$C$77+'Chi phí'!$D$77*B15+'Chi phí'!$E$77*A15+'Giả định'!$B$15*('Chi phí'!$F$77+'Chi phí'!$G$77*B15+'Chi phí'!$H$77*A15))*(1+'Giả định'!$B$16)</f>
        <v>282561400</v>
      </c>
      <c r="E15" s="25" t="n">
        <f aca="false">A15/'Giả định'!$B$19*'Giả định'!$B$20+A15*'Giả định'!$B$23+'Giả định'!$B$24</f>
        <v>7394957.98319328</v>
      </c>
      <c r="F15" s="25" t="n">
        <f aca="false">E15-D15</f>
        <v>-275166442.016807</v>
      </c>
      <c r="G15" s="25" t="n">
        <f aca="false">E15-C15</f>
        <v>-132221442.016807</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139653140</v>
      </c>
      <c r="D16" s="25" t="n">
        <f aca="false">('Chi phí'!$C$77+'Chi phí'!$D$77*B16+'Chi phí'!$E$77*A16+'Giả định'!$B$15*('Chi phí'!$F$77+'Chi phí'!$G$77*B16+'Chi phí'!$H$77*A16))*(1+'Giả định'!$B$16)</f>
        <v>282598140</v>
      </c>
      <c r="E16" s="25" t="n">
        <f aca="false">A16/'Giả định'!$B$19*'Giả định'!$B$20+A16*'Giả định'!$B$23+'Giả định'!$B$24</f>
        <v>8134453.78151261</v>
      </c>
      <c r="F16" s="25" t="n">
        <f aca="false">E16-D16</f>
        <v>-274463686.218487</v>
      </c>
      <c r="G16" s="25" t="n">
        <f aca="false">E16-C16</f>
        <v>-131518686.218487</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139689880</v>
      </c>
      <c r="D17" s="25" t="n">
        <f aca="false">('Chi phí'!$C$77+'Chi phí'!$D$77*B17+'Chi phí'!$E$77*A17+'Giả định'!$B$15*('Chi phí'!$F$77+'Chi phí'!$G$77*B17+'Chi phí'!$H$77*A17))*(1+'Giả định'!$B$16)</f>
        <v>282634880</v>
      </c>
      <c r="E17" s="25" t="n">
        <f aca="false">A17/'Giả định'!$B$19*'Giả định'!$B$20+A17*'Giả định'!$B$23+'Giả định'!$B$24</f>
        <v>8873949.57983193</v>
      </c>
      <c r="F17" s="25" t="n">
        <f aca="false">E17-D17</f>
        <v>-273760930.420168</v>
      </c>
      <c r="G17" s="25" t="n">
        <f aca="false">E17-C17</f>
        <v>-130815930.420168</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139726620</v>
      </c>
      <c r="D18" s="25" t="n">
        <f aca="false">('Chi phí'!$C$77+'Chi phí'!$D$77*B18+'Chi phí'!$E$77*A18+'Giả định'!$B$15*('Chi phí'!$F$77+'Chi phí'!$G$77*B18+'Chi phí'!$H$77*A18))*(1+'Giả định'!$B$16)</f>
        <v>282671620</v>
      </c>
      <c r="E18" s="25" t="n">
        <f aca="false">A18/'Giả định'!$B$19*'Giả định'!$B$20+A18*'Giả định'!$B$23+'Giả định'!$B$24</f>
        <v>9613445.37815126</v>
      </c>
      <c r="F18" s="25" t="n">
        <f aca="false">E18-D18</f>
        <v>-273058174.621849</v>
      </c>
      <c r="G18" s="25" t="n">
        <f aca="false">E18-C18</f>
        <v>-130113174.621849</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139763360</v>
      </c>
      <c r="D19" s="25" t="n">
        <f aca="false">('Chi phí'!$C$77+'Chi phí'!$D$77*B19+'Chi phí'!$E$77*A19+'Giả định'!$B$15*('Chi phí'!$F$77+'Chi phí'!$G$77*B19+'Chi phí'!$H$77*A19))*(1+'Giả định'!$B$16)</f>
        <v>282708360</v>
      </c>
      <c r="E19" s="25" t="n">
        <f aca="false">A19/'Giả định'!$B$19*'Giả định'!$B$20+A19*'Giả định'!$B$23+'Giả định'!$B$24</f>
        <v>10352941.1764706</v>
      </c>
      <c r="F19" s="25" t="n">
        <f aca="false">E19-D19</f>
        <v>-272355418.823529</v>
      </c>
      <c r="G19" s="25" t="n">
        <f aca="false">E19-C19</f>
        <v>-129410418.823529</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139800100</v>
      </c>
      <c r="D20" s="25" t="n">
        <f aca="false">('Chi phí'!$C$77+'Chi phí'!$D$77*B20+'Chi phí'!$E$77*A20+'Giả định'!$B$15*('Chi phí'!$F$77+'Chi phí'!$G$77*B20+'Chi phí'!$H$77*A20))*(1+'Giả định'!$B$16)</f>
        <v>282745100</v>
      </c>
      <c r="E20" s="25" t="n">
        <f aca="false">A20/'Giả định'!$B$19*'Giả định'!$B$20+A20*'Giả định'!$B$23+'Giả định'!$B$24</f>
        <v>11092436.9747899</v>
      </c>
      <c r="F20" s="25" t="n">
        <f aca="false">E20-D20</f>
        <v>-271652663.02521</v>
      </c>
      <c r="G20" s="25" t="n">
        <f aca="false">E20-C20</f>
        <v>-128707663.02521</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139836840</v>
      </c>
      <c r="D21" s="25" t="n">
        <f aca="false">('Chi phí'!$C$77+'Chi phí'!$D$77*B21+'Chi phí'!$E$77*A21+'Giả định'!$B$15*('Chi phí'!$F$77+'Chi phí'!$G$77*B21+'Chi phí'!$H$77*A21))*(1+'Giả định'!$B$16)</f>
        <v>282781840</v>
      </c>
      <c r="E21" s="25" t="n">
        <f aca="false">A21/'Giả định'!$B$19*'Giả định'!$B$20+A21*'Giả định'!$B$23+'Giả định'!$B$24</f>
        <v>11831932.7731092</v>
      </c>
      <c r="F21" s="25" t="n">
        <f aca="false">E21-D21</f>
        <v>-270949907.226891</v>
      </c>
      <c r="G21" s="25" t="n">
        <f aca="false">E21-C21</f>
        <v>-128004907.226891</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139873580</v>
      </c>
      <c r="D22" s="25" t="n">
        <f aca="false">('Chi phí'!$C$77+'Chi phí'!$D$77*B22+'Chi phí'!$E$77*A22+'Giả định'!$B$15*('Chi phí'!$F$77+'Chi phí'!$G$77*B22+'Chi phí'!$H$77*A22))*(1+'Giả định'!$B$16)</f>
        <v>282818580</v>
      </c>
      <c r="E22" s="25" t="n">
        <f aca="false">A22/'Giả định'!$B$19*'Giả định'!$B$20+A22*'Giả định'!$B$23+'Giả định'!$B$24</f>
        <v>12571428.5714286</v>
      </c>
      <c r="F22" s="25" t="n">
        <f aca="false">E22-D22</f>
        <v>-270247151.428571</v>
      </c>
      <c r="G22" s="25" t="n">
        <f aca="false">E22-C22</f>
        <v>-127302151.428571</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139910320</v>
      </c>
      <c r="D23" s="25" t="n">
        <f aca="false">('Chi phí'!$C$77+'Chi phí'!$D$77*B23+'Chi phí'!$E$77*A23+'Giả định'!$B$15*('Chi phí'!$F$77+'Chi phí'!$G$77*B23+'Chi phí'!$H$77*A23))*(1+'Giả định'!$B$16)</f>
        <v>282855320</v>
      </c>
      <c r="E23" s="25" t="n">
        <f aca="false">A23/'Giả định'!$B$19*'Giả định'!$B$20+A23*'Giả định'!$B$23+'Giả định'!$B$24</f>
        <v>13310924.3697479</v>
      </c>
      <c r="F23" s="25" t="n">
        <f aca="false">E23-D23</f>
        <v>-269544395.630252</v>
      </c>
      <c r="G23" s="25" t="n">
        <f aca="false">E23-C23</f>
        <v>-126599395.630252</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139947060</v>
      </c>
      <c r="D24" s="25" t="n">
        <f aca="false">('Chi phí'!$C$77+'Chi phí'!$D$77*B24+'Chi phí'!$E$77*A24+'Giả định'!$B$15*('Chi phí'!$F$77+'Chi phí'!$G$77*B24+'Chi phí'!$H$77*A24))*(1+'Giả định'!$B$16)</f>
        <v>282892060</v>
      </c>
      <c r="E24" s="25" t="n">
        <f aca="false">A24/'Giả định'!$B$19*'Giả định'!$B$20+A24*'Giả định'!$B$23+'Giả định'!$B$24</f>
        <v>14050420.1680672</v>
      </c>
      <c r="F24" s="25" t="n">
        <f aca="false">E24-D24</f>
        <v>-268841639.831933</v>
      </c>
      <c r="G24" s="25" t="n">
        <f aca="false">E24-C24</f>
        <v>-125896639.831933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139983800</v>
      </c>
      <c r="D25" s="25" t="n">
        <f aca="false">('Chi phí'!$C$77+'Chi phí'!$D$77*B25+'Chi phí'!$E$77*A25+'Giả định'!$B$15*('Chi phí'!$F$77+'Chi phí'!$G$77*B25+'Chi phí'!$H$77*A25))*(1+'Giả định'!$B$16)</f>
        <v>282928800</v>
      </c>
      <c r="E25" s="25" t="n">
        <f aca="false">A25/'Giả định'!$B$19*'Giả định'!$B$20+A25*'Giả định'!$B$23+'Giả định'!$B$24</f>
        <v>14789915.9663866</v>
      </c>
      <c r="F25" s="25" t="n">
        <f aca="false">E25-D25</f>
        <v>-268138884.033613</v>
      </c>
      <c r="G25" s="25" t="n">
        <f aca="false">E25-C25</f>
        <v>-125193884.033613</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140020540</v>
      </c>
      <c r="D26" s="25" t="n">
        <f aca="false">('Chi phí'!$C$77+'Chi phí'!$D$77*B26+'Chi phí'!$E$77*A26+'Giả định'!$B$15*('Chi phí'!$F$77+'Chi phí'!$G$77*B26+'Chi phí'!$H$77*A26))*(1+'Giả định'!$B$16)</f>
        <v>282965540</v>
      </c>
      <c r="E26" s="25" t="n">
        <f aca="false">A26/'Giả định'!$B$19*'Giả định'!$B$20+A26*'Giả định'!$B$23+'Giả định'!$B$24</f>
        <v>15529411.7647059</v>
      </c>
      <c r="F26" s="25" t="n">
        <f aca="false">E26-D26</f>
        <v>-267436128.235294</v>
      </c>
      <c r="G26" s="25" t="n">
        <f aca="false">E26-C26</f>
        <v>-124491128.235294</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140057280</v>
      </c>
      <c r="D27" s="25" t="n">
        <f aca="false">('Chi phí'!$C$77+'Chi phí'!$D$77*B27+'Chi phí'!$E$77*A27+'Giả định'!$B$15*('Chi phí'!$F$77+'Chi phí'!$G$77*B27+'Chi phí'!$H$77*A27))*(1+'Giả định'!$B$16)</f>
        <v>283002280</v>
      </c>
      <c r="E27" s="25" t="n">
        <f aca="false">A27/'Giả định'!$B$19*'Giả định'!$B$20+A27*'Giả định'!$B$23+'Giả định'!$B$24</f>
        <v>16268907.5630252</v>
      </c>
      <c r="F27" s="25" t="n">
        <f aca="false">E27-D27</f>
        <v>-266733372.436975</v>
      </c>
      <c r="G27" s="25" t="n">
        <f aca="false">E27-C27</f>
        <v>-123788372.436975</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140094020</v>
      </c>
      <c r="D28" s="25" t="n">
        <f aca="false">('Chi phí'!$C$77+'Chi phí'!$D$77*B28+'Chi phí'!$E$77*A28+'Giả định'!$B$15*('Chi phí'!$F$77+'Chi phí'!$G$77*B28+'Chi phí'!$H$77*A28))*(1+'Giả định'!$B$16)</f>
        <v>283039020</v>
      </c>
      <c r="E28" s="25" t="n">
        <f aca="false">A28/'Giả định'!$B$19*'Giả định'!$B$20+A28*'Giả định'!$B$23+'Giả định'!$B$24</f>
        <v>17008403.3613445</v>
      </c>
      <c r="F28" s="25" t="n">
        <f aca="false">E28-D28</f>
        <v>-266030616.638655</v>
      </c>
      <c r="G28" s="25" t="n">
        <f aca="false">E28-C28</f>
        <v>-123085616.638655</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140130760</v>
      </c>
      <c r="D29" s="25" t="n">
        <f aca="false">('Chi phí'!$C$77+'Chi phí'!$D$77*B29+'Chi phí'!$E$77*A29+'Giả định'!$B$15*('Chi phí'!$F$77+'Chi phí'!$G$77*B29+'Chi phí'!$H$77*A29))*(1+'Giả định'!$B$16)</f>
        <v>283075760</v>
      </c>
      <c r="E29" s="25" t="n">
        <f aca="false">A29/'Giả định'!$B$19*'Giả định'!$B$20+A29*'Giả định'!$B$23+'Giả định'!$B$24</f>
        <v>17747899.1596639</v>
      </c>
      <c r="F29" s="25" t="n">
        <f aca="false">E29-D29</f>
        <v>-265327860.840336</v>
      </c>
      <c r="G29" s="25" t="n">
        <f aca="false">E29-C29</f>
        <v>-122382860.840336</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140167500</v>
      </c>
      <c r="D30" s="25" t="n">
        <f aca="false">('Chi phí'!$C$77+'Chi phí'!$D$77*B30+'Chi phí'!$E$77*A30+'Giả định'!$B$15*('Chi phí'!$F$77+'Chi phí'!$G$77*B30+'Chi phí'!$H$77*A30))*(1+'Giả định'!$B$16)</f>
        <v>283112500</v>
      </c>
      <c r="E30" s="25" t="n">
        <f aca="false">A30/'Giả định'!$B$19*'Giả định'!$B$20+A30*'Giả định'!$B$23+'Giả định'!$B$24</f>
        <v>18487394.9579832</v>
      </c>
      <c r="F30" s="25" t="n">
        <f aca="false">E30-D30</f>
        <v>-264625105.042017</v>
      </c>
      <c r="G30" s="25" t="n">
        <f aca="false">E30-C30</f>
        <v>-121680105.042017</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140204240</v>
      </c>
      <c r="D31" s="25" t="n">
        <f aca="false">('Chi phí'!$C$77+'Chi phí'!$D$77*B31+'Chi phí'!$E$77*A31+'Giả định'!$B$15*('Chi phí'!$F$77+'Chi phí'!$G$77*B31+'Chi phí'!$H$77*A31))*(1+'Giả định'!$B$16)</f>
        <v>283149240</v>
      </c>
      <c r="E31" s="25" t="n">
        <f aca="false">A31/'Giả định'!$B$19*'Giả định'!$B$20+A31*'Giả định'!$B$23+'Giả định'!$B$24</f>
        <v>19226890.7563025</v>
      </c>
      <c r="F31" s="25" t="n">
        <f aca="false">E31-D31</f>
        <v>-263922349.243697</v>
      </c>
      <c r="G31" s="25" t="n">
        <f aca="false">E31-C31</f>
        <v>-120977349.243697</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140240980</v>
      </c>
      <c r="D32" s="25" t="n">
        <f aca="false">('Chi phí'!$C$77+'Chi phí'!$D$77*B32+'Chi phí'!$E$77*A32+'Giả định'!$B$15*('Chi phí'!$F$77+'Chi phí'!$G$77*B32+'Chi phí'!$H$77*A32))*(1+'Giả định'!$B$16)</f>
        <v>283185980</v>
      </c>
      <c r="E32" s="25" t="n">
        <f aca="false">A32/'Giả định'!$B$19*'Giả định'!$B$20+A32*'Giả định'!$B$23+'Giả định'!$B$24</f>
        <v>19966386.5546219</v>
      </c>
      <c r="F32" s="25" t="n">
        <f aca="false">E32-D32</f>
        <v>-263219593.445378</v>
      </c>
      <c r="G32" s="25" t="n">
        <f aca="false">E32-C32</f>
        <v>-120274593.445378</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140277720</v>
      </c>
      <c r="D33" s="25" t="n">
        <f aca="false">('Chi phí'!$C$77+'Chi phí'!$D$77*B33+'Chi phí'!$E$77*A33+'Giả định'!$B$15*('Chi phí'!$F$77+'Chi phí'!$G$77*B33+'Chi phí'!$H$77*A33))*(1+'Giả định'!$B$16)</f>
        <v>283222720</v>
      </c>
      <c r="E33" s="25" t="n">
        <f aca="false">A33/'Giả định'!$B$19*'Giả định'!$B$20+A33*'Giả định'!$B$23+'Giả định'!$B$24</f>
        <v>20705882.3529412</v>
      </c>
      <c r="F33" s="25" t="n">
        <f aca="false">E33-D33</f>
        <v>-262516837.647059</v>
      </c>
      <c r="G33" s="25" t="n">
        <f aca="false">E33-C33</f>
        <v>-119571837.647059</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140314460</v>
      </c>
      <c r="D34" s="25" t="n">
        <f aca="false">('Chi phí'!$C$77+'Chi phí'!$D$77*B34+'Chi phí'!$E$77*A34+'Giả định'!$B$15*('Chi phí'!$F$77+'Chi phí'!$G$77*B34+'Chi phí'!$H$77*A34))*(1+'Giả định'!$B$16)</f>
        <v>283259460</v>
      </c>
      <c r="E34" s="25" t="n">
        <f aca="false">A34/'Giả định'!$B$19*'Giả định'!$B$20+A34*'Giả định'!$B$23+'Giả định'!$B$24</f>
        <v>21445378.1512605</v>
      </c>
      <c r="F34" s="25" t="n">
        <f aca="false">E34-D34</f>
        <v>-261814081.84874</v>
      </c>
      <c r="G34" s="25" t="n">
        <f aca="false">E34-C34</f>
        <v>-118869081.848739</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140351200</v>
      </c>
      <c r="D35" s="25" t="n">
        <f aca="false">('Chi phí'!$C$77+'Chi phí'!$D$77*B35+'Chi phí'!$E$77*A35+'Giả định'!$B$15*('Chi phí'!$F$77+'Chi phí'!$G$77*B35+'Chi phí'!$H$77*A35))*(1+'Giả định'!$B$16)</f>
        <v>283296200</v>
      </c>
      <c r="E35" s="25" t="n">
        <f aca="false">A35/'Giả định'!$B$19*'Giả định'!$B$20+A35*'Giả định'!$B$23+'Giả định'!$B$24</f>
        <v>22184873.9495798</v>
      </c>
      <c r="F35" s="25" t="n">
        <f aca="false">E35-D35</f>
        <v>-261111326.05042</v>
      </c>
      <c r="G35" s="25" t="n">
        <f aca="false">E35-C35</f>
        <v>-118166326.05042</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140387940</v>
      </c>
      <c r="D36" s="25" t="n">
        <f aca="false">('Chi phí'!$C$77+'Chi phí'!$D$77*B36+'Chi phí'!$E$77*A36+'Giả định'!$B$15*('Chi phí'!$F$77+'Chi phí'!$G$77*B36+'Chi phí'!$H$77*A36))*(1+'Giả định'!$B$16)</f>
        <v>283332940</v>
      </c>
      <c r="E36" s="25" t="n">
        <f aca="false">A36/'Giả định'!$B$19*'Giả định'!$B$20+A36*'Giả định'!$B$23+'Giả định'!$B$24</f>
        <v>22924369.7478992</v>
      </c>
      <c r="F36" s="25" t="n">
        <f aca="false">E36-D36</f>
        <v>-260408570.252101</v>
      </c>
      <c r="G36" s="25" t="n">
        <f aca="false">E36-C36</f>
        <v>-117463570.252101</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140424680</v>
      </c>
      <c r="D37" s="25" t="n">
        <f aca="false">('Chi phí'!$C$77+'Chi phí'!$D$77*B37+'Chi phí'!$E$77*A37+'Giả định'!$B$15*('Chi phí'!$F$77+'Chi phí'!$G$77*B37+'Chi phí'!$H$77*A37))*(1+'Giả định'!$B$16)</f>
        <v>283369680</v>
      </c>
      <c r="E37" s="25" t="n">
        <f aca="false">A37/'Giả định'!$B$19*'Giả định'!$B$20+A37*'Giả định'!$B$23+'Giả định'!$B$24</f>
        <v>23663865.5462185</v>
      </c>
      <c r="F37" s="25" t="n">
        <f aca="false">E37-D37</f>
        <v>-259705814.453782</v>
      </c>
      <c r="G37" s="25" t="n">
        <f aca="false">E37-C37</f>
        <v>-116760814.453782</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140461420</v>
      </c>
      <c r="D38" s="25" t="n">
        <f aca="false">('Chi phí'!$C$77+'Chi phí'!$D$77*B38+'Chi phí'!$E$77*A38+'Giả định'!$B$15*('Chi phí'!$F$77+'Chi phí'!$G$77*B38+'Chi phí'!$H$77*A38))*(1+'Giả định'!$B$16)</f>
        <v>283406420</v>
      </c>
      <c r="E38" s="25" t="n">
        <f aca="false">A38/'Giả định'!$B$19*'Giả định'!$B$20+A38*'Giả định'!$B$23+'Giả định'!$B$24</f>
        <v>24403361.3445378</v>
      </c>
      <c r="F38" s="25" t="n">
        <f aca="false">E38-D38</f>
        <v>-259003058.655462</v>
      </c>
      <c r="G38" s="25" t="n">
        <f aca="false">E38-C38</f>
        <v>-116058058.655462</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140498160</v>
      </c>
      <c r="D39" s="25" t="n">
        <f aca="false">('Chi phí'!$C$77+'Chi phí'!$D$77*B39+'Chi phí'!$E$77*A39+'Giả định'!$B$15*('Chi phí'!$F$77+'Chi phí'!$G$77*B39+'Chi phí'!$H$77*A39))*(1+'Giả định'!$B$16)</f>
        <v>283443160</v>
      </c>
      <c r="E39" s="25" t="n">
        <f aca="false">A39/'Giả định'!$B$19*'Giả định'!$B$20+A39*'Giả định'!$B$23+'Giả định'!$B$24</f>
        <v>25142857.1428571</v>
      </c>
      <c r="F39" s="25" t="n">
        <f aca="false">E39-D39</f>
        <v>-258300302.857143</v>
      </c>
      <c r="G39" s="25" t="n">
        <f aca="false">E39-C39</f>
        <v>-115355302.857143</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140534900</v>
      </c>
      <c r="D40" s="25" t="n">
        <f aca="false">('Chi phí'!$C$77+'Chi phí'!$D$77*B40+'Chi phí'!$E$77*A40+'Giả định'!$B$15*('Chi phí'!$F$77+'Chi phí'!$G$77*B40+'Chi phí'!$H$77*A40))*(1+'Giả định'!$B$16)</f>
        <v>283479900</v>
      </c>
      <c r="E40" s="25" t="n">
        <f aca="false">A40/'Giả định'!$B$19*'Giả định'!$B$20+A40*'Giả định'!$B$23+'Giả định'!$B$24</f>
        <v>25882352.9411765</v>
      </c>
      <c r="F40" s="25" t="n">
        <f aca="false">E40-D40</f>
        <v>-257597547.058824</v>
      </c>
      <c r="G40" s="25" t="n">
        <f aca="false">E40-C40</f>
        <v>-114652547.058824</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140571640</v>
      </c>
      <c r="D41" s="25" t="n">
        <f aca="false">('Chi phí'!$C$77+'Chi phí'!$D$77*B41+'Chi phí'!$E$77*A41+'Giả định'!$B$15*('Chi phí'!$F$77+'Chi phí'!$G$77*B41+'Chi phí'!$H$77*A41))*(1+'Giả định'!$B$16)</f>
        <v>283516640</v>
      </c>
      <c r="E41" s="25" t="n">
        <f aca="false">A41/'Giả định'!$B$19*'Giả định'!$B$20+A41*'Giả định'!$B$23+'Giả định'!$B$24</f>
        <v>26621848.7394958</v>
      </c>
      <c r="F41" s="25" t="n">
        <f aca="false">E41-D41</f>
        <v>-256894791.260504</v>
      </c>
      <c r="G41" s="25" t="n">
        <f aca="false">E41-C41</f>
        <v>-113949791.260504</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140608380</v>
      </c>
      <c r="D42" s="25" t="n">
        <f aca="false">('Chi phí'!$C$77+'Chi phí'!$D$77*B42+'Chi phí'!$E$77*A42+'Giả định'!$B$15*('Chi phí'!$F$77+'Chi phí'!$G$77*B42+'Chi phí'!$H$77*A42))*(1+'Giả định'!$B$16)</f>
        <v>283553380</v>
      </c>
      <c r="E42" s="25" t="n">
        <f aca="false">A42/'Giả định'!$B$19*'Giả định'!$B$20+A42*'Giả định'!$B$23+'Giả định'!$B$24</f>
        <v>27361344.5378151</v>
      </c>
      <c r="F42" s="25" t="n">
        <f aca="false">E42-D42</f>
        <v>-256192035.462185</v>
      </c>
      <c r="G42" s="25" t="n">
        <f aca="false">E42-C42</f>
        <v>-113247035.462185</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140645120</v>
      </c>
      <c r="D43" s="25" t="n">
        <f aca="false">('Chi phí'!$C$77+'Chi phí'!$D$77*B43+'Chi phí'!$E$77*A43+'Giả định'!$B$15*('Chi phí'!$F$77+'Chi phí'!$G$77*B43+'Chi phí'!$H$77*A43))*(1+'Giả định'!$B$16)</f>
        <v>283590120</v>
      </c>
      <c r="E43" s="25" t="n">
        <f aca="false">A43/'Giả định'!$B$19*'Giả định'!$B$20+A43*'Giả định'!$B$23+'Giả định'!$B$24</f>
        <v>28100840.3361345</v>
      </c>
      <c r="F43" s="25" t="n">
        <f aca="false">E43-D43</f>
        <v>-255489279.663866</v>
      </c>
      <c r="G43" s="25" t="n">
        <f aca="false">E43-C43</f>
        <v>-112544279.663866</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140681860</v>
      </c>
      <c r="D44" s="25" t="n">
        <f aca="false">('Chi phí'!$C$77+'Chi phí'!$D$77*B44+'Chi phí'!$E$77*A44+'Giả định'!$B$15*('Chi phí'!$F$77+'Chi phí'!$G$77*B44+'Chi phí'!$H$77*A44))*(1+'Giả định'!$B$16)</f>
        <v>283626860</v>
      </c>
      <c r="E44" s="25" t="n">
        <f aca="false">A44/'Giả định'!$B$19*'Giả định'!$B$20+A44*'Giả định'!$B$23+'Giả định'!$B$24</f>
        <v>28840336.1344538</v>
      </c>
      <c r="F44" s="25" t="n">
        <f aca="false">E44-D44</f>
        <v>-254786523.865546</v>
      </c>
      <c r="G44" s="25" t="n">
        <f aca="false">E44-C44</f>
        <v>-111841523.865546</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140718600</v>
      </c>
      <c r="D45" s="25" t="n">
        <f aca="false">('Chi phí'!$C$77+'Chi phí'!$D$77*B45+'Chi phí'!$E$77*A45+'Giả định'!$B$15*('Chi phí'!$F$77+'Chi phí'!$G$77*B45+'Chi phí'!$H$77*A45))*(1+'Giả định'!$B$16)</f>
        <v>283663600</v>
      </c>
      <c r="E45" s="25" t="n">
        <f aca="false">A45/'Giả định'!$B$19*'Giả định'!$B$20+A45*'Giả định'!$B$23+'Giả định'!$B$24</f>
        <v>29579831.9327731</v>
      </c>
      <c r="F45" s="25" t="n">
        <f aca="false">E45-D45</f>
        <v>-254083768.067227</v>
      </c>
      <c r="G45" s="25" t="n">
        <f aca="false">E45-C45</f>
        <v>-111138768.067227</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140755340</v>
      </c>
      <c r="D46" s="25" t="n">
        <f aca="false">('Chi phí'!$C$77+'Chi phí'!$D$77*B46+'Chi phí'!$E$77*A46+'Giả định'!$B$15*('Chi phí'!$F$77+'Chi phí'!$G$77*B46+'Chi phí'!$H$77*A46))*(1+'Giả định'!$B$16)</f>
        <v>283700340</v>
      </c>
      <c r="E46" s="25" t="n">
        <f aca="false">A46/'Giả định'!$B$19*'Giả định'!$B$20+A46*'Giả định'!$B$23+'Giả định'!$B$24</f>
        <v>30319327.7310924</v>
      </c>
      <c r="F46" s="25" t="n">
        <f aca="false">E46-D46</f>
        <v>-253381012.268908</v>
      </c>
      <c r="G46" s="25" t="n">
        <f aca="false">E46-C46</f>
        <v>-110436012.268908</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140792080</v>
      </c>
      <c r="D47" s="25" t="n">
        <f aca="false">('Chi phí'!$C$77+'Chi phí'!$D$77*B47+'Chi phí'!$E$77*A47+'Giả định'!$B$15*('Chi phí'!$F$77+'Chi phí'!$G$77*B47+'Chi phí'!$H$77*A47))*(1+'Giả định'!$B$16)</f>
        <v>283737080</v>
      </c>
      <c r="E47" s="25" t="n">
        <f aca="false">A47/'Giả định'!$B$19*'Giả định'!$B$20+A47*'Giả định'!$B$23+'Giả định'!$B$24</f>
        <v>31058823.5294118</v>
      </c>
      <c r="F47" s="25" t="n">
        <f aca="false">E47-D47</f>
        <v>-252678256.470588</v>
      </c>
      <c r="G47" s="25" t="n">
        <f aca="false">E47-C47</f>
        <v>-109733256.470588</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140828820</v>
      </c>
      <c r="D48" s="25" t="n">
        <f aca="false">('Chi phí'!$C$77+'Chi phí'!$D$77*B48+'Chi phí'!$E$77*A48+'Giả định'!$B$15*('Chi phí'!$F$77+'Chi phí'!$G$77*B48+'Chi phí'!$H$77*A48))*(1+'Giả định'!$B$16)</f>
        <v>283773820</v>
      </c>
      <c r="E48" s="25" t="n">
        <f aca="false">A48/'Giả định'!$B$19*'Giả định'!$B$20+A48*'Giả định'!$B$23+'Giả định'!$B$24</f>
        <v>31798319.3277311</v>
      </c>
      <c r="F48" s="25" t="n">
        <f aca="false">E48-D48</f>
        <v>-251975500.672269</v>
      </c>
      <c r="G48" s="25" t="n">
        <f aca="false">E48-C48</f>
        <v>-109030500.672269</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140865560</v>
      </c>
      <c r="D49" s="25" t="n">
        <f aca="false">('Chi phí'!$C$77+'Chi phí'!$D$77*B49+'Chi phí'!$E$77*A49+'Giả định'!$B$15*('Chi phí'!$F$77+'Chi phí'!$G$77*B49+'Chi phí'!$H$77*A49))*(1+'Giả định'!$B$16)</f>
        <v>283810560</v>
      </c>
      <c r="E49" s="25" t="n">
        <f aca="false">A49/'Giả định'!$B$19*'Giả định'!$B$20+A49*'Giả định'!$B$23+'Giả định'!$B$24</f>
        <v>32537815.1260504</v>
      </c>
      <c r="F49" s="25" t="n">
        <f aca="false">E49-D49</f>
        <v>-251272744.87395</v>
      </c>
      <c r="G49" s="25" t="n">
        <f aca="false">E49-C49</f>
        <v>-108327744.87395</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140902300</v>
      </c>
      <c r="D50" s="25" t="n">
        <f aca="false">('Chi phí'!$C$77+'Chi phí'!$D$77*B50+'Chi phí'!$E$77*A50+'Giả định'!$B$15*('Chi phí'!$F$77+'Chi phí'!$G$77*B50+'Chi phí'!$H$77*A50))*(1+'Giả định'!$B$16)</f>
        <v>283847300</v>
      </c>
      <c r="E50" s="25" t="n">
        <f aca="false">A50/'Giả định'!$B$19*'Giả định'!$B$20+A50*'Giả định'!$B$23+'Giả định'!$B$24</f>
        <v>33277310.9243698</v>
      </c>
      <c r="F50" s="25" t="n">
        <f aca="false">E50-D50</f>
        <v>-250569989.07563</v>
      </c>
      <c r="G50" s="25" t="n">
        <f aca="false">E50-C50</f>
        <v>-107624989.07563</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140939040</v>
      </c>
      <c r="D51" s="25" t="n">
        <f aca="false">('Chi phí'!$C$77+'Chi phí'!$D$77*B51+'Chi phí'!$E$77*A51+'Giả định'!$B$15*('Chi phí'!$F$77+'Chi phí'!$G$77*B51+'Chi phí'!$H$77*A51))*(1+'Giả định'!$B$16)</f>
        <v>283884040</v>
      </c>
      <c r="E51" s="25" t="n">
        <f aca="false">A51/'Giả định'!$B$19*'Giả định'!$B$20+A51*'Giả định'!$B$23+'Giả định'!$B$24</f>
        <v>34016806.7226891</v>
      </c>
      <c r="F51" s="25" t="n">
        <f aca="false">E51-D51</f>
        <v>-249867233.277311</v>
      </c>
      <c r="G51" s="25" t="n">
        <f aca="false">E51-C51</f>
        <v>-106922233.277311</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140975780</v>
      </c>
      <c r="D52" s="25" t="n">
        <f aca="false">('Chi phí'!$C$77+'Chi phí'!$D$77*B52+'Chi phí'!$E$77*A52+'Giả định'!$B$15*('Chi phí'!$F$77+'Chi phí'!$G$77*B52+'Chi phí'!$H$77*A52))*(1+'Giả định'!$B$16)</f>
        <v>283920780</v>
      </c>
      <c r="E52" s="25" t="n">
        <f aca="false">A52/'Giả định'!$B$19*'Giả định'!$B$20+A52*'Giả định'!$B$23+'Giả định'!$B$24</f>
        <v>34756302.5210084</v>
      </c>
      <c r="F52" s="25" t="n">
        <f aca="false">E52-D52</f>
        <v>-249164477.478992</v>
      </c>
      <c r="G52" s="25" t="n">
        <f aca="false">E52-C52</f>
        <v>-106219477.478992</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141012520</v>
      </c>
      <c r="D53" s="25" t="n">
        <f aca="false">('Chi phí'!$C$77+'Chi phí'!$D$77*B53+'Chi phí'!$E$77*A53+'Giả định'!$B$15*('Chi phí'!$F$77+'Chi phí'!$G$77*B53+'Chi phí'!$H$77*A53))*(1+'Giả định'!$B$16)</f>
        <v>283957520</v>
      </c>
      <c r="E53" s="25" t="n">
        <f aca="false">A53/'Giả định'!$B$19*'Giả định'!$B$20+A53*'Giả định'!$B$23+'Giả định'!$B$24</f>
        <v>35495798.3193277</v>
      </c>
      <c r="F53" s="25" t="n">
        <f aca="false">E53-D53</f>
        <v>-248461721.680672</v>
      </c>
      <c r="G53" s="25" t="n">
        <f aca="false">E53-C53</f>
        <v>-105516721.680672</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141049260</v>
      </c>
      <c r="D54" s="25" t="n">
        <f aca="false">('Chi phí'!$C$77+'Chi phí'!$D$77*B54+'Chi phí'!$E$77*A54+'Giả định'!$B$15*('Chi phí'!$F$77+'Chi phí'!$G$77*B54+'Chi phí'!$H$77*A54))*(1+'Giả định'!$B$16)</f>
        <v>283994260</v>
      </c>
      <c r="E54" s="25" t="n">
        <f aca="false">A54/'Giả định'!$B$19*'Giả định'!$B$20+A54*'Giả định'!$B$23+'Giả định'!$B$24</f>
        <v>36235294.1176471</v>
      </c>
      <c r="F54" s="25" t="n">
        <f aca="false">E54-D54</f>
        <v>-247758965.882353</v>
      </c>
      <c r="G54" s="25" t="n">
        <f aca="false">E54-C54</f>
        <v>-104813965.882353</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141086000</v>
      </c>
      <c r="D55" s="25" t="n">
        <f aca="false">('Chi phí'!$C$77+'Chi phí'!$D$77*B55+'Chi phí'!$E$77*A55+'Giả định'!$B$15*('Chi phí'!$F$77+'Chi phí'!$G$77*B55+'Chi phí'!$H$77*A55))*(1+'Giả định'!$B$16)</f>
        <v>284031000</v>
      </c>
      <c r="E55" s="25" t="n">
        <f aca="false">A55/'Giả định'!$B$19*'Giả định'!$B$20+A55*'Giả định'!$B$23+'Giả định'!$B$24</f>
        <v>36974789.9159664</v>
      </c>
      <c r="F55" s="25" t="n">
        <f aca="false">E55-D55</f>
        <v>-247056210.084034</v>
      </c>
      <c r="G55" s="25" t="n">
        <f aca="false">E55-C55</f>
        <v>-104111210.084034</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141122740</v>
      </c>
      <c r="D56" s="25" t="n">
        <f aca="false">('Chi phí'!$C$77+'Chi phí'!$D$77*B56+'Chi phí'!$E$77*A56+'Giả định'!$B$15*('Chi phí'!$F$77+'Chi phí'!$G$77*B56+'Chi phí'!$H$77*A56))*(1+'Giả định'!$B$16)</f>
        <v>284067740</v>
      </c>
      <c r="E56" s="25" t="n">
        <f aca="false">A56/'Giả định'!$B$19*'Giả định'!$B$20+A56*'Giả định'!$B$23+'Giả định'!$B$24</f>
        <v>37714285.7142857</v>
      </c>
      <c r="F56" s="25" t="n">
        <f aca="false">E56-D56</f>
        <v>-246353454.285714</v>
      </c>
      <c r="G56" s="25" t="n">
        <f aca="false">E56-C56</f>
        <v>-103408454.285714</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141159480</v>
      </c>
      <c r="D57" s="25" t="n">
        <f aca="false">('Chi phí'!$C$77+'Chi phí'!$D$77*B57+'Chi phí'!$E$77*A57+'Giả định'!$B$15*('Chi phí'!$F$77+'Chi phí'!$G$77*B57+'Chi phí'!$H$77*A57))*(1+'Giả định'!$B$16)</f>
        <v>284104480</v>
      </c>
      <c r="E57" s="25" t="n">
        <f aca="false">A57/'Giả định'!$B$19*'Giả định'!$B$20+A57*'Giả định'!$B$23+'Giả định'!$B$24</f>
        <v>38453781.5126051</v>
      </c>
      <c r="F57" s="25" t="n">
        <f aca="false">E57-D57</f>
        <v>-245650698.487395</v>
      </c>
      <c r="G57" s="25" t="n">
        <f aca="false">E57-C57</f>
        <v>-102705698.487395</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141196220</v>
      </c>
      <c r="D58" s="25" t="n">
        <f aca="false">('Chi phí'!$C$77+'Chi phí'!$D$77*B58+'Chi phí'!$E$77*A58+'Giả định'!$B$15*('Chi phí'!$F$77+'Chi phí'!$G$77*B58+'Chi phí'!$H$77*A58))*(1+'Giả định'!$B$16)</f>
        <v>284141220</v>
      </c>
      <c r="E58" s="25" t="n">
        <f aca="false">A58/'Giả định'!$B$19*'Giả định'!$B$20+A58*'Giả định'!$B$23+'Giả định'!$B$24</f>
        <v>39193277.3109244</v>
      </c>
      <c r="F58" s="25" t="n">
        <f aca="false">E58-D58</f>
        <v>-244947942.689076</v>
      </c>
      <c r="G58" s="25" t="n">
        <f aca="false">E58-C58</f>
        <v>-102002942.689076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141232960</v>
      </c>
      <c r="D59" s="25" t="n">
        <f aca="false">('Chi phí'!$C$77+'Chi phí'!$D$77*B59+'Chi phí'!$E$77*A59+'Giả định'!$B$15*('Chi phí'!$F$77+'Chi phí'!$G$77*B59+'Chi phí'!$H$77*A59))*(1+'Giả định'!$B$16)</f>
        <v>284177960</v>
      </c>
      <c r="E59" s="25" t="n">
        <f aca="false">A59/'Giả định'!$B$19*'Giả định'!$B$20+A59*'Giả định'!$B$23+'Giả định'!$B$24</f>
        <v>39932773.1092437</v>
      </c>
      <c r="F59" s="25" t="n">
        <f aca="false">E59-D59</f>
        <v>-244245186.890756</v>
      </c>
      <c r="G59" s="25" t="n">
        <f aca="false">E59-C59</f>
        <v>-101300186.890756</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141269700</v>
      </c>
      <c r="D60" s="25" t="n">
        <f aca="false">('Chi phí'!$C$77+'Chi phí'!$D$77*B60+'Chi phí'!$E$77*A60+'Giả định'!$B$15*('Chi phí'!$F$77+'Chi phí'!$G$77*B60+'Chi phí'!$H$77*A60))*(1+'Giả định'!$B$16)</f>
        <v>284214700</v>
      </c>
      <c r="E60" s="25" t="n">
        <f aca="false">A60/'Giả định'!$B$19*'Giả định'!$B$20+A60*'Giả định'!$B$23+'Giả định'!$B$24</f>
        <v>40672268.907563</v>
      </c>
      <c r="F60" s="25" t="n">
        <f aca="false">E60-D60</f>
        <v>-243542431.092437</v>
      </c>
      <c r="G60" s="25" t="n">
        <f aca="false">E60-C60</f>
        <v>-100597431.092437</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141306440</v>
      </c>
      <c r="D61" s="25" t="n">
        <f aca="false">('Chi phí'!$C$77+'Chi phí'!$D$77*B61+'Chi phí'!$E$77*A61+'Giả định'!$B$15*('Chi phí'!$F$77+'Chi phí'!$G$77*B61+'Chi phí'!$H$77*A61))*(1+'Giả định'!$B$16)</f>
        <v>284251440</v>
      </c>
      <c r="E61" s="25" t="n">
        <f aca="false">A61/'Giả định'!$B$19*'Giả định'!$B$20+A61*'Giả định'!$B$23+'Giả định'!$B$24</f>
        <v>41411764.7058824</v>
      </c>
      <c r="F61" s="25" t="n">
        <f aca="false">E61-D61</f>
        <v>-242839675.294118</v>
      </c>
      <c r="G61" s="25" t="n">
        <f aca="false">E61-C61</f>
        <v>-99894675.2941176</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141343180</v>
      </c>
      <c r="D62" s="25" t="n">
        <f aca="false">('Chi phí'!$C$77+'Chi phí'!$D$77*B62+'Chi phí'!$E$77*A62+'Giả định'!$B$15*('Chi phí'!$F$77+'Chi phí'!$G$77*B62+'Chi phí'!$H$77*A62))*(1+'Giả định'!$B$16)</f>
        <v>284288180</v>
      </c>
      <c r="E62" s="25" t="n">
        <f aca="false">A62/'Giả định'!$B$19*'Giả định'!$B$20+A62*'Giả định'!$B$23+'Giả định'!$B$24</f>
        <v>42151260.5042017</v>
      </c>
      <c r="F62" s="25" t="n">
        <f aca="false">E62-D62</f>
        <v>-242136919.495798</v>
      </c>
      <c r="G62" s="25" t="n">
        <f aca="false">E62-C62</f>
        <v>-99191919.4957983</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141379920</v>
      </c>
      <c r="D63" s="25" t="n">
        <f aca="false">('Chi phí'!$C$77+'Chi phí'!$D$77*B63+'Chi phí'!$E$77*A63+'Giả định'!$B$15*('Chi phí'!$F$77+'Chi phí'!$G$77*B63+'Chi phí'!$H$77*A63))*(1+'Giả định'!$B$16)</f>
        <v>284324920</v>
      </c>
      <c r="E63" s="25" t="n">
        <f aca="false">A63/'Giả định'!$B$19*'Giả định'!$B$20+A63*'Giả định'!$B$23+'Giả định'!$B$24</f>
        <v>42890756.302521</v>
      </c>
      <c r="F63" s="25" t="n">
        <f aca="false">E63-D63</f>
        <v>-241434163.697479</v>
      </c>
      <c r="G63" s="25" t="n">
        <f aca="false">E63-C63</f>
        <v>-98489163.697479</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141416660</v>
      </c>
      <c r="D64" s="25" t="n">
        <f aca="false">('Chi phí'!$C$77+'Chi phí'!$D$77*B64+'Chi phí'!$E$77*A64+'Giả định'!$B$15*('Chi phí'!$F$77+'Chi phí'!$G$77*B64+'Chi phí'!$H$77*A64))*(1+'Giả định'!$B$16)</f>
        <v>284361660</v>
      </c>
      <c r="E64" s="25" t="n">
        <f aca="false">A64/'Giả định'!$B$19*'Giả định'!$B$20+A64*'Giả định'!$B$23+'Giả định'!$B$24</f>
        <v>43630252.1008403</v>
      </c>
      <c r="F64" s="25" t="n">
        <f aca="false">E64-D64</f>
        <v>-240731407.89916</v>
      </c>
      <c r="G64" s="25" t="n">
        <f aca="false">E64-C64</f>
        <v>-97786407.8991597</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141453400</v>
      </c>
      <c r="D65" s="25" t="n">
        <f aca="false">('Chi phí'!$C$77+'Chi phí'!$D$77*B65+'Chi phí'!$E$77*A65+'Giả định'!$B$15*('Chi phí'!$F$77+'Chi phí'!$G$77*B65+'Chi phí'!$H$77*A65))*(1+'Giả định'!$B$16)</f>
        <v>284398400</v>
      </c>
      <c r="E65" s="25" t="n">
        <f aca="false">A65/'Giả định'!$B$19*'Giả định'!$B$20+A65*'Giả định'!$B$23+'Giả định'!$B$24</f>
        <v>44369747.8991597</v>
      </c>
      <c r="F65" s="25" t="n">
        <f aca="false">E65-D65</f>
        <v>-240028652.10084</v>
      </c>
      <c r="G65" s="25" t="n">
        <f aca="false">E65-C65</f>
        <v>-97083652.1008403</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141490140</v>
      </c>
      <c r="D66" s="25" t="n">
        <f aca="false">('Chi phí'!$C$77+'Chi phí'!$D$77*B66+'Chi phí'!$E$77*A66+'Giả định'!$B$15*('Chi phí'!$F$77+'Chi phí'!$G$77*B66+'Chi phí'!$H$77*A66))*(1+'Giả định'!$B$16)</f>
        <v>284435140</v>
      </c>
      <c r="E66" s="25" t="n">
        <f aca="false">A66/'Giả định'!$B$19*'Giả định'!$B$20+A66*'Giả định'!$B$23+'Giả định'!$B$24</f>
        <v>45109243.697479</v>
      </c>
      <c r="F66" s="25" t="n">
        <f aca="false">E66-D66</f>
        <v>-239325896.302521</v>
      </c>
      <c r="G66" s="25" t="n">
        <f aca="false">E66-C66</f>
        <v>-96380896.302521</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141526880</v>
      </c>
      <c r="D67" s="25" t="n">
        <f aca="false">('Chi phí'!$C$77+'Chi phí'!$D$77*B67+'Chi phí'!$E$77*A67+'Giả định'!$B$15*('Chi phí'!$F$77+'Chi phí'!$G$77*B67+'Chi phí'!$H$77*A67))*(1+'Giả định'!$B$16)</f>
        <v>284471880</v>
      </c>
      <c r="E67" s="25" t="n">
        <f aca="false">A67/'Giả định'!$B$19*'Giả định'!$B$20+A67*'Giả định'!$B$23+'Giả định'!$B$24</f>
        <v>45848739.4957983</v>
      </c>
      <c r="F67" s="25" t="n">
        <f aca="false">E67-D67</f>
        <v>-238623140.504202</v>
      </c>
      <c r="G67" s="25" t="n">
        <f aca="false">E67-C67</f>
        <v>-95678140.5042017</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141563620</v>
      </c>
      <c r="D68" s="25" t="n">
        <f aca="false">('Chi phí'!$C$77+'Chi phí'!$D$77*B68+'Chi phí'!$E$77*A68+'Giả định'!$B$15*('Chi phí'!$F$77+'Chi phí'!$G$77*B68+'Chi phí'!$H$77*A68))*(1+'Giả định'!$B$16)</f>
        <v>284508620</v>
      </c>
      <c r="E68" s="25" t="n">
        <f aca="false">A68/'Giả định'!$B$19*'Giả định'!$B$20+A68*'Giả định'!$B$23+'Giả định'!$B$24</f>
        <v>46588235.2941176</v>
      </c>
      <c r="F68" s="25" t="n">
        <f aca="false">E68-D68</f>
        <v>-237920384.705882</v>
      </c>
      <c r="G68" s="25" t="n">
        <f aca="false">E68-C68</f>
        <v>-94975384.7058824</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141600360</v>
      </c>
      <c r="D69" s="25" t="n">
        <f aca="false">('Chi phí'!$C$77+'Chi phí'!$D$77*B69+'Chi phí'!$E$77*A69+'Giả định'!$B$15*('Chi phí'!$F$77+'Chi phí'!$G$77*B69+'Chi phí'!$H$77*A69))*(1+'Giả định'!$B$16)</f>
        <v>284545360</v>
      </c>
      <c r="E69" s="25" t="n">
        <f aca="false">A69/'Giả định'!$B$19*'Giả định'!$B$20+A69*'Giả định'!$B$23+'Giả định'!$B$24</f>
        <v>47327731.092437</v>
      </c>
      <c r="F69" s="25" t="n">
        <f aca="false">E69-D69</f>
        <v>-237217628.907563</v>
      </c>
      <c r="G69" s="25" t="n">
        <f aca="false">E69-C69</f>
        <v>-94272628.907563</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141637100</v>
      </c>
      <c r="D70" s="25" t="n">
        <f aca="false">('Chi phí'!$C$77+'Chi phí'!$D$77*B70+'Chi phí'!$E$77*A70+'Giả định'!$B$15*('Chi phí'!$F$77+'Chi phí'!$G$77*B70+'Chi phí'!$H$77*A70))*(1+'Giả định'!$B$16)</f>
        <v>284582100</v>
      </c>
      <c r="E70" s="25" t="n">
        <f aca="false">A70/'Giả định'!$B$19*'Giả định'!$B$20+A70*'Giả định'!$B$23+'Giả định'!$B$24</f>
        <v>48067226.8907563</v>
      </c>
      <c r="F70" s="25" t="n">
        <f aca="false">E70-D70</f>
        <v>-236514873.109244</v>
      </c>
      <c r="G70" s="25" t="n">
        <f aca="false">E70-C70</f>
        <v>-93569873.1092437</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141673840</v>
      </c>
      <c r="D71" s="25" t="n">
        <f aca="false">('Chi phí'!$C$77+'Chi phí'!$D$77*B71+'Chi phí'!$E$77*A71+'Giả định'!$B$15*('Chi phí'!$F$77+'Chi phí'!$G$77*B71+'Chi phí'!$H$77*A71))*(1+'Giả định'!$B$16)</f>
        <v>284618840</v>
      </c>
      <c r="E71" s="25" t="n">
        <f aca="false">A71/'Giả định'!$B$19*'Giả định'!$B$20+A71*'Giả định'!$B$23+'Giả định'!$B$24</f>
        <v>48806722.6890756</v>
      </c>
      <c r="F71" s="25" t="n">
        <f aca="false">E71-D71</f>
        <v>-235812117.310924</v>
      </c>
      <c r="G71" s="25" t="n">
        <f aca="false">E71-C71</f>
        <v>-92867117.3109244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141710580</v>
      </c>
      <c r="D72" s="25" t="n">
        <f aca="false">('Chi phí'!$C$77+'Chi phí'!$D$77*B72+'Chi phí'!$E$77*A72+'Giả định'!$B$15*('Chi phí'!$F$77+'Chi phí'!$G$77*B72+'Chi phí'!$H$77*A72))*(1+'Giả định'!$B$16)</f>
        <v>284655580</v>
      </c>
      <c r="E72" s="25" t="n">
        <f aca="false">A72/'Giả định'!$B$19*'Giả định'!$B$20+A72*'Giả định'!$B$23+'Giả định'!$B$24</f>
        <v>49546218.487395</v>
      </c>
      <c r="F72" s="25" t="n">
        <f aca="false">E72-D72</f>
        <v>-235109361.512605</v>
      </c>
      <c r="G72" s="25" t="n">
        <f aca="false">E72-C72</f>
        <v>-92164361.512605</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141747320</v>
      </c>
      <c r="D73" s="25" t="n">
        <f aca="false">('Chi phí'!$C$77+'Chi phí'!$D$77*B73+'Chi phí'!$E$77*A73+'Giả định'!$B$15*('Chi phí'!$F$77+'Chi phí'!$G$77*B73+'Chi phí'!$H$77*A73))*(1+'Giả định'!$B$16)</f>
        <v>284692320</v>
      </c>
      <c r="E73" s="25" t="n">
        <f aca="false">A73/'Giả định'!$B$19*'Giả định'!$B$20+A73*'Giả định'!$B$23+'Giả định'!$B$24</f>
        <v>50285714.2857143</v>
      </c>
      <c r="F73" s="25" t="n">
        <f aca="false">E73-D73</f>
        <v>-234406605.714286</v>
      </c>
      <c r="G73" s="25" t="n">
        <f aca="false">E73-C73</f>
        <v>-91461605.7142857</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141784060</v>
      </c>
      <c r="D74" s="25" t="n">
        <f aca="false">('Chi phí'!$C$77+'Chi phí'!$D$77*B74+'Chi phí'!$E$77*A74+'Giả định'!$B$15*('Chi phí'!$F$77+'Chi phí'!$G$77*B74+'Chi phí'!$H$77*A74))*(1+'Giả định'!$B$16)</f>
        <v>284729060</v>
      </c>
      <c r="E74" s="25" t="n">
        <f aca="false">A74/'Giả định'!$B$19*'Giả định'!$B$20+A74*'Giả định'!$B$23+'Giả định'!$B$24</f>
        <v>51025210.0840336</v>
      </c>
      <c r="F74" s="25" t="n">
        <f aca="false">E74-D74</f>
        <v>-233703849.915966</v>
      </c>
      <c r="G74" s="25" t="n">
        <f aca="false">E74-C74</f>
        <v>-90758849.9159664</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141820800</v>
      </c>
      <c r="D75" s="25" t="n">
        <f aca="false">('Chi phí'!$C$77+'Chi phí'!$D$77*B75+'Chi phí'!$E$77*A75+'Giả định'!$B$15*('Chi phí'!$F$77+'Chi phí'!$G$77*B75+'Chi phí'!$H$77*A75))*(1+'Giả định'!$B$16)</f>
        <v>284765800</v>
      </c>
      <c r="E75" s="25" t="n">
        <f aca="false">A75/'Giả định'!$B$19*'Giả định'!$B$20+A75*'Giả định'!$B$23+'Giả định'!$B$24</f>
        <v>51764705.8823529</v>
      </c>
      <c r="F75" s="25" t="n">
        <f aca="false">E75-D75</f>
        <v>-233001094.117647</v>
      </c>
      <c r="G75" s="25" t="n">
        <f aca="false">E75-C75</f>
        <v>-90056094.1176471</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141857540</v>
      </c>
      <c r="D76" s="25" t="n">
        <f aca="false">('Chi phí'!$C$77+'Chi phí'!$D$77*B76+'Chi phí'!$E$77*A76+'Giả định'!$B$15*('Chi phí'!$F$77+'Chi phí'!$G$77*B76+'Chi phí'!$H$77*A76))*(1+'Giả định'!$B$16)</f>
        <v>284802540</v>
      </c>
      <c r="E76" s="25" t="n">
        <f aca="false">A76/'Giả định'!$B$19*'Giả định'!$B$20+A76*'Giả định'!$B$23+'Giả định'!$B$24</f>
        <v>52504201.6806723</v>
      </c>
      <c r="F76" s="25" t="n">
        <f aca="false">E76-D76</f>
        <v>-232298338.319328</v>
      </c>
      <c r="G76" s="25" t="n">
        <f aca="false">E76-C76</f>
        <v>-89353338.3193277</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141894280</v>
      </c>
      <c r="D77" s="25" t="n">
        <f aca="false">('Chi phí'!$C$77+'Chi phí'!$D$77*B77+'Chi phí'!$E$77*A77+'Giả định'!$B$15*('Chi phí'!$F$77+'Chi phí'!$G$77*B77+'Chi phí'!$H$77*A77))*(1+'Giả định'!$B$16)</f>
        <v>284839280</v>
      </c>
      <c r="E77" s="25" t="n">
        <f aca="false">A77/'Giả định'!$B$19*'Giả định'!$B$20+A77*'Giả định'!$B$23+'Giả định'!$B$24</f>
        <v>53243697.4789916</v>
      </c>
      <c r="F77" s="25" t="n">
        <f aca="false">E77-D77</f>
        <v>-231595582.521008</v>
      </c>
      <c r="G77" s="25" t="n">
        <f aca="false">E77-C77</f>
        <v>-88650582.5210084</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141931020</v>
      </c>
      <c r="D78" s="25" t="n">
        <f aca="false">('Chi phí'!$C$77+'Chi phí'!$D$77*B78+'Chi phí'!$E$77*A78+'Giả định'!$B$15*('Chi phí'!$F$77+'Chi phí'!$G$77*B78+'Chi phí'!$H$77*A78))*(1+'Giả định'!$B$16)</f>
        <v>284876020</v>
      </c>
      <c r="E78" s="25" t="n">
        <f aca="false">A78/'Giả định'!$B$19*'Giả định'!$B$20+A78*'Giả định'!$B$23+'Giả định'!$B$24</f>
        <v>53983193.2773109</v>
      </c>
      <c r="F78" s="25" t="n">
        <f aca="false">E78-D78</f>
        <v>-230892826.722689</v>
      </c>
      <c r="G78" s="25" t="n">
        <f aca="false">E78-C78</f>
        <v>-87947826.7226891</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141967760</v>
      </c>
      <c r="D79" s="25" t="n">
        <f aca="false">('Chi phí'!$C$77+'Chi phí'!$D$77*B79+'Chi phí'!$E$77*A79+'Giả định'!$B$15*('Chi phí'!$F$77+'Chi phí'!$G$77*B79+'Chi phí'!$H$77*A79))*(1+'Giả định'!$B$16)</f>
        <v>284912760</v>
      </c>
      <c r="E79" s="25" t="n">
        <f aca="false">A79/'Giả định'!$B$19*'Giả định'!$B$20+A79*'Giả định'!$B$23+'Giả định'!$B$24</f>
        <v>54722689.0756303</v>
      </c>
      <c r="F79" s="25" t="n">
        <f aca="false">E79-D79</f>
        <v>-230190070.92437</v>
      </c>
      <c r="G79" s="25" t="n">
        <f aca="false">E79-C79</f>
        <v>-87245070.9243698</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142004500</v>
      </c>
      <c r="D80" s="25" t="n">
        <f aca="false">('Chi phí'!$C$77+'Chi phí'!$D$77*B80+'Chi phí'!$E$77*A80+'Giả định'!$B$15*('Chi phí'!$F$77+'Chi phí'!$G$77*B80+'Chi phí'!$H$77*A80))*(1+'Giả định'!$B$16)</f>
        <v>284949500</v>
      </c>
      <c r="E80" s="25" t="n">
        <f aca="false">A80/'Giả định'!$B$19*'Giả định'!$B$20+A80*'Giả định'!$B$23+'Giả định'!$B$24</f>
        <v>55462184.8739496</v>
      </c>
      <c r="F80" s="25" t="n">
        <f aca="false">E80-D80</f>
        <v>-229487315.12605</v>
      </c>
      <c r="G80" s="25" t="n">
        <f aca="false">E80-C80</f>
        <v>-86542315.1260504</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142041240</v>
      </c>
      <c r="D81" s="25" t="n">
        <f aca="false">('Chi phí'!$C$77+'Chi phí'!$D$77*B81+'Chi phí'!$E$77*A81+'Giả định'!$B$15*('Chi phí'!$F$77+'Chi phí'!$G$77*B81+'Chi phí'!$H$77*A81))*(1+'Giả định'!$B$16)</f>
        <v>284986240</v>
      </c>
      <c r="E81" s="25" t="n">
        <f aca="false">A81/'Giả định'!$B$19*'Giả định'!$B$20+A81*'Giả định'!$B$23+'Giả định'!$B$24</f>
        <v>56201680.6722689</v>
      </c>
      <c r="F81" s="25" t="n">
        <f aca="false">E81-D81</f>
        <v>-228784559.327731</v>
      </c>
      <c r="G81" s="25" t="n">
        <f aca="false">E81-C81</f>
        <v>-85839559.3277311</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142077980</v>
      </c>
      <c r="D82" s="25" t="n">
        <f aca="false">('Chi phí'!$C$77+'Chi phí'!$D$77*B82+'Chi phí'!$E$77*A82+'Giả định'!$B$15*('Chi phí'!$F$77+'Chi phí'!$G$77*B82+'Chi phí'!$H$77*A82))*(1+'Giả định'!$B$16)</f>
        <v>285022980</v>
      </c>
      <c r="E82" s="25" t="n">
        <f aca="false">A82/'Giả định'!$B$19*'Giả định'!$B$20+A82*'Giả định'!$B$23+'Giả định'!$B$24</f>
        <v>56941176.4705882</v>
      </c>
      <c r="F82" s="25" t="n">
        <f aca="false">E82-D82</f>
        <v>-228081803.529412</v>
      </c>
      <c r="G82" s="25" t="n">
        <f aca="false">E82-C82</f>
        <v>-85136803.5294118</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142114720</v>
      </c>
      <c r="D83" s="25" t="n">
        <f aca="false">('Chi phí'!$C$77+'Chi phí'!$D$77*B83+'Chi phí'!$E$77*A83+'Giả định'!$B$15*('Chi phí'!$F$77+'Chi phí'!$G$77*B83+'Chi phí'!$H$77*A83))*(1+'Giả định'!$B$16)</f>
        <v>285059720</v>
      </c>
      <c r="E83" s="25" t="n">
        <f aca="false">A83/'Giả định'!$B$19*'Giả định'!$B$20+A83*'Giả định'!$B$23+'Giả định'!$B$24</f>
        <v>57680672.2689076</v>
      </c>
      <c r="F83" s="25" t="n">
        <f aca="false">E83-D83</f>
        <v>-227379047.731092</v>
      </c>
      <c r="G83" s="25" t="n">
        <f aca="false">E83-C83</f>
        <v>-84434047.7310924</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142151460</v>
      </c>
      <c r="D84" s="25" t="n">
        <f aca="false">('Chi phí'!$C$77+'Chi phí'!$D$77*B84+'Chi phí'!$E$77*A84+'Giả định'!$B$15*('Chi phí'!$F$77+'Chi phí'!$G$77*B84+'Chi phí'!$H$77*A84))*(1+'Giả định'!$B$16)</f>
        <v>285096460</v>
      </c>
      <c r="E84" s="25" t="n">
        <f aca="false">A84/'Giả định'!$B$19*'Giả định'!$B$20+A84*'Giả định'!$B$23+'Giả định'!$B$24</f>
        <v>58420168.0672269</v>
      </c>
      <c r="F84" s="25" t="n">
        <f aca="false">E84-D84</f>
        <v>-226676291.932773</v>
      </c>
      <c r="G84" s="25" t="n">
        <f aca="false">E84-C84</f>
        <v>-83731291.9327731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142188200</v>
      </c>
      <c r="D85" s="25" t="n">
        <f aca="false">('Chi phí'!$C$77+'Chi phí'!$D$77*B85+'Chi phí'!$E$77*A85+'Giả định'!$B$15*('Chi phí'!$F$77+'Chi phí'!$G$77*B85+'Chi phí'!$H$77*A85))*(1+'Giả định'!$B$16)</f>
        <v>285133200</v>
      </c>
      <c r="E85" s="25" t="n">
        <f aca="false">A85/'Giả định'!$B$19*'Giả định'!$B$20+A85*'Giả định'!$B$23+'Giả định'!$B$24</f>
        <v>59159663.8655462</v>
      </c>
      <c r="F85" s="25" t="n">
        <f aca="false">E85-D85</f>
        <v>-225973536.134454</v>
      </c>
      <c r="G85" s="25" t="n">
        <f aca="false">E85-C85</f>
        <v>-83028536.1344538</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142224940</v>
      </c>
      <c r="D86" s="25" t="n">
        <f aca="false">('Chi phí'!$C$77+'Chi phí'!$D$77*B86+'Chi phí'!$E$77*A86+'Giả định'!$B$15*('Chi phí'!$F$77+'Chi phí'!$G$77*B86+'Chi phí'!$H$77*A86))*(1+'Giả định'!$B$16)</f>
        <v>285169940</v>
      </c>
      <c r="E86" s="25" t="n">
        <f aca="false">A86/'Giả định'!$B$19*'Giả định'!$B$20+A86*'Giả định'!$B$23+'Giả định'!$B$24</f>
        <v>59899159.6638656</v>
      </c>
      <c r="F86" s="25" t="n">
        <f aca="false">E86-D86</f>
        <v>-225270780.336134</v>
      </c>
      <c r="G86" s="25" t="n">
        <f aca="false">E86-C86</f>
        <v>-82325780.3361345</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142261680</v>
      </c>
      <c r="D87" s="25" t="n">
        <f aca="false">('Chi phí'!$C$77+'Chi phí'!$D$77*B87+'Chi phí'!$E$77*A87+'Giả định'!$B$15*('Chi phí'!$F$77+'Chi phí'!$G$77*B87+'Chi phí'!$H$77*A87))*(1+'Giả định'!$B$16)</f>
        <v>285206680</v>
      </c>
      <c r="E87" s="25" t="n">
        <f aca="false">A87/'Giả định'!$B$19*'Giả định'!$B$20+A87*'Giả định'!$B$23+'Giả định'!$B$24</f>
        <v>60638655.4621849</v>
      </c>
      <c r="F87" s="25" t="n">
        <f aca="false">E87-D87</f>
        <v>-224568024.537815</v>
      </c>
      <c r="G87" s="25" t="n">
        <f aca="false">E87-C87</f>
        <v>-81623024.5378151</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142298420</v>
      </c>
      <c r="D88" s="25" t="n">
        <f aca="false">('Chi phí'!$C$77+'Chi phí'!$D$77*B88+'Chi phí'!$E$77*A88+'Giả định'!$B$15*('Chi phí'!$F$77+'Chi phí'!$G$77*B88+'Chi phí'!$H$77*A88))*(1+'Giả định'!$B$16)</f>
        <v>285243420</v>
      </c>
      <c r="E88" s="25" t="n">
        <f aca="false">A88/'Giả định'!$B$19*'Giả định'!$B$20+A88*'Giả định'!$B$23+'Giả định'!$B$24</f>
        <v>61378151.2605042</v>
      </c>
      <c r="F88" s="25" t="n">
        <f aca="false">E88-D88</f>
        <v>-223865268.739496</v>
      </c>
      <c r="G88" s="25" t="n">
        <f aca="false">E88-C88</f>
        <v>-80920268.7394958</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142335160</v>
      </c>
      <c r="D89" s="25" t="n">
        <f aca="false">('Chi phí'!$C$77+'Chi phí'!$D$77*B89+'Chi phí'!$E$77*A89+'Giả định'!$B$15*('Chi phí'!$F$77+'Chi phí'!$G$77*B89+'Chi phí'!$H$77*A89))*(1+'Giả định'!$B$16)</f>
        <v>285280160</v>
      </c>
      <c r="E89" s="25" t="n">
        <f aca="false">A89/'Giả định'!$B$19*'Giả định'!$B$20+A89*'Giả định'!$B$23+'Giả định'!$B$24</f>
        <v>62117647.0588235</v>
      </c>
      <c r="F89" s="25" t="n">
        <f aca="false">E89-D89</f>
        <v>-223162512.941176</v>
      </c>
      <c r="G89" s="25" t="n">
        <f aca="false">E89-C89</f>
        <v>-80217512.9411765</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142371900</v>
      </c>
      <c r="D90" s="25" t="n">
        <f aca="false">('Chi phí'!$C$77+'Chi phí'!$D$77*B90+'Chi phí'!$E$77*A90+'Giả định'!$B$15*('Chi phí'!$F$77+'Chi phí'!$G$77*B90+'Chi phí'!$H$77*A90))*(1+'Giả định'!$B$16)</f>
        <v>285316900</v>
      </c>
      <c r="E90" s="25" t="n">
        <f aca="false">A90/'Giả định'!$B$19*'Giả định'!$B$20+A90*'Giả định'!$B$23+'Giả định'!$B$24</f>
        <v>62857142.8571429</v>
      </c>
      <c r="F90" s="25" t="n">
        <f aca="false">E90-D90</f>
        <v>-222459757.142857</v>
      </c>
      <c r="G90" s="25" t="n">
        <f aca="false">E90-C90</f>
        <v>-79514757.1428571</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142408640</v>
      </c>
      <c r="D91" s="25" t="n">
        <f aca="false">('Chi phí'!$C$77+'Chi phí'!$D$77*B91+'Chi phí'!$E$77*A91+'Giả định'!$B$15*('Chi phí'!$F$77+'Chi phí'!$G$77*B91+'Chi phí'!$H$77*A91))*(1+'Giả định'!$B$16)</f>
        <v>285353640</v>
      </c>
      <c r="E91" s="25" t="n">
        <f aca="false">A91/'Giả định'!$B$19*'Giả định'!$B$20+A91*'Giả định'!$B$23+'Giả định'!$B$24</f>
        <v>63596638.6554622</v>
      </c>
      <c r="F91" s="25" t="n">
        <f aca="false">E91-D91</f>
        <v>-221757001.344538</v>
      </c>
      <c r="G91" s="25" t="n">
        <f aca="false">E91-C91</f>
        <v>-78812001.3445378</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142445380</v>
      </c>
      <c r="D92" s="25" t="n">
        <f aca="false">('Chi phí'!$C$77+'Chi phí'!$D$77*B92+'Chi phí'!$E$77*A92+'Giả định'!$B$15*('Chi phí'!$F$77+'Chi phí'!$G$77*B92+'Chi phí'!$H$77*A92))*(1+'Giả định'!$B$16)</f>
        <v>285390380</v>
      </c>
      <c r="E92" s="25" t="n">
        <f aca="false">A92/'Giả định'!$B$19*'Giả định'!$B$20+A92*'Giả định'!$B$23+'Giả định'!$B$24</f>
        <v>64336134.4537815</v>
      </c>
      <c r="F92" s="25" t="n">
        <f aca="false">E92-D92</f>
        <v>-221054245.546218</v>
      </c>
      <c r="G92" s="25" t="n">
        <f aca="false">E92-C92</f>
        <v>-78109245.5462185</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142482120</v>
      </c>
      <c r="D93" s="25" t="n">
        <f aca="false">('Chi phí'!$C$77+'Chi phí'!$D$77*B93+'Chi phí'!$E$77*A93+'Giả định'!$B$15*('Chi phí'!$F$77+'Chi phí'!$G$77*B93+'Chi phí'!$H$77*A93))*(1+'Giả định'!$B$16)</f>
        <v>285427120</v>
      </c>
      <c r="E93" s="25" t="n">
        <f aca="false">A93/'Giả định'!$B$19*'Giả định'!$B$20+A93*'Giả định'!$B$23+'Giả định'!$B$24</f>
        <v>65075630.2521008</v>
      </c>
      <c r="F93" s="25" t="n">
        <f aca="false">E93-D93</f>
        <v>-220351489.747899</v>
      </c>
      <c r="G93" s="25" t="n">
        <f aca="false">E93-C93</f>
        <v>-77406489.7478992</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142518860</v>
      </c>
      <c r="D94" s="25" t="n">
        <f aca="false">('Chi phí'!$C$77+'Chi phí'!$D$77*B94+'Chi phí'!$E$77*A94+'Giả định'!$B$15*('Chi phí'!$F$77+'Chi phí'!$G$77*B94+'Chi phí'!$H$77*A94))*(1+'Giả định'!$B$16)</f>
        <v>285463860</v>
      </c>
      <c r="E94" s="25" t="n">
        <f aca="false">A94/'Giả định'!$B$19*'Giả định'!$B$20+A94*'Giả định'!$B$23+'Giả định'!$B$24</f>
        <v>65815126.0504202</v>
      </c>
      <c r="F94" s="25" t="n">
        <f aca="false">E94-D94</f>
        <v>-219648733.94958</v>
      </c>
      <c r="G94" s="25" t="n">
        <f aca="false">E94-C94</f>
        <v>-76703733.9495798</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142555600</v>
      </c>
      <c r="D95" s="25" t="n">
        <f aca="false">('Chi phí'!$C$77+'Chi phí'!$D$77*B95+'Chi phí'!$E$77*A95+'Giả định'!$B$15*('Chi phí'!$F$77+'Chi phí'!$G$77*B95+'Chi phí'!$H$77*A95))*(1+'Giả định'!$B$16)</f>
        <v>285500600</v>
      </c>
      <c r="E95" s="25" t="n">
        <f aca="false">A95/'Giả định'!$B$19*'Giả định'!$B$20+A95*'Giả định'!$B$23+'Giả định'!$B$24</f>
        <v>66554621.8487395</v>
      </c>
      <c r="F95" s="25" t="n">
        <f aca="false">E95-D95</f>
        <v>-218945978.151261</v>
      </c>
      <c r="G95" s="25" t="n">
        <f aca="false">E95-C95</f>
        <v>-76000978.1512605</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142592340</v>
      </c>
      <c r="D96" s="25" t="n">
        <f aca="false">('Chi phí'!$C$77+'Chi phí'!$D$77*B96+'Chi phí'!$E$77*A96+'Giả định'!$B$15*('Chi phí'!$F$77+'Chi phí'!$G$77*B96+'Chi phí'!$H$77*A96))*(1+'Giả định'!$B$16)</f>
        <v>285537340</v>
      </c>
      <c r="E96" s="25" t="n">
        <f aca="false">A96/'Giả định'!$B$19*'Giả định'!$B$20+A96*'Giả định'!$B$23+'Giả định'!$B$24</f>
        <v>67294117.6470588</v>
      </c>
      <c r="F96" s="25" t="n">
        <f aca="false">E96-D96</f>
        <v>-218243222.352941</v>
      </c>
      <c r="G96" s="25" t="n">
        <f aca="false">E96-C96</f>
        <v>-75298222.3529412</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142629080</v>
      </c>
      <c r="D97" s="25" t="n">
        <f aca="false">('Chi phí'!$C$77+'Chi phí'!$D$77*B97+'Chi phí'!$E$77*A97+'Giả định'!$B$15*('Chi phí'!$F$77+'Chi phí'!$G$77*B97+'Chi phí'!$H$77*A97))*(1+'Giả định'!$B$16)</f>
        <v>285574080</v>
      </c>
      <c r="E97" s="25" t="n">
        <f aca="false">A97/'Giả định'!$B$19*'Giả định'!$B$20+A97*'Giả định'!$B$23+'Giả định'!$B$24</f>
        <v>68033613.4453782</v>
      </c>
      <c r="F97" s="25" t="n">
        <f aca="false">E97-D97</f>
        <v>-217540466.554622</v>
      </c>
      <c r="G97" s="25" t="n">
        <f aca="false">E97-C97</f>
        <v>-74595466.5546219</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142665820</v>
      </c>
      <c r="D98" s="25" t="n">
        <f aca="false">('Chi phí'!$C$77+'Chi phí'!$D$77*B98+'Chi phí'!$E$77*A98+'Giả định'!$B$15*('Chi phí'!$F$77+'Chi phí'!$G$77*B98+'Chi phí'!$H$77*A98))*(1+'Giả định'!$B$16)</f>
        <v>285610820</v>
      </c>
      <c r="E98" s="25" t="n">
        <f aca="false">A98/'Giả định'!$B$19*'Giả định'!$B$20+A98*'Giả định'!$B$23+'Giả định'!$B$24</f>
        <v>68773109.2436975</v>
      </c>
      <c r="F98" s="25" t="n">
        <f aca="false">E98-D98</f>
        <v>-216837710.756303</v>
      </c>
      <c r="G98" s="25" t="n">
        <f aca="false">E98-C98</f>
        <v>-73892710.7563025</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142702560</v>
      </c>
      <c r="D99" s="25" t="n">
        <f aca="false">('Chi phí'!$C$77+'Chi phí'!$D$77*B99+'Chi phí'!$E$77*A99+'Giả định'!$B$15*('Chi phí'!$F$77+'Chi phí'!$G$77*B99+'Chi phí'!$H$77*A99))*(1+'Giả định'!$B$16)</f>
        <v>285647560</v>
      </c>
      <c r="E99" s="25" t="n">
        <f aca="false">A99/'Giả định'!$B$19*'Giả định'!$B$20+A99*'Giả định'!$B$23+'Giả định'!$B$24</f>
        <v>69512605.0420168</v>
      </c>
      <c r="F99" s="25" t="n">
        <f aca="false">E99-D99</f>
        <v>-216134954.957983</v>
      </c>
      <c r="G99" s="25" t="n">
        <f aca="false">E99-C99</f>
        <v>-73189954.9579832</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142739300</v>
      </c>
      <c r="D100" s="25" t="n">
        <f aca="false">('Chi phí'!$C$77+'Chi phí'!$D$77*B100+'Chi phí'!$E$77*A100+'Giả định'!$B$15*('Chi phí'!$F$77+'Chi phí'!$G$77*B100+'Chi phí'!$H$77*A100))*(1+'Giả định'!$B$16)</f>
        <v>285684300</v>
      </c>
      <c r="E100" s="25" t="n">
        <f aca="false">A100/'Giả định'!$B$19*'Giả định'!$B$20+A100*'Giả định'!$B$23+'Giả định'!$B$24</f>
        <v>70252100.8403361</v>
      </c>
      <c r="F100" s="25" t="n">
        <f aca="false">E100-D100</f>
        <v>-215432199.159664</v>
      </c>
      <c r="G100" s="25" t="n">
        <f aca="false">E100-C100</f>
        <v>-72487199.1596639</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142776040</v>
      </c>
      <c r="D101" s="25" t="n">
        <f aca="false">('Chi phí'!$C$77+'Chi phí'!$D$77*B101+'Chi phí'!$E$77*A101+'Giả định'!$B$15*('Chi phí'!$F$77+'Chi phí'!$G$77*B101+'Chi phí'!$H$77*A101))*(1+'Giả định'!$B$16)</f>
        <v>285721040</v>
      </c>
      <c r="E101" s="25" t="n">
        <f aca="false">A101/'Giả định'!$B$19*'Giả định'!$B$20+A101*'Giả định'!$B$23+'Giả định'!$B$24</f>
        <v>70991596.6386555</v>
      </c>
      <c r="F101" s="25" t="n">
        <f aca="false">E101-D101</f>
        <v>-214729443.361345</v>
      </c>
      <c r="G101" s="25" t="n">
        <f aca="false">E101-C101</f>
        <v>-71784443.3613446</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142812780</v>
      </c>
      <c r="D102" s="25" t="n">
        <f aca="false">('Chi phí'!$C$77+'Chi phí'!$D$77*B102+'Chi phí'!$E$77*A102+'Giả định'!$B$15*('Chi phí'!$F$77+'Chi phí'!$G$77*B102+'Chi phí'!$H$77*A102))*(1+'Giả định'!$B$16)</f>
        <v>285757780</v>
      </c>
      <c r="E102" s="25" t="n">
        <f aca="false">A102/'Giả định'!$B$19*'Giả định'!$B$20+A102*'Giả định'!$B$23+'Giả định'!$B$24</f>
        <v>71731092.4369748</v>
      </c>
      <c r="F102" s="25" t="n">
        <f aca="false">E102-D102</f>
        <v>-214026687.563025</v>
      </c>
      <c r="G102" s="25" t="n">
        <f aca="false">E102-C102</f>
        <v>-71081687.5630252</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142849520</v>
      </c>
      <c r="D103" s="25" t="n">
        <f aca="false">('Chi phí'!$C$77+'Chi phí'!$D$77*B103+'Chi phí'!$E$77*A103+'Giả định'!$B$15*('Chi phí'!$F$77+'Chi phí'!$G$77*B103+'Chi phí'!$H$77*A103))*(1+'Giả định'!$B$16)</f>
        <v>285794520</v>
      </c>
      <c r="E103" s="25" t="n">
        <f aca="false">A103/'Giả định'!$B$19*'Giả định'!$B$20+A103*'Giả định'!$B$23+'Giả định'!$B$24</f>
        <v>72470588.2352941</v>
      </c>
      <c r="F103" s="25" t="n">
        <f aca="false">E103-D103</f>
        <v>-213323931.764706</v>
      </c>
      <c r="G103" s="25" t="n">
        <f aca="false">E103-C103</f>
        <v>-70378931.7647059</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142886260</v>
      </c>
      <c r="D104" s="25" t="n">
        <f aca="false">('Chi phí'!$C$77+'Chi phí'!$D$77*B104+'Chi phí'!$E$77*A104+'Giả định'!$B$15*('Chi phí'!$F$77+'Chi phí'!$G$77*B104+'Chi phí'!$H$77*A104))*(1+'Giả định'!$B$16)</f>
        <v>285831260</v>
      </c>
      <c r="E104" s="25" t="n">
        <f aca="false">A104/'Giả định'!$B$19*'Giả định'!$B$20+A104*'Giả định'!$B$23+'Giả định'!$B$24</f>
        <v>73210084.0336134</v>
      </c>
      <c r="F104" s="25" t="n">
        <f aca="false">E104-D104</f>
        <v>-212621175.966387</v>
      </c>
      <c r="G104" s="25" t="n">
        <f aca="false">E104-C104</f>
        <v>-69676175.9663866</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142923000</v>
      </c>
      <c r="D105" s="25" t="n">
        <f aca="false">('Chi phí'!$C$77+'Chi phí'!$D$77*B105+'Chi phí'!$E$77*A105+'Giả định'!$B$15*('Chi phí'!$F$77+'Chi phí'!$G$77*B105+'Chi phí'!$H$77*A105))*(1+'Giả định'!$B$16)</f>
        <v>285868000</v>
      </c>
      <c r="E105" s="25" t="n">
        <f aca="false">A105/'Giả định'!$B$19*'Giả định'!$B$20+A105*'Giả định'!$B$23+'Giả định'!$B$24</f>
        <v>73949579.8319328</v>
      </c>
      <c r="F105" s="25" t="n">
        <f aca="false">E105-D105</f>
        <v>-211918420.168067</v>
      </c>
      <c r="G105" s="25" t="n">
        <f aca="false">E105-C105</f>
        <v>-68973420.1680672</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142959740</v>
      </c>
      <c r="D106" s="25" t="n">
        <f aca="false">('Chi phí'!$C$77+'Chi phí'!$D$77*B106+'Chi phí'!$E$77*A106+'Giả định'!$B$15*('Chi phí'!$F$77+'Chi phí'!$G$77*B106+'Chi phí'!$H$77*A106))*(1+'Giả định'!$B$16)</f>
        <v>285904740</v>
      </c>
      <c r="E106" s="25" t="n">
        <f aca="false">A106/'Giả định'!$B$19*'Giả định'!$B$20+A106*'Giả định'!$B$23+'Giả định'!$B$24</f>
        <v>74689075.6302521</v>
      </c>
      <c r="F106" s="25" t="n">
        <f aca="false">E106-D106</f>
        <v>-211215664.369748</v>
      </c>
      <c r="G106" s="25" t="n">
        <f aca="false">E106-C106</f>
        <v>-68270664.3697479</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142996480</v>
      </c>
      <c r="D107" s="25" t="n">
        <f aca="false">('Chi phí'!$C$77+'Chi phí'!$D$77*B107+'Chi phí'!$E$77*A107+'Giả định'!$B$15*('Chi phí'!$F$77+'Chi phí'!$G$77*B107+'Chi phí'!$H$77*A107))*(1+'Giả định'!$B$16)</f>
        <v>285941480</v>
      </c>
      <c r="E107" s="25" t="n">
        <f aca="false">A107/'Giả định'!$B$19*'Giả định'!$B$20+A107*'Giả định'!$B$23+'Giả định'!$B$24</f>
        <v>75428571.4285714</v>
      </c>
      <c r="F107" s="25" t="n">
        <f aca="false">E107-D107</f>
        <v>-210512908.571429</v>
      </c>
      <c r="G107" s="25" t="n">
        <f aca="false">E107-C107</f>
        <v>-67567908.5714286</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143033220</v>
      </c>
      <c r="D108" s="25" t="n">
        <f aca="false">('Chi phí'!$C$77+'Chi phí'!$D$77*B108+'Chi phí'!$E$77*A108+'Giả định'!$B$15*('Chi phí'!$F$77+'Chi phí'!$G$77*B108+'Chi phí'!$H$77*A108))*(1+'Giả định'!$B$16)</f>
        <v>285978220</v>
      </c>
      <c r="E108" s="25" t="n">
        <f aca="false">A108/'Giả định'!$B$19*'Giả định'!$B$20+A108*'Giả định'!$B$23+'Giả định'!$B$24</f>
        <v>76168067.2268908</v>
      </c>
      <c r="F108" s="25" t="n">
        <f aca="false">E108-D108</f>
        <v>-209810152.773109</v>
      </c>
      <c r="G108" s="25" t="n">
        <f aca="false">E108-C108</f>
        <v>-66865152.7731092</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143069960</v>
      </c>
      <c r="D109" s="25" t="n">
        <f aca="false">('Chi phí'!$C$77+'Chi phí'!$D$77*B109+'Chi phí'!$E$77*A109+'Giả định'!$B$15*('Chi phí'!$F$77+'Chi phí'!$G$77*B109+'Chi phí'!$H$77*A109))*(1+'Giả định'!$B$16)</f>
        <v>286014960</v>
      </c>
      <c r="E109" s="25" t="n">
        <f aca="false">A109/'Giả định'!$B$19*'Giả định'!$B$20+A109*'Giả định'!$B$23+'Giả định'!$B$24</f>
        <v>76907563.0252101</v>
      </c>
      <c r="F109" s="25" t="n">
        <f aca="false">E109-D109</f>
        <v>-209107396.97479</v>
      </c>
      <c r="G109" s="25" t="n">
        <f aca="false">E109-C109</f>
        <v>-66162396.9747899</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143106700</v>
      </c>
      <c r="D110" s="25" t="n">
        <f aca="false">('Chi phí'!$C$77+'Chi phí'!$D$77*B110+'Chi phí'!$E$77*A110+'Giả định'!$B$15*('Chi phí'!$F$77+'Chi phí'!$G$77*B110+'Chi phí'!$H$77*A110))*(1+'Giả định'!$B$16)</f>
        <v>286051700</v>
      </c>
      <c r="E110" s="25" t="n">
        <f aca="false">A110/'Giả định'!$B$19*'Giả định'!$B$20+A110*'Giả định'!$B$23+'Giả định'!$B$24</f>
        <v>77647058.8235294</v>
      </c>
      <c r="F110" s="25" t="n">
        <f aca="false">E110-D110</f>
        <v>-208404641.176471</v>
      </c>
      <c r="G110" s="25" t="n">
        <f aca="false">E110-C110</f>
        <v>-65459641.1764706</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143143440</v>
      </c>
      <c r="D111" s="25" t="n">
        <f aca="false">('Chi phí'!$C$77+'Chi phí'!$D$77*B111+'Chi phí'!$E$77*A111+'Giả định'!$B$15*('Chi phí'!$F$77+'Chi phí'!$G$77*B111+'Chi phí'!$H$77*A111))*(1+'Giả định'!$B$16)</f>
        <v>286088440</v>
      </c>
      <c r="E111" s="25" t="n">
        <f aca="false">A111/'Giả định'!$B$19*'Giả định'!$B$20+A111*'Giả định'!$B$23+'Giả định'!$B$24</f>
        <v>78386554.6218488</v>
      </c>
      <c r="F111" s="25" t="n">
        <f aca="false">E111-D111</f>
        <v>-207701885.378151</v>
      </c>
      <c r="G111" s="25" t="n">
        <f aca="false">E111-C111</f>
        <v>-64756885.3781513</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143180180</v>
      </c>
      <c r="D112" s="25" t="n">
        <f aca="false">('Chi phí'!$C$77+'Chi phí'!$D$77*B112+'Chi phí'!$E$77*A112+'Giả định'!$B$15*('Chi phí'!$F$77+'Chi phí'!$G$77*B112+'Chi phí'!$H$77*A112))*(1+'Giả định'!$B$16)</f>
        <v>286125180</v>
      </c>
      <c r="E112" s="25" t="n">
        <f aca="false">A112/'Giả định'!$B$19*'Giả định'!$B$20+A112*'Giả định'!$B$23+'Giả định'!$B$24</f>
        <v>79126050.4201681</v>
      </c>
      <c r="F112" s="25" t="n">
        <f aca="false">E112-D112</f>
        <v>-206999129.579832</v>
      </c>
      <c r="G112" s="25" t="n">
        <f aca="false">E112-C112</f>
        <v>-64054129.5798319</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143216920</v>
      </c>
      <c r="D113" s="25" t="n">
        <f aca="false">('Chi phí'!$C$77+'Chi phí'!$D$77*B113+'Chi phí'!$E$77*A113+'Giả định'!$B$15*('Chi phí'!$F$77+'Chi phí'!$G$77*B113+'Chi phí'!$H$77*A113))*(1+'Giả định'!$B$16)</f>
        <v>286161920</v>
      </c>
      <c r="E113" s="25" t="n">
        <f aca="false">A113/'Giả định'!$B$19*'Giả định'!$B$20+A113*'Giả định'!$B$23+'Giả định'!$B$24</f>
        <v>79865546.2184874</v>
      </c>
      <c r="F113" s="25" t="n">
        <f aca="false">E113-D113</f>
        <v>-206296373.781513</v>
      </c>
      <c r="G113" s="25" t="n">
        <f aca="false">E113-C113</f>
        <v>-63351373.7815126</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143253660</v>
      </c>
      <c r="D114" s="25" t="n">
        <f aca="false">('Chi phí'!$C$77+'Chi phí'!$D$77*B114+'Chi phí'!$E$77*A114+'Giả định'!$B$15*('Chi phí'!$F$77+'Chi phí'!$G$77*B114+'Chi phí'!$H$77*A114))*(1+'Giả định'!$B$16)</f>
        <v>286198660</v>
      </c>
      <c r="E114" s="25" t="n">
        <f aca="false">A114/'Giả định'!$B$19*'Giả định'!$B$20+A114*'Giả định'!$B$23+'Giả định'!$B$24</f>
        <v>80605042.0168067</v>
      </c>
      <c r="F114" s="25" t="n">
        <f aca="false">E114-D114</f>
        <v>-205593617.983193</v>
      </c>
      <c r="G114" s="25" t="n">
        <f aca="false">E114-C114</f>
        <v>-62648617.9831933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143290400</v>
      </c>
      <c r="D115" s="25" t="n">
        <f aca="false">('Chi phí'!$C$77+'Chi phí'!$D$77*B115+'Chi phí'!$E$77*A115+'Giả định'!$B$15*('Chi phí'!$F$77+'Chi phí'!$G$77*B115+'Chi phí'!$H$77*A115))*(1+'Giả định'!$B$16)</f>
        <v>286235400</v>
      </c>
      <c r="E115" s="25" t="n">
        <f aca="false">A115/'Giả định'!$B$19*'Giả định'!$B$20+A115*'Giả định'!$B$23+'Giả định'!$B$24</f>
        <v>81344537.8151261</v>
      </c>
      <c r="F115" s="25" t="n">
        <f aca="false">E115-D115</f>
        <v>-204890862.184874</v>
      </c>
      <c r="G115" s="25" t="n">
        <f aca="false">E115-C115</f>
        <v>-61945862.184874</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143327140</v>
      </c>
      <c r="D116" s="25" t="n">
        <f aca="false">('Chi phí'!$C$77+'Chi phí'!$D$77*B116+'Chi phí'!$E$77*A116+'Giả định'!$B$15*('Chi phí'!$F$77+'Chi phí'!$G$77*B116+'Chi phí'!$H$77*A116))*(1+'Giả định'!$B$16)</f>
        <v>286272140</v>
      </c>
      <c r="E116" s="25" t="n">
        <f aca="false">A116/'Giả định'!$B$19*'Giả định'!$B$20+A116*'Giả định'!$B$23+'Giả định'!$B$24</f>
        <v>82084033.6134454</v>
      </c>
      <c r="F116" s="25" t="n">
        <f aca="false">E116-D116</f>
        <v>-204188106.386555</v>
      </c>
      <c r="G116" s="25" t="n">
        <f aca="false">E116-C116</f>
        <v>-61243106.3865546</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143363880</v>
      </c>
      <c r="D117" s="25" t="n">
        <f aca="false">('Chi phí'!$C$77+'Chi phí'!$D$77*B117+'Chi phí'!$E$77*A117+'Giả định'!$B$15*('Chi phí'!$F$77+'Chi phí'!$G$77*B117+'Chi phí'!$H$77*A117))*(1+'Giả định'!$B$16)</f>
        <v>286308880</v>
      </c>
      <c r="E117" s="25" t="n">
        <f aca="false">A117/'Giả định'!$B$19*'Giả định'!$B$20+A117*'Giả định'!$B$23+'Giả định'!$B$24</f>
        <v>82823529.4117647</v>
      </c>
      <c r="F117" s="25" t="n">
        <f aca="false">E117-D117</f>
        <v>-203485350.588235</v>
      </c>
      <c r="G117" s="25" t="n">
        <f aca="false">E117-C117</f>
        <v>-60540350.5882353</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143400620</v>
      </c>
      <c r="D118" s="25" t="n">
        <f aca="false">('Chi phí'!$C$77+'Chi phí'!$D$77*B118+'Chi phí'!$E$77*A118+'Giả định'!$B$15*('Chi phí'!$F$77+'Chi phí'!$G$77*B118+'Chi phí'!$H$77*A118))*(1+'Giả định'!$B$16)</f>
        <v>286345620</v>
      </c>
      <c r="E118" s="25" t="n">
        <f aca="false">A118/'Giả định'!$B$19*'Giả định'!$B$20+A118*'Giả định'!$B$23+'Giả định'!$B$24</f>
        <v>83563025.210084</v>
      </c>
      <c r="F118" s="25" t="n">
        <f aca="false">E118-D118</f>
        <v>-202782594.789916</v>
      </c>
      <c r="G118" s="25" t="n">
        <f aca="false">E118-C118</f>
        <v>-59837594.789916</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143437360</v>
      </c>
      <c r="D119" s="25" t="n">
        <f aca="false">('Chi phí'!$C$77+'Chi phí'!$D$77*B119+'Chi phí'!$E$77*A119+'Giả định'!$B$15*('Chi phí'!$F$77+'Chi phí'!$G$77*B119+'Chi phí'!$H$77*A119))*(1+'Giả định'!$B$16)</f>
        <v>286382360</v>
      </c>
      <c r="E119" s="25" t="n">
        <f aca="false">A119/'Giả định'!$B$19*'Giả định'!$B$20+A119*'Giả định'!$B$23+'Giả định'!$B$24</f>
        <v>84302521.0084034</v>
      </c>
      <c r="F119" s="25" t="n">
        <f aca="false">E119-D119</f>
        <v>-202079838.991597</v>
      </c>
      <c r="G119" s="25" t="n">
        <f aca="false">E119-C119</f>
        <v>-59134838.9915966</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143474100</v>
      </c>
      <c r="D120" s="25" t="n">
        <f aca="false">('Chi phí'!$C$77+'Chi phí'!$D$77*B120+'Chi phí'!$E$77*A120+'Giả định'!$B$15*('Chi phí'!$F$77+'Chi phí'!$G$77*B120+'Chi phí'!$H$77*A120))*(1+'Giả định'!$B$16)</f>
        <v>286419100</v>
      </c>
      <c r="E120" s="25" t="n">
        <f aca="false">A120/'Giả định'!$B$19*'Giả định'!$B$20+A120*'Giả định'!$B$23+'Giả định'!$B$24</f>
        <v>85042016.8067227</v>
      </c>
      <c r="F120" s="25" t="n">
        <f aca="false">E120-D120</f>
        <v>-201377083.193277</v>
      </c>
      <c r="G120" s="25" t="n">
        <f aca="false">E120-C120</f>
        <v>-58432083.1932773</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143510840</v>
      </c>
      <c r="D121" s="25" t="n">
        <f aca="false">('Chi phí'!$C$77+'Chi phí'!$D$77*B121+'Chi phí'!$E$77*A121+'Giả định'!$B$15*('Chi phí'!$F$77+'Chi phí'!$G$77*B121+'Chi phí'!$H$77*A121))*(1+'Giả định'!$B$16)</f>
        <v>286455840</v>
      </c>
      <c r="E121" s="25" t="n">
        <f aca="false">A121/'Giả định'!$B$19*'Giả định'!$B$20+A121*'Giả định'!$B$23+'Giả định'!$B$24</f>
        <v>85781512.605042</v>
      </c>
      <c r="F121" s="25" t="n">
        <f aca="false">E121-D121</f>
        <v>-200674327.394958</v>
      </c>
      <c r="G121" s="25" t="n">
        <f aca="false">E121-C121</f>
        <v>-57729327.394958</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143547580</v>
      </c>
      <c r="D122" s="25" t="n">
        <f aca="false">('Chi phí'!$C$77+'Chi phí'!$D$77*B122+'Chi phí'!$E$77*A122+'Giả định'!$B$15*('Chi phí'!$F$77+'Chi phí'!$G$77*B122+'Chi phí'!$H$77*A122))*(1+'Giả định'!$B$16)</f>
        <v>286492580</v>
      </c>
      <c r="E122" s="25" t="n">
        <f aca="false">A122/'Giả định'!$B$19*'Giả định'!$B$20+A122*'Giả định'!$B$23+'Giả định'!$B$24</f>
        <v>86521008.4033614</v>
      </c>
      <c r="F122" s="25" t="n">
        <f aca="false">E122-D122</f>
        <v>-199971571.596639</v>
      </c>
      <c r="G122" s="25" t="n">
        <f aca="false">E122-C122</f>
        <v>-57026571.5966387</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143584320</v>
      </c>
      <c r="D123" s="25" t="n">
        <f aca="false">('Chi phí'!$C$77+'Chi phí'!$D$77*B123+'Chi phí'!$E$77*A123+'Giả định'!$B$15*('Chi phí'!$F$77+'Chi phí'!$G$77*B123+'Chi phí'!$H$77*A123))*(1+'Giả định'!$B$16)</f>
        <v>286529320</v>
      </c>
      <c r="E123" s="25" t="n">
        <f aca="false">A123/'Giả định'!$B$19*'Giả định'!$B$20+A123*'Giả định'!$B$23+'Giả định'!$B$24</f>
        <v>87260504.2016807</v>
      </c>
      <c r="F123" s="25" t="n">
        <f aca="false">E123-D123</f>
        <v>-199268815.798319</v>
      </c>
      <c r="G123" s="25" t="n">
        <f aca="false">E123-C123</f>
        <v>-56323815.7983193</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143621060</v>
      </c>
      <c r="D124" s="25" t="n">
        <f aca="false">('Chi phí'!$C$77+'Chi phí'!$D$77*B124+'Chi phí'!$E$77*A124+'Giả định'!$B$15*('Chi phí'!$F$77+'Chi phí'!$G$77*B124+'Chi phí'!$H$77*A124))*(1+'Giả định'!$B$16)</f>
        <v>286566060</v>
      </c>
      <c r="E124" s="25" t="n">
        <f aca="false">A124/'Giả định'!$B$19*'Giả định'!$B$20+A124*'Giả định'!$B$23+'Giả định'!$B$24</f>
        <v>88000000</v>
      </c>
      <c r="F124" s="25" t="n">
        <f aca="false">E124-D124</f>
        <v>-198566060</v>
      </c>
      <c r="G124" s="25" t="n">
        <f aca="false">E124-C124</f>
        <v>-55621060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143657800</v>
      </c>
      <c r="D125" s="25" t="n">
        <f aca="false">('Chi phí'!$C$77+'Chi phí'!$D$77*B125+'Chi phí'!$E$77*A125+'Giả định'!$B$15*('Chi phí'!$F$77+'Chi phí'!$G$77*B125+'Chi phí'!$H$77*A125))*(1+'Giả định'!$B$16)</f>
        <v>286602800</v>
      </c>
      <c r="E125" s="25" t="n">
        <f aca="false">A125/'Giả định'!$B$19*'Giả định'!$B$20+A125*'Giả định'!$B$23+'Giả định'!$B$24</f>
        <v>88739495.7983193</v>
      </c>
      <c r="F125" s="25" t="n">
        <f aca="false">E125-D125</f>
        <v>-197863304.201681</v>
      </c>
      <c r="G125" s="25" t="n">
        <f aca="false">E125-C125</f>
        <v>-54918304.2016807</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143694540</v>
      </c>
      <c r="D126" s="25" t="n">
        <f aca="false">('Chi phí'!$C$77+'Chi phí'!$D$77*B126+'Chi phí'!$E$77*A126+'Giả định'!$B$15*('Chi phí'!$F$77+'Chi phí'!$G$77*B126+'Chi phí'!$H$77*A126))*(1+'Giả định'!$B$16)</f>
        <v>286639540</v>
      </c>
      <c r="E126" s="25" t="n">
        <f aca="false">A126/'Giả định'!$B$19*'Giả định'!$B$20+A126*'Giả định'!$B$23+'Giả định'!$B$24</f>
        <v>89478991.5966387</v>
      </c>
      <c r="F126" s="25" t="n">
        <f aca="false">E126-D126</f>
        <v>-197160548.403361</v>
      </c>
      <c r="G126" s="25" t="n">
        <f aca="false">E126-C126</f>
        <v>-54215548.4033613</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143731280</v>
      </c>
      <c r="D127" s="25" t="n">
        <f aca="false">('Chi phí'!$C$77+'Chi phí'!$D$77*B127+'Chi phí'!$E$77*A127+'Giả định'!$B$15*('Chi phí'!$F$77+'Chi phí'!$G$77*B127+'Chi phí'!$H$77*A127))*(1+'Giả định'!$B$16)</f>
        <v>286676280</v>
      </c>
      <c r="E127" s="25" t="n">
        <f aca="false">A127/'Giả định'!$B$19*'Giả định'!$B$20+A127*'Giả định'!$B$23+'Giả định'!$B$24</f>
        <v>90218487.394958</v>
      </c>
      <c r="F127" s="25" t="n">
        <f aca="false">E127-D127</f>
        <v>-196457792.605042</v>
      </c>
      <c r="G127" s="25" t="n">
        <f aca="false">E127-C127</f>
        <v>-53512792.605042</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143768020</v>
      </c>
      <c r="D128" s="25" t="n">
        <f aca="false">('Chi phí'!$C$77+'Chi phí'!$D$77*B128+'Chi phí'!$E$77*A128+'Giả định'!$B$15*('Chi phí'!$F$77+'Chi phí'!$G$77*B128+'Chi phí'!$H$77*A128))*(1+'Giả định'!$B$16)</f>
        <v>286713020</v>
      </c>
      <c r="E128" s="25" t="n">
        <f aca="false">A128/'Giả định'!$B$19*'Giả định'!$B$20+A128*'Giả định'!$B$23+'Giả định'!$B$24</f>
        <v>90957983.1932773</v>
      </c>
      <c r="F128" s="25" t="n">
        <f aca="false">E128-D128</f>
        <v>-195755036.806723</v>
      </c>
      <c r="G128" s="25" t="n">
        <f aca="false">E128-C128</f>
        <v>-52810036.8067227</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143804760</v>
      </c>
      <c r="D129" s="25" t="n">
        <f aca="false">('Chi phí'!$C$77+'Chi phí'!$D$77*B129+'Chi phí'!$E$77*A129+'Giả định'!$B$15*('Chi phí'!$F$77+'Chi phí'!$G$77*B129+'Chi phí'!$H$77*A129))*(1+'Giả định'!$B$16)</f>
        <v>286749760</v>
      </c>
      <c r="E129" s="25" t="n">
        <f aca="false">A129/'Giả định'!$B$19*'Giả định'!$B$20+A129*'Giả định'!$B$23+'Giả định'!$B$24</f>
        <v>91697478.9915967</v>
      </c>
      <c r="F129" s="25" t="n">
        <f aca="false">E129-D129</f>
        <v>-195052281.008403</v>
      </c>
      <c r="G129" s="25" t="n">
        <f aca="false">E129-C129</f>
        <v>-52107281.0084033</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143841500</v>
      </c>
      <c r="D130" s="25" t="n">
        <f aca="false">('Chi phí'!$C$77+'Chi phí'!$D$77*B130+'Chi phí'!$E$77*A130+'Giả định'!$B$15*('Chi phí'!$F$77+'Chi phí'!$G$77*B130+'Chi phí'!$H$77*A130))*(1+'Giả định'!$B$16)</f>
        <v>286786500</v>
      </c>
      <c r="E130" s="25" t="n">
        <f aca="false">A130/'Giả định'!$B$19*'Giả định'!$B$20+A130*'Giả định'!$B$23+'Giả định'!$B$24</f>
        <v>92436974.789916</v>
      </c>
      <c r="F130" s="25" t="n">
        <f aca="false">E130-D130</f>
        <v>-194349525.210084</v>
      </c>
      <c r="G130" s="25" t="n">
        <f aca="false">E130-C130</f>
        <v>-51404525.210084</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143878240</v>
      </c>
      <c r="D131" s="25" t="n">
        <f aca="false">('Chi phí'!$C$77+'Chi phí'!$D$77*B131+'Chi phí'!$E$77*A131+'Giả định'!$B$15*('Chi phí'!$F$77+'Chi phí'!$G$77*B131+'Chi phí'!$H$77*A131))*(1+'Giả định'!$B$16)</f>
        <v>286823240</v>
      </c>
      <c r="E131" s="25" t="n">
        <f aca="false">A131/'Giả định'!$B$19*'Giả định'!$B$20+A131*'Giả định'!$B$23+'Giả định'!$B$24</f>
        <v>93176470.5882353</v>
      </c>
      <c r="F131" s="25" t="n">
        <f aca="false">E131-D131</f>
        <v>-193646769.411765</v>
      </c>
      <c r="G131" s="25" t="n">
        <f aca="false">E131-C131</f>
        <v>-50701769.4117647</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143914980</v>
      </c>
      <c r="D132" s="25" t="n">
        <f aca="false">('Chi phí'!$C$77+'Chi phí'!$D$77*B132+'Chi phí'!$E$77*A132+'Giả định'!$B$15*('Chi phí'!$F$77+'Chi phí'!$G$77*B132+'Chi phí'!$H$77*A132))*(1+'Giả định'!$B$16)</f>
        <v>286859980</v>
      </c>
      <c r="E132" s="25" t="n">
        <f aca="false">A132/'Giả định'!$B$19*'Giả định'!$B$20+A132*'Giả định'!$B$23+'Giả định'!$B$24</f>
        <v>93915966.3865546</v>
      </c>
      <c r="F132" s="25" t="n">
        <f aca="false">E132-D132</f>
        <v>-192944013.613445</v>
      </c>
      <c r="G132" s="25" t="n">
        <f aca="false">E132-C132</f>
        <v>-49999013.6134454</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143951720</v>
      </c>
      <c r="D133" s="25" t="n">
        <f aca="false">('Chi phí'!$C$77+'Chi phí'!$D$77*B133+'Chi phí'!$E$77*A133+'Giả định'!$B$15*('Chi phí'!$F$77+'Chi phí'!$G$77*B133+'Chi phí'!$H$77*A133))*(1+'Giả định'!$B$16)</f>
        <v>286896720</v>
      </c>
      <c r="E133" s="25" t="n">
        <f aca="false">A133/'Giả định'!$B$19*'Giả định'!$B$20+A133*'Giả định'!$B$23+'Giả định'!$B$24</f>
        <v>94655462.184874</v>
      </c>
      <c r="F133" s="25" t="n">
        <f aca="false">E133-D133</f>
        <v>-192241257.815126</v>
      </c>
      <c r="G133" s="25" t="n">
        <f aca="false">E133-C133</f>
        <v>-49296257.8151261</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143988460</v>
      </c>
      <c r="D134" s="25" t="n">
        <f aca="false">('Chi phí'!$C$77+'Chi phí'!$D$77*B134+'Chi phí'!$E$77*A134+'Giả định'!$B$15*('Chi phí'!$F$77+'Chi phí'!$G$77*B134+'Chi phí'!$H$77*A134))*(1+'Giả định'!$B$16)</f>
        <v>286933460</v>
      </c>
      <c r="E134" s="25" t="n">
        <f aca="false">A134/'Giả định'!$B$19*'Giả định'!$B$20+A134*'Giả định'!$B$23+'Giả định'!$B$24</f>
        <v>95394957.9831933</v>
      </c>
      <c r="F134" s="25" t="n">
        <f aca="false">E134-D134</f>
        <v>-191538502.016807</v>
      </c>
      <c r="G134" s="25" t="n">
        <f aca="false">E134-C134</f>
        <v>-48593502.0168067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144025200</v>
      </c>
      <c r="D135" s="25" t="n">
        <f aca="false">('Chi phí'!$C$77+'Chi phí'!$D$77*B135+'Chi phí'!$E$77*A135+'Giả định'!$B$15*('Chi phí'!$F$77+'Chi phí'!$G$77*B135+'Chi phí'!$H$77*A135))*(1+'Giả định'!$B$16)</f>
        <v>286970200</v>
      </c>
      <c r="E135" s="25" t="n">
        <f aca="false">A135/'Giả định'!$B$19*'Giả định'!$B$20+A135*'Giả định'!$B$23+'Giả định'!$B$24</f>
        <v>96134453.7815126</v>
      </c>
      <c r="F135" s="25" t="n">
        <f aca="false">E135-D135</f>
        <v>-190835746.218487</v>
      </c>
      <c r="G135" s="25" t="n">
        <f aca="false">E135-C135</f>
        <v>-47890746.2184874</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144061940</v>
      </c>
      <c r="D136" s="25" t="n">
        <f aca="false">('Chi phí'!$C$77+'Chi phí'!$D$77*B136+'Chi phí'!$E$77*A136+'Giả định'!$B$15*('Chi phí'!$F$77+'Chi phí'!$G$77*B136+'Chi phí'!$H$77*A136))*(1+'Giả định'!$B$16)</f>
        <v>287006940</v>
      </c>
      <c r="E136" s="25" t="n">
        <f aca="false">A136/'Giả định'!$B$19*'Giả định'!$B$20+A136*'Giả định'!$B$23+'Giả định'!$B$24</f>
        <v>96873949.5798319</v>
      </c>
      <c r="F136" s="25" t="n">
        <f aca="false">E136-D136</f>
        <v>-190132990.420168</v>
      </c>
      <c r="G136" s="25" t="n">
        <f aca="false">E136-C136</f>
        <v>-47187990.4201681</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144098680</v>
      </c>
      <c r="D137" s="25" t="n">
        <f aca="false">('Chi phí'!$C$77+'Chi phí'!$D$77*B137+'Chi phí'!$E$77*A137+'Giả định'!$B$15*('Chi phí'!$F$77+'Chi phí'!$G$77*B137+'Chi phí'!$H$77*A137))*(1+'Giả định'!$B$16)</f>
        <v>287043680</v>
      </c>
      <c r="E137" s="25" t="n">
        <f aca="false">A137/'Giả định'!$B$19*'Giả định'!$B$20+A137*'Giả định'!$B$23+'Giả định'!$B$24</f>
        <v>97613445.3781513</v>
      </c>
      <c r="F137" s="25" t="n">
        <f aca="false">E137-D137</f>
        <v>-189430234.621849</v>
      </c>
      <c r="G137" s="25" t="n">
        <f aca="false">E137-C137</f>
        <v>-46485234.6218487</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144135420</v>
      </c>
      <c r="D138" s="25" t="n">
        <f aca="false">('Chi phí'!$C$77+'Chi phí'!$D$77*B138+'Chi phí'!$E$77*A138+'Giả định'!$B$15*('Chi phí'!$F$77+'Chi phí'!$G$77*B138+'Chi phí'!$H$77*A138))*(1+'Giả định'!$B$16)</f>
        <v>287080420</v>
      </c>
      <c r="E138" s="25" t="n">
        <f aca="false">A138/'Giả định'!$B$19*'Giả định'!$B$20+A138*'Giả định'!$B$23+'Giả định'!$B$24</f>
        <v>98352941.1764706</v>
      </c>
      <c r="F138" s="25" t="n">
        <f aca="false">E138-D138</f>
        <v>-188727478.823529</v>
      </c>
      <c r="G138" s="25" t="n">
        <f aca="false">E138-C138</f>
        <v>-45782478.8235294</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144172160</v>
      </c>
      <c r="D139" s="25" t="n">
        <f aca="false">('Chi phí'!$C$77+'Chi phí'!$D$77*B139+'Chi phí'!$E$77*A139+'Giả định'!$B$15*('Chi phí'!$F$77+'Chi phí'!$G$77*B139+'Chi phí'!$H$77*A139))*(1+'Giả định'!$B$16)</f>
        <v>287117160</v>
      </c>
      <c r="E139" s="25" t="n">
        <f aca="false">A139/'Giả định'!$B$19*'Giả định'!$B$20+A139*'Giả định'!$B$23+'Giả định'!$B$24</f>
        <v>99092436.9747899</v>
      </c>
      <c r="F139" s="25" t="n">
        <f aca="false">E139-D139</f>
        <v>-188024723.02521</v>
      </c>
      <c r="G139" s="25" t="n">
        <f aca="false">E139-C139</f>
        <v>-45079723.0252101</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144208900</v>
      </c>
      <c r="D140" s="25" t="n">
        <f aca="false">('Chi phí'!$C$77+'Chi phí'!$D$77*B140+'Chi phí'!$E$77*A140+'Giả định'!$B$15*('Chi phí'!$F$77+'Chi phí'!$G$77*B140+'Chi phí'!$H$77*A140))*(1+'Giả định'!$B$16)</f>
        <v>287153900</v>
      </c>
      <c r="E140" s="25" t="n">
        <f aca="false">A140/'Giả định'!$B$19*'Giả định'!$B$20+A140*'Giả định'!$B$23+'Giả định'!$B$24</f>
        <v>99831932.7731092</v>
      </c>
      <c r="F140" s="25" t="n">
        <f aca="false">E140-D140</f>
        <v>-187321967.226891</v>
      </c>
      <c r="G140" s="25" t="n">
        <f aca="false">E140-C140</f>
        <v>-44376967.2268908</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144245640</v>
      </c>
      <c r="D141" s="25" t="n">
        <f aca="false">('Chi phí'!$C$77+'Chi phí'!$D$77*B141+'Chi phí'!$E$77*A141+'Giả định'!$B$15*('Chi phí'!$F$77+'Chi phí'!$G$77*B141+'Chi phí'!$H$77*A141))*(1+'Giả định'!$B$16)</f>
        <v>287190640</v>
      </c>
      <c r="E141" s="25" t="n">
        <f aca="false">A141/'Giả định'!$B$19*'Giả định'!$B$20+A141*'Giả định'!$B$23+'Giả định'!$B$24</f>
        <v>100571428.571429</v>
      </c>
      <c r="F141" s="25" t="n">
        <f aca="false">E141-D141</f>
        <v>-186619211.428571</v>
      </c>
      <c r="G141" s="25" t="n">
        <f aca="false">E141-C141</f>
        <v>-43674211.4285714</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144282380</v>
      </c>
      <c r="D142" s="25" t="n">
        <f aca="false">('Chi phí'!$C$77+'Chi phí'!$D$77*B142+'Chi phí'!$E$77*A142+'Giả định'!$B$15*('Chi phí'!$F$77+'Chi phí'!$G$77*B142+'Chi phí'!$H$77*A142))*(1+'Giả định'!$B$16)</f>
        <v>287227380</v>
      </c>
      <c r="E142" s="25" t="n">
        <f aca="false">A142/'Giả định'!$B$19*'Giả định'!$B$20+A142*'Giả định'!$B$23+'Giả định'!$B$24</f>
        <v>101310924.369748</v>
      </c>
      <c r="F142" s="25" t="n">
        <f aca="false">E142-D142</f>
        <v>-185916455.630252</v>
      </c>
      <c r="G142" s="25" t="n">
        <f aca="false">E142-C142</f>
        <v>-42971455.6302521</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144319120</v>
      </c>
      <c r="D143" s="25" t="n">
        <f aca="false">('Chi phí'!$C$77+'Chi phí'!$D$77*B143+'Chi phí'!$E$77*A143+'Giả định'!$B$15*('Chi phí'!$F$77+'Chi phí'!$G$77*B143+'Chi phí'!$H$77*A143))*(1+'Giả định'!$B$16)</f>
        <v>287264120</v>
      </c>
      <c r="E143" s="25" t="n">
        <f aca="false">A143/'Giả định'!$B$19*'Giả định'!$B$20+A143*'Giả định'!$B$23+'Giả định'!$B$24</f>
        <v>102050420.168067</v>
      </c>
      <c r="F143" s="25" t="n">
        <f aca="false">E143-D143</f>
        <v>-185213699.831933</v>
      </c>
      <c r="G143" s="25" t="n">
        <f aca="false">E143-C143</f>
        <v>-42268699.8319328</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144355860</v>
      </c>
      <c r="D144" s="25" t="n">
        <f aca="false">('Chi phí'!$C$77+'Chi phí'!$D$77*B144+'Chi phí'!$E$77*A144+'Giả định'!$B$15*('Chi phí'!$F$77+'Chi phí'!$G$77*B144+'Chi phí'!$H$77*A144))*(1+'Giả định'!$B$16)</f>
        <v>287300860</v>
      </c>
      <c r="E144" s="25" t="n">
        <f aca="false">A144/'Giả định'!$B$19*'Giả định'!$B$20+A144*'Giả định'!$B$23+'Giả định'!$B$24</f>
        <v>102789915.966387</v>
      </c>
      <c r="F144" s="25" t="n">
        <f aca="false">E144-D144</f>
        <v>-184510944.033613</v>
      </c>
      <c r="G144" s="25" t="n">
        <f aca="false">E144-C144</f>
        <v>-41565944.0336134</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144392600</v>
      </c>
      <c r="D145" s="25" t="n">
        <f aca="false">('Chi phí'!$C$77+'Chi phí'!$D$77*B145+'Chi phí'!$E$77*A145+'Giả định'!$B$15*('Chi phí'!$F$77+'Chi phí'!$G$77*B145+'Chi phí'!$H$77*A145))*(1+'Giả định'!$B$16)</f>
        <v>287337600</v>
      </c>
      <c r="E145" s="25" t="n">
        <f aca="false">A145/'Giả định'!$B$19*'Giả định'!$B$20+A145*'Giả định'!$B$23+'Giả định'!$B$24</f>
        <v>103529411.764706</v>
      </c>
      <c r="F145" s="25" t="n">
        <f aca="false">E145-D145</f>
        <v>-183808188.235294</v>
      </c>
      <c r="G145" s="25" t="n">
        <f aca="false">E145-C145</f>
        <v>-40863188.2352941</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149814940</v>
      </c>
      <c r="D146" s="25" t="n">
        <f aca="false">('Chi phí'!$C$77+'Chi phí'!$D$77*B146+'Chi phí'!$E$77*A146+'Giả định'!$B$15*('Chi phí'!$F$77+'Chi phí'!$G$77*B146+'Chi phí'!$H$77*A146))*(1+'Giả định'!$B$16)</f>
        <v>292759940</v>
      </c>
      <c r="E146" s="25" t="n">
        <f aca="false">A146/'Giả định'!$B$19*'Giả định'!$B$20+A146*'Giả định'!$B$23+'Giả định'!$B$24</f>
        <v>104268907.563025</v>
      </c>
      <c r="F146" s="25" t="n">
        <f aca="false">E146-D146</f>
        <v>-188491032.436975</v>
      </c>
      <c r="G146" s="25" t="n">
        <f aca="false">E146-C146</f>
        <v>-45546032.4369748</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149851680</v>
      </c>
      <c r="D147" s="25" t="n">
        <f aca="false">('Chi phí'!$C$77+'Chi phí'!$D$77*B147+'Chi phí'!$E$77*A147+'Giả định'!$B$15*('Chi phí'!$F$77+'Chi phí'!$G$77*B147+'Chi phí'!$H$77*A147))*(1+'Giả định'!$B$16)</f>
        <v>292796680</v>
      </c>
      <c r="E147" s="25" t="n">
        <f aca="false">A147/'Giả định'!$B$19*'Giả định'!$B$20+A147*'Giả định'!$B$23+'Giả định'!$B$24</f>
        <v>105008403.361345</v>
      </c>
      <c r="F147" s="25" t="n">
        <f aca="false">E147-D147</f>
        <v>-187788276.638655</v>
      </c>
      <c r="G147" s="25" t="n">
        <f aca="false">E147-C147</f>
        <v>-44843276.6386555</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149888420</v>
      </c>
      <c r="D148" s="25" t="n">
        <f aca="false">('Chi phí'!$C$77+'Chi phí'!$D$77*B148+'Chi phí'!$E$77*A148+'Giả định'!$B$15*('Chi phí'!$F$77+'Chi phí'!$G$77*B148+'Chi phí'!$H$77*A148))*(1+'Giả định'!$B$16)</f>
        <v>292833420</v>
      </c>
      <c r="E148" s="25" t="n">
        <f aca="false">A148/'Giả định'!$B$19*'Giả định'!$B$20+A148*'Giả định'!$B$23+'Giả định'!$B$24</f>
        <v>105747899.159664</v>
      </c>
      <c r="F148" s="25" t="n">
        <f aca="false">E148-D148</f>
        <v>-187085520.840336</v>
      </c>
      <c r="G148" s="25" t="n">
        <f aca="false">E148-C148</f>
        <v>-44140520.8403361</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149925160</v>
      </c>
      <c r="D149" s="25" t="n">
        <f aca="false">('Chi phí'!$C$77+'Chi phí'!$D$77*B149+'Chi phí'!$E$77*A149+'Giả định'!$B$15*('Chi phí'!$F$77+'Chi phí'!$G$77*B149+'Chi phí'!$H$77*A149))*(1+'Giả định'!$B$16)</f>
        <v>292870160</v>
      </c>
      <c r="E149" s="25" t="n">
        <f aca="false">A149/'Giả định'!$B$19*'Giả định'!$B$20+A149*'Giả định'!$B$23+'Giả định'!$B$24</f>
        <v>106487394.957983</v>
      </c>
      <c r="F149" s="25" t="n">
        <f aca="false">E149-D149</f>
        <v>-186382765.042017</v>
      </c>
      <c r="G149" s="25" t="n">
        <f aca="false">E149-C149</f>
        <v>-43437765.0420168</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149961900</v>
      </c>
      <c r="D150" s="25" t="n">
        <f aca="false">('Chi phí'!$C$77+'Chi phí'!$D$77*B150+'Chi phí'!$E$77*A150+'Giả định'!$B$15*('Chi phí'!$F$77+'Chi phí'!$G$77*B150+'Chi phí'!$H$77*A150))*(1+'Giả định'!$B$16)</f>
        <v>292906900</v>
      </c>
      <c r="E150" s="25" t="n">
        <f aca="false">A150/'Giả định'!$B$19*'Giả định'!$B$20+A150*'Giả định'!$B$23+'Giả định'!$B$24</f>
        <v>107226890.756303</v>
      </c>
      <c r="F150" s="25" t="n">
        <f aca="false">E150-D150</f>
        <v>-185680009.243697</v>
      </c>
      <c r="G150" s="25" t="n">
        <f aca="false">E150-C150</f>
        <v>-42735009.2436975</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149998640</v>
      </c>
      <c r="D151" s="25" t="n">
        <f aca="false">('Chi phí'!$C$77+'Chi phí'!$D$77*B151+'Chi phí'!$E$77*A151+'Giả định'!$B$15*('Chi phí'!$F$77+'Chi phí'!$G$77*B151+'Chi phí'!$H$77*A151))*(1+'Giả định'!$B$16)</f>
        <v>292943640</v>
      </c>
      <c r="E151" s="25" t="n">
        <f aca="false">A151/'Giả định'!$B$19*'Giả định'!$B$20+A151*'Giả định'!$B$23+'Giả định'!$B$24</f>
        <v>107966386.554622</v>
      </c>
      <c r="F151" s="25" t="n">
        <f aca="false">E151-D151</f>
        <v>-184977253.445378</v>
      </c>
      <c r="G151" s="25" t="n">
        <f aca="false">E151-C151</f>
        <v>-42032253.4453781</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150035380</v>
      </c>
      <c r="D152" s="25" t="n">
        <f aca="false">('Chi phí'!$C$77+'Chi phí'!$D$77*B152+'Chi phí'!$E$77*A152+'Giả định'!$B$15*('Chi phí'!$F$77+'Chi phí'!$G$77*B152+'Chi phí'!$H$77*A152))*(1+'Giả định'!$B$16)</f>
        <v>292980380</v>
      </c>
      <c r="E152" s="25" t="n">
        <f aca="false">A152/'Giả định'!$B$19*'Giả định'!$B$20+A152*'Giả định'!$B$23+'Giả định'!$B$24</f>
        <v>108705882.352941</v>
      </c>
      <c r="F152" s="25" t="n">
        <f aca="false">E152-D152</f>
        <v>-184274497.647059</v>
      </c>
      <c r="G152" s="25" t="n">
        <f aca="false">E152-C152</f>
        <v>-41329497.6470588</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150072120</v>
      </c>
      <c r="D153" s="25" t="n">
        <f aca="false">('Chi phí'!$C$77+'Chi phí'!$D$77*B153+'Chi phí'!$E$77*A153+'Giả định'!$B$15*('Chi phí'!$F$77+'Chi phí'!$G$77*B153+'Chi phí'!$H$77*A153))*(1+'Giả định'!$B$16)</f>
        <v>293017120</v>
      </c>
      <c r="E153" s="25" t="n">
        <f aca="false">A153/'Giả định'!$B$19*'Giả định'!$B$20+A153*'Giả định'!$B$23+'Giả định'!$B$24</f>
        <v>109445378.151261</v>
      </c>
      <c r="F153" s="25" t="n">
        <f aca="false">E153-D153</f>
        <v>-183571741.84874</v>
      </c>
      <c r="G153" s="25" t="n">
        <f aca="false">E153-C153</f>
        <v>-40626741.8487395</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150108860</v>
      </c>
      <c r="D154" s="25" t="n">
        <f aca="false">('Chi phí'!$C$77+'Chi phí'!$D$77*B154+'Chi phí'!$E$77*A154+'Giả định'!$B$15*('Chi phí'!$F$77+'Chi phí'!$G$77*B154+'Chi phí'!$H$77*A154))*(1+'Giả định'!$B$16)</f>
        <v>293053860</v>
      </c>
      <c r="E154" s="25" t="n">
        <f aca="false">A154/'Giả định'!$B$19*'Giả định'!$B$20+A154*'Giả định'!$B$23+'Giả định'!$B$24</f>
        <v>110184873.94958</v>
      </c>
      <c r="F154" s="25" t="n">
        <f aca="false">E154-D154</f>
        <v>-182868986.05042</v>
      </c>
      <c r="G154" s="25" t="n">
        <f aca="false">E154-C154</f>
        <v>-39923986.0504202</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150145600</v>
      </c>
      <c r="D155" s="25" t="n">
        <f aca="false">('Chi phí'!$C$77+'Chi phí'!$D$77*B155+'Chi phí'!$E$77*A155+'Giả định'!$B$15*('Chi phí'!$F$77+'Chi phí'!$G$77*B155+'Chi phí'!$H$77*A155))*(1+'Giả định'!$B$16)</f>
        <v>293090600</v>
      </c>
      <c r="E155" s="25" t="n">
        <f aca="false">A155/'Giả định'!$B$19*'Giả định'!$B$20+A155*'Giả định'!$B$23+'Giả định'!$B$24</f>
        <v>110924369.747899</v>
      </c>
      <c r="F155" s="25" t="n">
        <f aca="false">E155-D155</f>
        <v>-182166230.252101</v>
      </c>
      <c r="G155" s="25" t="n">
        <f aca="false">E155-C155</f>
        <v>-39221230.2521008</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155567940</v>
      </c>
      <c r="D156" s="25" t="n">
        <f aca="false">('Chi phí'!$C$77+'Chi phí'!$D$77*B156+'Chi phí'!$E$77*A156+'Giả định'!$B$15*('Chi phí'!$F$77+'Chi phí'!$G$77*B156+'Chi phí'!$H$77*A156))*(1+'Giả định'!$B$16)</f>
        <v>298512940</v>
      </c>
      <c r="E156" s="25" t="n">
        <f aca="false">A156/'Giả định'!$B$19*'Giả định'!$B$20+A156*'Giả định'!$B$23+'Giả định'!$B$24</f>
        <v>111663865.546219</v>
      </c>
      <c r="F156" s="25" t="n">
        <f aca="false">E156-D156</f>
        <v>-186849074.453782</v>
      </c>
      <c r="G156" s="25" t="n">
        <f aca="false">E156-C156</f>
        <v>-43904074.4537815</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155604680</v>
      </c>
      <c r="D157" s="25" t="n">
        <f aca="false">('Chi phí'!$C$77+'Chi phí'!$D$77*B157+'Chi phí'!$E$77*A157+'Giả định'!$B$15*('Chi phí'!$F$77+'Chi phí'!$G$77*B157+'Chi phí'!$H$77*A157))*(1+'Giả định'!$B$16)</f>
        <v>298549680</v>
      </c>
      <c r="E157" s="25" t="n">
        <f aca="false">A157/'Giả định'!$B$19*'Giả định'!$B$20+A157*'Giả định'!$B$23+'Giả định'!$B$24</f>
        <v>112403361.344538</v>
      </c>
      <c r="F157" s="25" t="n">
        <f aca="false">E157-D157</f>
        <v>-186146318.655462</v>
      </c>
      <c r="G157" s="25" t="n">
        <f aca="false">E157-C157</f>
        <v>-43201318.6554622</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155641420</v>
      </c>
      <c r="D158" s="25" t="n">
        <f aca="false">('Chi phí'!$C$77+'Chi phí'!$D$77*B158+'Chi phí'!$E$77*A158+'Giả định'!$B$15*('Chi phí'!$F$77+'Chi phí'!$G$77*B158+'Chi phí'!$H$77*A158))*(1+'Giả định'!$B$16)</f>
        <v>298586420</v>
      </c>
      <c r="E158" s="25" t="n">
        <f aca="false">A158/'Giả định'!$B$19*'Giả định'!$B$20+A158*'Giả định'!$B$23+'Giả định'!$B$24</f>
        <v>113142857.142857</v>
      </c>
      <c r="F158" s="25" t="n">
        <f aca="false">E158-D158</f>
        <v>-185443562.857143</v>
      </c>
      <c r="G158" s="25" t="n">
        <f aca="false">E158-C158</f>
        <v>-42498562.8571428</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155678160</v>
      </c>
      <c r="D159" s="25" t="n">
        <f aca="false">('Chi phí'!$C$77+'Chi phí'!$D$77*B159+'Chi phí'!$E$77*A159+'Giả định'!$B$15*('Chi phí'!$F$77+'Chi phí'!$G$77*B159+'Chi phí'!$H$77*A159))*(1+'Giả định'!$B$16)</f>
        <v>298623160</v>
      </c>
      <c r="E159" s="25" t="n">
        <f aca="false">A159/'Giả định'!$B$19*'Giả định'!$B$20+A159*'Giả định'!$B$23+'Giả định'!$B$24</f>
        <v>113882352.941176</v>
      </c>
      <c r="F159" s="25" t="n">
        <f aca="false">E159-D159</f>
        <v>-184740807.058824</v>
      </c>
      <c r="G159" s="25" t="n">
        <f aca="false">E159-C159</f>
        <v>-41795807.0588235</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155714900</v>
      </c>
      <c r="D160" s="25" t="n">
        <f aca="false">('Chi phí'!$C$77+'Chi phí'!$D$77*B160+'Chi phí'!$E$77*A160+'Giả định'!$B$15*('Chi phí'!$F$77+'Chi phí'!$G$77*B160+'Chi phí'!$H$77*A160))*(1+'Giả định'!$B$16)</f>
        <v>298659900</v>
      </c>
      <c r="E160" s="25" t="n">
        <f aca="false">A160/'Giả định'!$B$19*'Giả định'!$B$20+A160*'Giả định'!$B$23+'Giả định'!$B$24</f>
        <v>114621848.739496</v>
      </c>
      <c r="F160" s="25" t="n">
        <f aca="false">E160-D160</f>
        <v>-184038051.260504</v>
      </c>
      <c r="G160" s="25" t="n">
        <f aca="false">E160-C160</f>
        <v>-41093051.2605042</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155751640</v>
      </c>
      <c r="D161" s="25" t="n">
        <f aca="false">('Chi phí'!$C$77+'Chi phí'!$D$77*B161+'Chi phí'!$E$77*A161+'Giả định'!$B$15*('Chi phí'!$F$77+'Chi phí'!$G$77*B161+'Chi phí'!$H$77*A161))*(1+'Giả định'!$B$16)</f>
        <v>298696640</v>
      </c>
      <c r="E161" s="25" t="n">
        <f aca="false">A161/'Giả định'!$B$19*'Giả định'!$B$20+A161*'Giả định'!$B$23+'Giả định'!$B$24</f>
        <v>115361344.537815</v>
      </c>
      <c r="F161" s="25" t="n">
        <f aca="false">E161-D161</f>
        <v>-183335295.462185</v>
      </c>
      <c r="G161" s="25" t="n">
        <f aca="false">E161-C161</f>
        <v>-40390295.4621849</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155788380</v>
      </c>
      <c r="D162" s="25" t="n">
        <f aca="false">('Chi phí'!$C$77+'Chi phí'!$D$77*B162+'Chi phí'!$E$77*A162+'Giả định'!$B$15*('Chi phí'!$F$77+'Chi phí'!$G$77*B162+'Chi phí'!$H$77*A162))*(1+'Giả định'!$B$16)</f>
        <v>298733380</v>
      </c>
      <c r="E162" s="25" t="n">
        <f aca="false">A162/'Giả định'!$B$19*'Giả định'!$B$20+A162*'Giả định'!$B$23+'Giả định'!$B$24</f>
        <v>116100840.336134</v>
      </c>
      <c r="F162" s="25" t="n">
        <f aca="false">E162-D162</f>
        <v>-182632539.663866</v>
      </c>
      <c r="G162" s="25" t="n">
        <f aca="false">E162-C162</f>
        <v>-39687539.6638655</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155825120</v>
      </c>
      <c r="D163" s="25" t="n">
        <f aca="false">('Chi phí'!$C$77+'Chi phí'!$D$77*B163+'Chi phí'!$E$77*A163+'Giả định'!$B$15*('Chi phí'!$F$77+'Chi phí'!$G$77*B163+'Chi phí'!$H$77*A163))*(1+'Giả định'!$B$16)</f>
        <v>298770120</v>
      </c>
      <c r="E163" s="25" t="n">
        <f aca="false">A163/'Giả định'!$B$19*'Giả định'!$B$20+A163*'Giả định'!$B$23+'Giả định'!$B$24</f>
        <v>116840336.134454</v>
      </c>
      <c r="F163" s="25" t="n">
        <f aca="false">E163-D163</f>
        <v>-181929783.865546</v>
      </c>
      <c r="G163" s="25" t="n">
        <f aca="false">E163-C163</f>
        <v>-38984783.8655462</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155861860</v>
      </c>
      <c r="D164" s="25" t="n">
        <f aca="false">('Chi phí'!$C$77+'Chi phí'!$D$77*B164+'Chi phí'!$E$77*A164+'Giả định'!$B$15*('Chi phí'!$F$77+'Chi phí'!$G$77*B164+'Chi phí'!$H$77*A164))*(1+'Giả định'!$B$16)</f>
        <v>298806860</v>
      </c>
      <c r="E164" s="25" t="n">
        <f aca="false">A164/'Giả định'!$B$19*'Giả định'!$B$20+A164*'Giả định'!$B$23+'Giả định'!$B$24</f>
        <v>117579831.932773</v>
      </c>
      <c r="F164" s="25" t="n">
        <f aca="false">E164-D164</f>
        <v>-181227028.067227</v>
      </c>
      <c r="G164" s="25" t="n">
        <f aca="false">E164-C164</f>
        <v>-38282028.0672269</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155898600</v>
      </c>
      <c r="D165" s="25" t="n">
        <f aca="false">('Chi phí'!$C$77+'Chi phí'!$D$77*B165+'Chi phí'!$E$77*A165+'Giả định'!$B$15*('Chi phí'!$F$77+'Chi phí'!$G$77*B165+'Chi phí'!$H$77*A165))*(1+'Giả định'!$B$16)</f>
        <v>298843600</v>
      </c>
      <c r="E165" s="25" t="n">
        <f aca="false">A165/'Giả định'!$B$19*'Giả định'!$B$20+A165*'Giả định'!$B$23+'Giả định'!$B$24</f>
        <v>118319327.731092</v>
      </c>
      <c r="F165" s="25" t="n">
        <f aca="false">E165-D165</f>
        <v>-180524272.268908</v>
      </c>
      <c r="G165" s="25" t="n">
        <f aca="false">E165-C165</f>
        <v>-37579272.2689076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161320940</v>
      </c>
      <c r="D166" s="25" t="n">
        <f aca="false">('Chi phí'!$C$77+'Chi phí'!$D$77*B166+'Chi phí'!$E$77*A166+'Giả định'!$B$15*('Chi phí'!$F$77+'Chi phí'!$G$77*B166+'Chi phí'!$H$77*A166))*(1+'Giả định'!$B$16)</f>
        <v>304265940</v>
      </c>
      <c r="E166" s="25" t="n">
        <f aca="false">A166/'Giả định'!$B$19*'Giả định'!$B$20+A166*'Giả định'!$B$23+'Giả định'!$B$24</f>
        <v>119058823.529412</v>
      </c>
      <c r="F166" s="25" t="n">
        <f aca="false">E166-D166</f>
        <v>-185207116.470588</v>
      </c>
      <c r="G166" s="25" t="n">
        <f aca="false">E166-C166</f>
        <v>-42262116.4705882</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161357680</v>
      </c>
      <c r="D167" s="25" t="n">
        <f aca="false">('Chi phí'!$C$77+'Chi phí'!$D$77*B167+'Chi phí'!$E$77*A167+'Giả định'!$B$15*('Chi phí'!$F$77+'Chi phí'!$G$77*B167+'Chi phí'!$H$77*A167))*(1+'Giả định'!$B$16)</f>
        <v>304302680</v>
      </c>
      <c r="E167" s="25" t="n">
        <f aca="false">A167/'Giả định'!$B$19*'Giả định'!$B$20+A167*'Giả định'!$B$23+'Giả định'!$B$24</f>
        <v>119798319.327731</v>
      </c>
      <c r="F167" s="25" t="n">
        <f aca="false">E167-D167</f>
        <v>-184504360.672269</v>
      </c>
      <c r="G167" s="25" t="n">
        <f aca="false">E167-C167</f>
        <v>-41559360.6722689</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161394420</v>
      </c>
      <c r="D168" s="25" t="n">
        <f aca="false">('Chi phí'!$C$77+'Chi phí'!$D$77*B168+'Chi phí'!$E$77*A168+'Giả định'!$B$15*('Chi phí'!$F$77+'Chi phí'!$G$77*B168+'Chi phí'!$H$77*A168))*(1+'Giả định'!$B$16)</f>
        <v>304339420</v>
      </c>
      <c r="E168" s="25" t="n">
        <f aca="false">A168/'Giả định'!$B$19*'Giả định'!$B$20+A168*'Giả định'!$B$23+'Giả định'!$B$24</f>
        <v>120537815.12605</v>
      </c>
      <c r="F168" s="25" t="n">
        <f aca="false">E168-D168</f>
        <v>-183801604.87395</v>
      </c>
      <c r="G168" s="25" t="n">
        <f aca="false">E168-C168</f>
        <v>-40856604.8739496</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161431160</v>
      </c>
      <c r="D169" s="25" t="n">
        <f aca="false">('Chi phí'!$C$77+'Chi phí'!$D$77*B169+'Chi phí'!$E$77*A169+'Giả định'!$B$15*('Chi phí'!$F$77+'Chi phí'!$G$77*B169+'Chi phí'!$H$77*A169))*(1+'Giả định'!$B$16)</f>
        <v>304376160</v>
      </c>
      <c r="E169" s="25" t="n">
        <f aca="false">A169/'Giả định'!$B$19*'Giả định'!$B$20+A169*'Giả định'!$B$23+'Giả định'!$B$24</f>
        <v>121277310.92437</v>
      </c>
      <c r="F169" s="25" t="n">
        <f aca="false">E169-D169</f>
        <v>-183098849.07563</v>
      </c>
      <c r="G169" s="25" t="n">
        <f aca="false">E169-C169</f>
        <v>-40153849.0756303</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161467900</v>
      </c>
      <c r="D170" s="25" t="n">
        <f aca="false">('Chi phí'!$C$77+'Chi phí'!$D$77*B170+'Chi phí'!$E$77*A170+'Giả định'!$B$15*('Chi phí'!$F$77+'Chi phí'!$G$77*B170+'Chi phí'!$H$77*A170))*(1+'Giả định'!$B$16)</f>
        <v>304412900</v>
      </c>
      <c r="E170" s="25" t="n">
        <f aca="false">A170/'Giả định'!$B$19*'Giả định'!$B$20+A170*'Giả định'!$B$23+'Giả định'!$B$24</f>
        <v>122016806.722689</v>
      </c>
      <c r="F170" s="25" t="n">
        <f aca="false">E170-D170</f>
        <v>-182396093.277311</v>
      </c>
      <c r="G170" s="25" t="n">
        <f aca="false">E170-C170</f>
        <v>-39451093.2773109</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161504640</v>
      </c>
      <c r="D171" s="25" t="n">
        <f aca="false">('Chi phí'!$C$77+'Chi phí'!$D$77*B171+'Chi phí'!$E$77*A171+'Giả định'!$B$15*('Chi phí'!$F$77+'Chi phí'!$G$77*B171+'Chi phí'!$H$77*A171))*(1+'Giả định'!$B$16)</f>
        <v>304449640</v>
      </c>
      <c r="E171" s="25" t="n">
        <f aca="false">A171/'Giả định'!$B$19*'Giả định'!$B$20+A171*'Giả định'!$B$23+'Giả định'!$B$24</f>
        <v>122756302.521008</v>
      </c>
      <c r="F171" s="25" t="n">
        <f aca="false">E171-D171</f>
        <v>-181693337.478992</v>
      </c>
      <c r="G171" s="25" t="n">
        <f aca="false">E171-C171</f>
        <v>-38748337.4789916</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161541380</v>
      </c>
      <c r="D172" s="25" t="n">
        <f aca="false">('Chi phí'!$C$77+'Chi phí'!$D$77*B172+'Chi phí'!$E$77*A172+'Giả định'!$B$15*('Chi phí'!$F$77+'Chi phí'!$G$77*B172+'Chi phí'!$H$77*A172))*(1+'Giả định'!$B$16)</f>
        <v>304486380</v>
      </c>
      <c r="E172" s="25" t="n">
        <f aca="false">A172/'Giả định'!$B$19*'Giả định'!$B$20+A172*'Giả định'!$B$23+'Giả định'!$B$24</f>
        <v>123495798.319328</v>
      </c>
      <c r="F172" s="25" t="n">
        <f aca="false">E172-D172</f>
        <v>-180990581.680672</v>
      </c>
      <c r="G172" s="25" t="n">
        <f aca="false">E172-C172</f>
        <v>-38045581.6806723</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161578120</v>
      </c>
      <c r="D173" s="25" t="n">
        <f aca="false">('Chi phí'!$C$77+'Chi phí'!$D$77*B173+'Chi phí'!$E$77*A173+'Giả định'!$B$15*('Chi phí'!$F$77+'Chi phí'!$G$77*B173+'Chi phí'!$H$77*A173))*(1+'Giả định'!$B$16)</f>
        <v>304523120</v>
      </c>
      <c r="E173" s="25" t="n">
        <f aca="false">A173/'Giả định'!$B$19*'Giả định'!$B$20+A173*'Giả định'!$B$23+'Giả định'!$B$24</f>
        <v>124235294.117647</v>
      </c>
      <c r="F173" s="25" t="n">
        <f aca="false">E173-D173</f>
        <v>-180287825.882353</v>
      </c>
      <c r="G173" s="25" t="n">
        <f aca="false">E173-C173</f>
        <v>-37342825.8823529</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161614860</v>
      </c>
      <c r="D174" s="25" t="n">
        <f aca="false">('Chi phí'!$C$77+'Chi phí'!$D$77*B174+'Chi phí'!$E$77*A174+'Giả định'!$B$15*('Chi phí'!$F$77+'Chi phí'!$G$77*B174+'Chi phí'!$H$77*A174))*(1+'Giả định'!$B$16)</f>
        <v>304559860</v>
      </c>
      <c r="E174" s="25" t="n">
        <f aca="false">A174/'Giả định'!$B$19*'Giả định'!$B$20+A174*'Giả định'!$B$23+'Giả định'!$B$24</f>
        <v>124974789.915966</v>
      </c>
      <c r="F174" s="25" t="n">
        <f aca="false">E174-D174</f>
        <v>-179585070.084034</v>
      </c>
      <c r="G174" s="25" t="n">
        <f aca="false">E174-C174</f>
        <v>-36640070.0840336</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161651600</v>
      </c>
      <c r="D175" s="25" t="n">
        <f aca="false">('Chi phí'!$C$77+'Chi phí'!$D$77*B175+'Chi phí'!$E$77*A175+'Giả định'!$B$15*('Chi phí'!$F$77+'Chi phí'!$G$77*B175+'Chi phí'!$H$77*A175))*(1+'Giả định'!$B$16)</f>
        <v>304596600</v>
      </c>
      <c r="E175" s="25" t="n">
        <f aca="false">A175/'Giả định'!$B$19*'Giả định'!$B$20+A175*'Giả định'!$B$23+'Giả định'!$B$24</f>
        <v>125714285.714286</v>
      </c>
      <c r="F175" s="25" t="n">
        <f aca="false">E175-D175</f>
        <v>-178882314.285714</v>
      </c>
      <c r="G175" s="25" t="n">
        <f aca="false">E175-C175</f>
        <v>-35937314.2857143</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167073940</v>
      </c>
      <c r="D176" s="25" t="n">
        <f aca="false">('Chi phí'!$C$77+'Chi phí'!$D$77*B176+'Chi phí'!$E$77*A176+'Giả định'!$B$15*('Chi phí'!$F$77+'Chi phí'!$G$77*B176+'Chi phí'!$H$77*A176))*(1+'Giả định'!$B$16)</f>
        <v>310018940</v>
      </c>
      <c r="E176" s="25" t="n">
        <f aca="false">A176/'Giả định'!$B$19*'Giả định'!$B$20+A176*'Giả định'!$B$23+'Giả định'!$B$24</f>
        <v>126453781.512605</v>
      </c>
      <c r="F176" s="25" t="n">
        <f aca="false">E176-D176</f>
        <v>-183565158.487395</v>
      </c>
      <c r="G176" s="25" t="n">
        <f aca="false">E176-C176</f>
        <v>-40620158.4873949</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167110680</v>
      </c>
      <c r="D177" s="25" t="n">
        <f aca="false">('Chi phí'!$C$77+'Chi phí'!$D$77*B177+'Chi phí'!$E$77*A177+'Giả định'!$B$15*('Chi phí'!$F$77+'Chi phí'!$G$77*B177+'Chi phí'!$H$77*A177))*(1+'Giả định'!$B$16)</f>
        <v>310055680</v>
      </c>
      <c r="E177" s="25" t="n">
        <f aca="false">A177/'Giả định'!$B$19*'Giả định'!$B$20+A177*'Giả định'!$B$23+'Giả định'!$B$24</f>
        <v>127193277.310924</v>
      </c>
      <c r="F177" s="25" t="n">
        <f aca="false">E177-D177</f>
        <v>-182862402.689076</v>
      </c>
      <c r="G177" s="25" t="n">
        <f aca="false">E177-C177</f>
        <v>-39917402.6890756</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167147420</v>
      </c>
      <c r="D178" s="25" t="n">
        <f aca="false">('Chi phí'!$C$77+'Chi phí'!$D$77*B178+'Chi phí'!$E$77*A178+'Giả định'!$B$15*('Chi phí'!$F$77+'Chi phí'!$G$77*B178+'Chi phí'!$H$77*A178))*(1+'Giả định'!$B$16)</f>
        <v>310092420</v>
      </c>
      <c r="E178" s="25" t="n">
        <f aca="false">A178/'Giả định'!$B$19*'Giả định'!$B$20+A178*'Giả định'!$B$23+'Giả định'!$B$24</f>
        <v>127932773.109244</v>
      </c>
      <c r="F178" s="25" t="n">
        <f aca="false">E178-D178</f>
        <v>-182159646.890756</v>
      </c>
      <c r="G178" s="25" t="n">
        <f aca="false">E178-C178</f>
        <v>-39214646.8907563</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167184160</v>
      </c>
      <c r="D179" s="25" t="n">
        <f aca="false">('Chi phí'!$C$77+'Chi phí'!$D$77*B179+'Chi phí'!$E$77*A179+'Giả định'!$B$15*('Chi phí'!$F$77+'Chi phí'!$G$77*B179+'Chi phí'!$H$77*A179))*(1+'Giả định'!$B$16)</f>
        <v>310129160</v>
      </c>
      <c r="E179" s="25" t="n">
        <f aca="false">A179/'Giả định'!$B$19*'Giả định'!$B$20+A179*'Giả định'!$B$23+'Giả định'!$B$24</f>
        <v>128672268.907563</v>
      </c>
      <c r="F179" s="25" t="n">
        <f aca="false">E179-D179</f>
        <v>-181456891.092437</v>
      </c>
      <c r="G179" s="25" t="n">
        <f aca="false">E179-C179</f>
        <v>-38511891.092437</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167220900</v>
      </c>
      <c r="D180" s="25" t="n">
        <f aca="false">('Chi phí'!$C$77+'Chi phí'!$D$77*B180+'Chi phí'!$E$77*A180+'Giả định'!$B$15*('Chi phí'!$F$77+'Chi phí'!$G$77*B180+'Chi phí'!$H$77*A180))*(1+'Giả định'!$B$16)</f>
        <v>310165900</v>
      </c>
      <c r="E180" s="25" t="n">
        <f aca="false">A180/'Giả định'!$B$19*'Giả định'!$B$20+A180*'Giả định'!$B$23+'Giả định'!$B$24</f>
        <v>129411764.705882</v>
      </c>
      <c r="F180" s="25" t="n">
        <f aca="false">E180-D180</f>
        <v>-180754135.294118</v>
      </c>
      <c r="G180" s="25" t="n">
        <f aca="false">E180-C180</f>
        <v>-37809135.2941176</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167257640</v>
      </c>
      <c r="D181" s="25" t="n">
        <f aca="false">('Chi phí'!$C$77+'Chi phí'!$D$77*B181+'Chi phí'!$E$77*A181+'Giả định'!$B$15*('Chi phí'!$F$77+'Chi phí'!$G$77*B181+'Chi phí'!$H$77*A181))*(1+'Giả định'!$B$16)</f>
        <v>310202640</v>
      </c>
      <c r="E181" s="25" t="n">
        <f aca="false">A181/'Giả định'!$B$19*'Giả định'!$B$20+A181*'Giả định'!$B$23+'Giả định'!$B$24</f>
        <v>130151260.504202</v>
      </c>
      <c r="F181" s="25" t="n">
        <f aca="false">E181-D181</f>
        <v>-180051379.495798</v>
      </c>
      <c r="G181" s="25" t="n">
        <f aca="false">E181-C181</f>
        <v>-37106379.4957983</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167294380</v>
      </c>
      <c r="D182" s="25" t="n">
        <f aca="false">('Chi phí'!$C$77+'Chi phí'!$D$77*B182+'Chi phí'!$E$77*A182+'Giả định'!$B$15*('Chi phí'!$F$77+'Chi phí'!$G$77*B182+'Chi phí'!$H$77*A182))*(1+'Giả định'!$B$16)</f>
        <v>310239380</v>
      </c>
      <c r="E182" s="25" t="n">
        <f aca="false">A182/'Giả định'!$B$19*'Giả định'!$B$20+A182*'Giả định'!$B$23+'Giả định'!$B$24</f>
        <v>130890756.302521</v>
      </c>
      <c r="F182" s="25" t="n">
        <f aca="false">E182-D182</f>
        <v>-179348623.697479</v>
      </c>
      <c r="G182" s="25" t="n">
        <f aca="false">E182-C182</f>
        <v>-36403623.697479</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167331120</v>
      </c>
      <c r="D183" s="25" t="n">
        <f aca="false">('Chi phí'!$C$77+'Chi phí'!$D$77*B183+'Chi phí'!$E$77*A183+'Giả định'!$B$15*('Chi phí'!$F$77+'Chi phí'!$G$77*B183+'Chi phí'!$H$77*A183))*(1+'Giả định'!$B$16)</f>
        <v>310276120</v>
      </c>
      <c r="E183" s="25" t="n">
        <f aca="false">A183/'Giả định'!$B$19*'Giả định'!$B$20+A183*'Giả định'!$B$23+'Giả định'!$B$24</f>
        <v>131630252.10084</v>
      </c>
      <c r="F183" s="25" t="n">
        <f aca="false">E183-D183</f>
        <v>-178645867.89916</v>
      </c>
      <c r="G183" s="25" t="n">
        <f aca="false">E183-C183</f>
        <v>-35700867.8991597</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167367860</v>
      </c>
      <c r="D184" s="25" t="n">
        <f aca="false">('Chi phí'!$C$77+'Chi phí'!$D$77*B184+'Chi phí'!$E$77*A184+'Giả định'!$B$15*('Chi phí'!$F$77+'Chi phí'!$G$77*B184+'Chi phí'!$H$77*A184))*(1+'Giả định'!$B$16)</f>
        <v>310312860</v>
      </c>
      <c r="E184" s="25" t="n">
        <f aca="false">A184/'Giả định'!$B$19*'Giả định'!$B$20+A184*'Giả định'!$B$23+'Giả định'!$B$24</f>
        <v>132369747.89916</v>
      </c>
      <c r="F184" s="25" t="n">
        <f aca="false">E184-D184</f>
        <v>-177943112.10084</v>
      </c>
      <c r="G184" s="25" t="n">
        <f aca="false">E184-C184</f>
        <v>-34998112.1008403</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167404600</v>
      </c>
      <c r="D185" s="25" t="n">
        <f aca="false">('Chi phí'!$C$77+'Chi phí'!$D$77*B185+'Chi phí'!$E$77*A185+'Giả định'!$B$15*('Chi phí'!$F$77+'Chi phí'!$G$77*B185+'Chi phí'!$H$77*A185))*(1+'Giả định'!$B$16)</f>
        <v>310349600</v>
      </c>
      <c r="E185" s="25" t="n">
        <f aca="false">A185/'Giả định'!$B$19*'Giả định'!$B$20+A185*'Giả định'!$B$23+'Giả định'!$B$24</f>
        <v>133109243.697479</v>
      </c>
      <c r="F185" s="25" t="n">
        <f aca="false">E185-D185</f>
        <v>-177240356.302521</v>
      </c>
      <c r="G185" s="25" t="n">
        <f aca="false">E185-C185</f>
        <v>-34295356.302521</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172826940</v>
      </c>
      <c r="D186" s="25" t="n">
        <f aca="false">('Chi phí'!$C$77+'Chi phí'!$D$77*B186+'Chi phí'!$E$77*A186+'Giả định'!$B$15*('Chi phí'!$F$77+'Chi phí'!$G$77*B186+'Chi phí'!$H$77*A186))*(1+'Giả định'!$B$16)</f>
        <v>315771940</v>
      </c>
      <c r="E186" s="25" t="n">
        <f aca="false">A186/'Giả định'!$B$19*'Giả định'!$B$20+A186*'Giả định'!$B$23+'Giả định'!$B$24</f>
        <v>133848739.495798</v>
      </c>
      <c r="F186" s="25" t="n">
        <f aca="false">E186-D186</f>
        <v>-181923200.504202</v>
      </c>
      <c r="G186" s="25" t="n">
        <f aca="false">E186-C186</f>
        <v>-38978200.5042017</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172863680</v>
      </c>
      <c r="D187" s="25" t="n">
        <f aca="false">('Chi phí'!$C$77+'Chi phí'!$D$77*B187+'Chi phí'!$E$77*A187+'Giả định'!$B$15*('Chi phí'!$F$77+'Chi phí'!$G$77*B187+'Chi phí'!$H$77*A187))*(1+'Giả định'!$B$16)</f>
        <v>315808680</v>
      </c>
      <c r="E187" s="25" t="n">
        <f aca="false">A187/'Giả định'!$B$19*'Giả định'!$B$20+A187*'Giả định'!$B$23+'Giả định'!$B$24</f>
        <v>134588235.294118</v>
      </c>
      <c r="F187" s="25" t="n">
        <f aca="false">E187-D187</f>
        <v>-181220444.705882</v>
      </c>
      <c r="G187" s="25" t="n">
        <f aca="false">E187-C187</f>
        <v>-38275444.7058823</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172900420</v>
      </c>
      <c r="D188" s="25" t="n">
        <f aca="false">('Chi phí'!$C$77+'Chi phí'!$D$77*B188+'Chi phí'!$E$77*A188+'Giả định'!$B$15*('Chi phí'!$F$77+'Chi phí'!$G$77*B188+'Chi phí'!$H$77*A188))*(1+'Giả định'!$B$16)</f>
        <v>315845420</v>
      </c>
      <c r="E188" s="25" t="n">
        <f aca="false">A188/'Giả định'!$B$19*'Giả định'!$B$20+A188*'Giả định'!$B$23+'Giả định'!$B$24</f>
        <v>135327731.092437</v>
      </c>
      <c r="F188" s="25" t="n">
        <f aca="false">E188-D188</f>
        <v>-180517688.907563</v>
      </c>
      <c r="G188" s="25" t="n">
        <f aca="false">E188-C188</f>
        <v>-37572688.907563</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172937160</v>
      </c>
      <c r="D189" s="25" t="n">
        <f aca="false">('Chi phí'!$C$77+'Chi phí'!$D$77*B189+'Chi phí'!$E$77*A189+'Giả định'!$B$15*('Chi phí'!$F$77+'Chi phí'!$G$77*B189+'Chi phí'!$H$77*A189))*(1+'Giả định'!$B$16)</f>
        <v>315882160</v>
      </c>
      <c r="E189" s="25" t="n">
        <f aca="false">A189/'Giả định'!$B$19*'Giả định'!$B$20+A189*'Giả định'!$B$23+'Giả định'!$B$24</f>
        <v>136067226.890756</v>
      </c>
      <c r="F189" s="25" t="n">
        <f aca="false">E189-D189</f>
        <v>-179814933.109244</v>
      </c>
      <c r="G189" s="25" t="n">
        <f aca="false">E189-C189</f>
        <v>-36869933.1092437</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172973900</v>
      </c>
      <c r="D190" s="25" t="n">
        <f aca="false">('Chi phí'!$C$77+'Chi phí'!$D$77*B190+'Chi phí'!$E$77*A190+'Giả định'!$B$15*('Chi phí'!$F$77+'Chi phí'!$G$77*B190+'Chi phí'!$H$77*A190))*(1+'Giả định'!$B$16)</f>
        <v>315918900</v>
      </c>
      <c r="E190" s="25" t="n">
        <f aca="false">A190/'Giả định'!$B$19*'Giả định'!$B$20+A190*'Giả định'!$B$23+'Giả định'!$B$24</f>
        <v>136806722.689076</v>
      </c>
      <c r="F190" s="25" t="n">
        <f aca="false">E190-D190</f>
        <v>-179112177.310924</v>
      </c>
      <c r="G190" s="25" t="n">
        <f aca="false">E190-C190</f>
        <v>-36167177.3109244</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173010640</v>
      </c>
      <c r="D191" s="25" t="n">
        <f aca="false">('Chi phí'!$C$77+'Chi phí'!$D$77*B191+'Chi phí'!$E$77*A191+'Giả định'!$B$15*('Chi phí'!$F$77+'Chi phí'!$G$77*B191+'Chi phí'!$H$77*A191))*(1+'Giả định'!$B$16)</f>
        <v>315955640</v>
      </c>
      <c r="E191" s="25" t="n">
        <f aca="false">A191/'Giả định'!$B$19*'Giả định'!$B$20+A191*'Giả định'!$B$23+'Giả định'!$B$24</f>
        <v>137546218.487395</v>
      </c>
      <c r="F191" s="25" t="n">
        <f aca="false">E191-D191</f>
        <v>-178409421.512605</v>
      </c>
      <c r="G191" s="25" t="n">
        <f aca="false">E191-C191</f>
        <v>-35464421.512605</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173047380</v>
      </c>
      <c r="D192" s="25" t="n">
        <f aca="false">('Chi phí'!$C$77+'Chi phí'!$D$77*B192+'Chi phí'!$E$77*A192+'Giả định'!$B$15*('Chi phí'!$F$77+'Chi phí'!$G$77*B192+'Chi phí'!$H$77*A192))*(1+'Giả định'!$B$16)</f>
        <v>315992380</v>
      </c>
      <c r="E192" s="25" t="n">
        <f aca="false">A192/'Giả định'!$B$19*'Giả định'!$B$20+A192*'Giả định'!$B$23+'Giả định'!$B$24</f>
        <v>138285714.285714</v>
      </c>
      <c r="F192" s="25" t="n">
        <f aca="false">E192-D192</f>
        <v>-177706665.714286</v>
      </c>
      <c r="G192" s="25" t="n">
        <f aca="false">E192-C192</f>
        <v>-34761665.7142857</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173084120</v>
      </c>
      <c r="D193" s="25" t="n">
        <f aca="false">('Chi phí'!$C$77+'Chi phí'!$D$77*B193+'Chi phí'!$E$77*A193+'Giả định'!$B$15*('Chi phí'!$F$77+'Chi phí'!$G$77*B193+'Chi phí'!$H$77*A193))*(1+'Giả định'!$B$16)</f>
        <v>316029120</v>
      </c>
      <c r="E193" s="25" t="n">
        <f aca="false">A193/'Giả định'!$B$19*'Giả định'!$B$20+A193*'Giả định'!$B$23+'Giả định'!$B$24</f>
        <v>139025210.084034</v>
      </c>
      <c r="F193" s="25" t="n">
        <f aca="false">E193-D193</f>
        <v>-177003909.915966</v>
      </c>
      <c r="G193" s="25" t="n">
        <f aca="false">E193-C193</f>
        <v>-34058909.9159664</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173120860</v>
      </c>
      <c r="D194" s="25" t="n">
        <f aca="false">('Chi phí'!$C$77+'Chi phí'!$D$77*B194+'Chi phí'!$E$77*A194+'Giả định'!$B$15*('Chi phí'!$F$77+'Chi phí'!$G$77*B194+'Chi phí'!$H$77*A194))*(1+'Giả định'!$B$16)</f>
        <v>316065860</v>
      </c>
      <c r="E194" s="25" t="n">
        <f aca="false">A194/'Giả định'!$B$19*'Giả định'!$B$20+A194*'Giả định'!$B$23+'Giả định'!$B$24</f>
        <v>139764705.882353</v>
      </c>
      <c r="F194" s="25" t="n">
        <f aca="false">E194-D194</f>
        <v>-176301154.117647</v>
      </c>
      <c r="G194" s="25" t="n">
        <f aca="false">E194-C194</f>
        <v>-33356154.1176471</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173157600</v>
      </c>
      <c r="D195" s="25" t="n">
        <f aca="false">('Chi phí'!$C$77+'Chi phí'!$D$77*B195+'Chi phí'!$E$77*A195+'Giả định'!$B$15*('Chi phí'!$F$77+'Chi phí'!$G$77*B195+'Chi phí'!$H$77*A195))*(1+'Giả định'!$B$16)</f>
        <v>316102600</v>
      </c>
      <c r="E195" s="25" t="n">
        <f aca="false">A195/'Giả định'!$B$19*'Giả định'!$B$20+A195*'Giả định'!$B$23+'Giả định'!$B$24</f>
        <v>140504201.680672</v>
      </c>
      <c r="F195" s="25" t="n">
        <f aca="false">E195-D195</f>
        <v>-175598398.319328</v>
      </c>
      <c r="G195" s="25" t="n">
        <f aca="false">E195-C195</f>
        <v>-32653398.3193277</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178579940</v>
      </c>
      <c r="D196" s="25" t="n">
        <f aca="false">('Chi phí'!$C$77+'Chi phí'!$D$77*B196+'Chi phí'!$E$77*A196+'Giả định'!$B$15*('Chi phí'!$F$77+'Chi phí'!$G$77*B196+'Chi phí'!$H$77*A196))*(1+'Giả định'!$B$16)</f>
        <v>321524940</v>
      </c>
      <c r="E196" s="25" t="n">
        <f aca="false">A196/'Giả định'!$B$19*'Giả định'!$B$20+A196*'Giả định'!$B$23+'Giả định'!$B$24</f>
        <v>141243697.478992</v>
      </c>
      <c r="F196" s="25" t="n">
        <f aca="false">E196-D196</f>
        <v>-180281242.521008</v>
      </c>
      <c r="G196" s="25" t="n">
        <f aca="false">E196-C196</f>
        <v>-37336242.5210084</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178616680</v>
      </c>
      <c r="D197" s="25" t="n">
        <f aca="false">('Chi phí'!$C$77+'Chi phí'!$D$77*B197+'Chi phí'!$E$77*A197+'Giả định'!$B$15*('Chi phí'!$F$77+'Chi phí'!$G$77*B197+'Chi phí'!$H$77*A197))*(1+'Giả định'!$B$16)</f>
        <v>321561680</v>
      </c>
      <c r="E197" s="25" t="n">
        <f aca="false">A197/'Giả định'!$B$19*'Giả định'!$B$20+A197*'Giả định'!$B$23+'Giả định'!$B$24</f>
        <v>141983193.277311</v>
      </c>
      <c r="F197" s="25" t="n">
        <f aca="false">E197-D197</f>
        <v>-179578486.722689</v>
      </c>
      <c r="G197" s="25" t="n">
        <f aca="false">E197-C197</f>
        <v>-36633486.7226891</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178653420</v>
      </c>
      <c r="D198" s="25" t="n">
        <f aca="false">('Chi phí'!$C$77+'Chi phí'!$D$77*B198+'Chi phí'!$E$77*A198+'Giả định'!$B$15*('Chi phí'!$F$77+'Chi phí'!$G$77*B198+'Chi phí'!$H$77*A198))*(1+'Giả định'!$B$16)</f>
        <v>321598420</v>
      </c>
      <c r="E198" s="25" t="n">
        <f aca="false">A198/'Giả định'!$B$19*'Giả định'!$B$20+A198*'Giả định'!$B$23+'Giả định'!$B$24</f>
        <v>142722689.07563</v>
      </c>
      <c r="F198" s="25" t="n">
        <f aca="false">E198-D198</f>
        <v>-178875730.92437</v>
      </c>
      <c r="G198" s="25" t="n">
        <f aca="false">E198-C198</f>
        <v>-35930730.9243698</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178690160</v>
      </c>
      <c r="D199" s="25" t="n">
        <f aca="false">('Chi phí'!$C$77+'Chi phí'!$D$77*B199+'Chi phí'!$E$77*A199+'Giả định'!$B$15*('Chi phí'!$F$77+'Chi phí'!$G$77*B199+'Chi phí'!$H$77*A199))*(1+'Giả định'!$B$16)</f>
        <v>321635160</v>
      </c>
      <c r="E199" s="25" t="n">
        <f aca="false">A199/'Giả định'!$B$19*'Giả định'!$B$20+A199*'Giả định'!$B$23+'Giả định'!$B$24</f>
        <v>143462184.87395</v>
      </c>
      <c r="F199" s="25" t="n">
        <f aca="false">E199-D199</f>
        <v>-178172975.12605</v>
      </c>
      <c r="G199" s="25" t="n">
        <f aca="false">E199-C199</f>
        <v>-35227975.1260504</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178726900</v>
      </c>
      <c r="D200" s="25" t="n">
        <f aca="false">('Chi phí'!$C$77+'Chi phí'!$D$77*B200+'Chi phí'!$E$77*A200+'Giả định'!$B$15*('Chi phí'!$F$77+'Chi phí'!$G$77*B200+'Chi phí'!$H$77*A200))*(1+'Giả định'!$B$16)</f>
        <v>321671900</v>
      </c>
      <c r="E200" s="25" t="n">
        <f aca="false">A200/'Giả định'!$B$19*'Giả định'!$B$20+A200*'Giả định'!$B$23+'Giả định'!$B$24</f>
        <v>144201680.672269</v>
      </c>
      <c r="F200" s="25" t="n">
        <f aca="false">E200-D200</f>
        <v>-177470219.327731</v>
      </c>
      <c r="G200" s="25" t="n">
        <f aca="false">E200-C200</f>
        <v>-34525219.3277311</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178763640</v>
      </c>
      <c r="D201" s="25" t="n">
        <f aca="false">('Chi phí'!$C$77+'Chi phí'!$D$77*B201+'Chi phí'!$E$77*A201+'Giả định'!$B$15*('Chi phí'!$F$77+'Chi phí'!$G$77*B201+'Chi phí'!$H$77*A201))*(1+'Giả định'!$B$16)</f>
        <v>321708640</v>
      </c>
      <c r="E201" s="25" t="n">
        <f aca="false">A201/'Giả định'!$B$19*'Giả định'!$B$20+A201*'Giả định'!$B$23+'Giả định'!$B$24</f>
        <v>144941176.470588</v>
      </c>
      <c r="F201" s="25" t="n">
        <f aca="false">E201-D201</f>
        <v>-176767463.529412</v>
      </c>
      <c r="G201" s="25" t="n">
        <f aca="false">E201-C201</f>
        <v>-33822463.5294118</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178800380</v>
      </c>
      <c r="D202" s="25" t="n">
        <f aca="false">('Chi phí'!$C$77+'Chi phí'!$D$77*B202+'Chi phí'!$E$77*A202+'Giả định'!$B$15*('Chi phí'!$F$77+'Chi phí'!$G$77*B202+'Chi phí'!$H$77*A202))*(1+'Giả định'!$B$16)</f>
        <v>321745380</v>
      </c>
      <c r="E202" s="25" t="n">
        <f aca="false">A202/'Giả định'!$B$19*'Giả định'!$B$20+A202*'Giả định'!$B$23+'Giả định'!$B$24</f>
        <v>145680672.268908</v>
      </c>
      <c r="F202" s="25" t="n">
        <f aca="false">E202-D202</f>
        <v>-176064707.731092</v>
      </c>
      <c r="G202" s="25" t="n">
        <f aca="false">E202-C202</f>
        <v>-33119707.7310924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178837120</v>
      </c>
      <c r="D203" s="25" t="n">
        <f aca="false">('Chi phí'!$C$77+'Chi phí'!$D$77*B203+'Chi phí'!$E$77*A203+'Giả định'!$B$15*('Chi phí'!$F$77+'Chi phí'!$G$77*B203+'Chi phí'!$H$77*A203))*(1+'Giả định'!$B$16)</f>
        <v>321782120</v>
      </c>
      <c r="E203" s="25" t="n">
        <f aca="false">A203/'Giả định'!$B$19*'Giả định'!$B$20+A203*'Giả định'!$B$23+'Giả định'!$B$24</f>
        <v>146420168.067227</v>
      </c>
      <c r="F203" s="25" t="n">
        <f aca="false">E203-D203</f>
        <v>-175361951.932773</v>
      </c>
      <c r="G203" s="25" t="n">
        <f aca="false">E203-C203</f>
        <v>-32416951.9327731</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178873860</v>
      </c>
      <c r="D204" s="25" t="n">
        <f aca="false">('Chi phí'!$C$77+'Chi phí'!$D$77*B204+'Chi phí'!$E$77*A204+'Giả định'!$B$15*('Chi phí'!$F$77+'Chi phí'!$G$77*B204+'Chi phí'!$H$77*A204))*(1+'Giả định'!$B$16)</f>
        <v>321818860</v>
      </c>
      <c r="E204" s="25" t="n">
        <f aca="false">A204/'Giả định'!$B$19*'Giả định'!$B$20+A204*'Giả định'!$B$23+'Giả định'!$B$24</f>
        <v>147159663.865546</v>
      </c>
      <c r="F204" s="25" t="n">
        <f aca="false">E204-D204</f>
        <v>-174659196.134454</v>
      </c>
      <c r="G204" s="25" t="n">
        <f aca="false">E204-C204</f>
        <v>-31714196.1344538</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178910600</v>
      </c>
      <c r="D205" s="25" t="n">
        <f aca="false">('Chi phí'!$C$77+'Chi phí'!$D$77*B205+'Chi phí'!$E$77*A205+'Giả định'!$B$15*('Chi phí'!$F$77+'Chi phí'!$G$77*B205+'Chi phí'!$H$77*A205))*(1+'Giả định'!$B$16)</f>
        <v>321855600</v>
      </c>
      <c r="E205" s="25" t="n">
        <f aca="false">A205/'Giả định'!$B$19*'Giả định'!$B$20+A205*'Giả định'!$B$23+'Giả định'!$B$24</f>
        <v>147899159.663866</v>
      </c>
      <c r="F205" s="25" t="n">
        <f aca="false">E205-D205</f>
        <v>-173956440.336134</v>
      </c>
      <c r="G205" s="25" t="n">
        <f aca="false">E205-C205</f>
        <v>-31011440.3361344</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184332940</v>
      </c>
      <c r="D206" s="25" t="n">
        <f aca="false">('Chi phí'!$C$77+'Chi phí'!$D$77*B206+'Chi phí'!$E$77*A206+'Giả định'!$B$15*('Chi phí'!$F$77+'Chi phí'!$G$77*B206+'Chi phí'!$H$77*A206))*(1+'Giả định'!$B$16)</f>
        <v>327277940</v>
      </c>
      <c r="E206" s="25" t="n">
        <f aca="false">A206/'Giả định'!$B$19*'Giả định'!$B$20+A206*'Giả định'!$B$23+'Giả định'!$B$24</f>
        <v>148638655.462185</v>
      </c>
      <c r="F206" s="25" t="n">
        <f aca="false">E206-D206</f>
        <v>-178639284.537815</v>
      </c>
      <c r="G206" s="25" t="n">
        <f aca="false">E206-C206</f>
        <v>-35694284.5378151</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184369680</v>
      </c>
      <c r="D207" s="25" t="n">
        <f aca="false">('Chi phí'!$C$77+'Chi phí'!$D$77*B207+'Chi phí'!$E$77*A207+'Giả định'!$B$15*('Chi phí'!$F$77+'Chi phí'!$G$77*B207+'Chi phí'!$H$77*A207))*(1+'Giả định'!$B$16)</f>
        <v>327314680</v>
      </c>
      <c r="E207" s="25" t="n">
        <f aca="false">A207/'Giả định'!$B$19*'Giả định'!$B$20+A207*'Giả định'!$B$23+'Giả định'!$B$24</f>
        <v>149378151.260504</v>
      </c>
      <c r="F207" s="25" t="n">
        <f aca="false">E207-D207</f>
        <v>-177936528.739496</v>
      </c>
      <c r="G207" s="25" t="n">
        <f aca="false">E207-C207</f>
        <v>-34991528.7394958</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184406420</v>
      </c>
      <c r="D208" s="25" t="n">
        <f aca="false">('Chi phí'!$C$77+'Chi phí'!$D$77*B208+'Chi phí'!$E$77*A208+'Giả định'!$B$15*('Chi phí'!$F$77+'Chi phí'!$G$77*B208+'Chi phí'!$H$77*A208))*(1+'Giả định'!$B$16)</f>
        <v>327351420</v>
      </c>
      <c r="E208" s="25" t="n">
        <f aca="false">A208/'Giả định'!$B$19*'Giả định'!$B$20+A208*'Giả định'!$B$23+'Giả định'!$B$24</f>
        <v>150117647.058824</v>
      </c>
      <c r="F208" s="25" t="n">
        <f aca="false">E208-D208</f>
        <v>-177233772.941176</v>
      </c>
      <c r="G208" s="25" t="n">
        <f aca="false">E208-C208</f>
        <v>-34288772.9411765</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184443160</v>
      </c>
      <c r="D209" s="25" t="n">
        <f aca="false">('Chi phí'!$C$77+'Chi phí'!$D$77*B209+'Chi phí'!$E$77*A209+'Giả định'!$B$15*('Chi phí'!$F$77+'Chi phí'!$G$77*B209+'Chi phí'!$H$77*A209))*(1+'Giả định'!$B$16)</f>
        <v>327388160</v>
      </c>
      <c r="E209" s="25" t="n">
        <f aca="false">A209/'Giả định'!$B$19*'Giả định'!$B$20+A209*'Giả định'!$B$23+'Giả định'!$B$24</f>
        <v>150857142.857143</v>
      </c>
      <c r="F209" s="25" t="n">
        <f aca="false">E209-D209</f>
        <v>-176531017.142857</v>
      </c>
      <c r="G209" s="25" t="n">
        <f aca="false">E209-C209</f>
        <v>-33586017.1428571</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184479900</v>
      </c>
      <c r="D210" s="25" t="n">
        <f aca="false">('Chi phí'!$C$77+'Chi phí'!$D$77*B210+'Chi phí'!$E$77*A210+'Giả định'!$B$15*('Chi phí'!$F$77+'Chi phí'!$G$77*B210+'Chi phí'!$H$77*A210))*(1+'Giả định'!$B$16)</f>
        <v>327424900</v>
      </c>
      <c r="E210" s="25" t="n">
        <f aca="false">A210/'Giả định'!$B$19*'Giả định'!$B$20+A210*'Giả định'!$B$23+'Giả định'!$B$24</f>
        <v>151596638.655462</v>
      </c>
      <c r="F210" s="25" t="n">
        <f aca="false">E210-D210</f>
        <v>-175828261.344538</v>
      </c>
      <c r="G210" s="25" t="n">
        <f aca="false">E210-C210</f>
        <v>-32883261.3445378</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184516640</v>
      </c>
      <c r="D211" s="25" t="n">
        <f aca="false">('Chi phí'!$C$77+'Chi phí'!$D$77*B211+'Chi phí'!$E$77*A211+'Giả định'!$B$15*('Chi phí'!$F$77+'Chi phí'!$G$77*B211+'Chi phí'!$H$77*A211))*(1+'Giả định'!$B$16)</f>
        <v>327461640</v>
      </c>
      <c r="E211" s="25" t="n">
        <f aca="false">A211/'Giả định'!$B$19*'Giả định'!$B$20+A211*'Giả định'!$B$23+'Giả định'!$B$24</f>
        <v>152336134.453782</v>
      </c>
      <c r="F211" s="25" t="n">
        <f aca="false">E211-D211</f>
        <v>-175125505.546218</v>
      </c>
      <c r="G211" s="25" t="n">
        <f aca="false">E211-C211</f>
        <v>-32180505.5462185</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184553380</v>
      </c>
      <c r="D212" s="25" t="n">
        <f aca="false">('Chi phí'!$C$77+'Chi phí'!$D$77*B212+'Chi phí'!$E$77*A212+'Giả định'!$B$15*('Chi phí'!$F$77+'Chi phí'!$G$77*B212+'Chi phí'!$H$77*A212))*(1+'Giả định'!$B$16)</f>
        <v>327498380</v>
      </c>
      <c r="E212" s="25" t="n">
        <f aca="false">A212/'Giả định'!$B$19*'Giả định'!$B$20+A212*'Giả định'!$B$23+'Giả định'!$B$24</f>
        <v>153075630.252101</v>
      </c>
      <c r="F212" s="25" t="n">
        <f aca="false">E212-D212</f>
        <v>-174422749.747899</v>
      </c>
      <c r="G212" s="25" t="n">
        <f aca="false">E212-C212</f>
        <v>-31477749.7478992</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184590120</v>
      </c>
      <c r="D213" s="25" t="n">
        <f aca="false">('Chi phí'!$C$77+'Chi phí'!$D$77*B213+'Chi phí'!$E$77*A213+'Giả định'!$B$15*('Chi phí'!$F$77+'Chi phí'!$G$77*B213+'Chi phí'!$H$77*A213))*(1+'Giả định'!$B$16)</f>
        <v>327535120</v>
      </c>
      <c r="E213" s="25" t="n">
        <f aca="false">A213/'Giả định'!$B$19*'Giả định'!$B$20+A213*'Giả định'!$B$23+'Giả định'!$B$24</f>
        <v>153815126.05042</v>
      </c>
      <c r="F213" s="25" t="n">
        <f aca="false">E213-D213</f>
        <v>-173719993.94958</v>
      </c>
      <c r="G213" s="25" t="n">
        <f aca="false">E213-C213</f>
        <v>-30774993.9495798</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184626860</v>
      </c>
      <c r="D214" s="25" t="n">
        <f aca="false">('Chi phí'!$C$77+'Chi phí'!$D$77*B214+'Chi phí'!$E$77*A214+'Giả định'!$B$15*('Chi phí'!$F$77+'Chi phí'!$G$77*B214+'Chi phí'!$H$77*A214))*(1+'Giả định'!$B$16)</f>
        <v>327571860</v>
      </c>
      <c r="E214" s="25" t="n">
        <f aca="false">A214/'Giả định'!$B$19*'Giả định'!$B$20+A214*'Giả định'!$B$23+'Giả định'!$B$24</f>
        <v>154554621.84874</v>
      </c>
      <c r="F214" s="25" t="n">
        <f aca="false">E214-D214</f>
        <v>-173017238.151261</v>
      </c>
      <c r="G214" s="25" t="n">
        <f aca="false">E214-C214</f>
        <v>-30072238.1512605</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184663600</v>
      </c>
      <c r="D215" s="25" t="n">
        <f aca="false">('Chi phí'!$C$77+'Chi phí'!$D$77*B215+'Chi phí'!$E$77*A215+'Giả định'!$B$15*('Chi phí'!$F$77+'Chi phí'!$G$77*B215+'Chi phí'!$H$77*A215))*(1+'Giả định'!$B$16)</f>
        <v>327608600</v>
      </c>
      <c r="E215" s="25" t="n">
        <f aca="false">A215/'Giả định'!$B$19*'Giả định'!$B$20+A215*'Giả định'!$B$23+'Giả định'!$B$24</f>
        <v>155294117.647059</v>
      </c>
      <c r="F215" s="25" t="n">
        <f aca="false">E215-D215</f>
        <v>-172314482.352941</v>
      </c>
      <c r="G215" s="25" t="n">
        <f aca="false">E215-C215</f>
        <v>-29369482.3529412</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190085940</v>
      </c>
      <c r="D216" s="25" t="n">
        <f aca="false">('Chi phí'!$C$77+'Chi phí'!$D$77*B216+'Chi phí'!$E$77*A216+'Giả định'!$B$15*('Chi phí'!$F$77+'Chi phí'!$G$77*B216+'Chi phí'!$H$77*A216))*(1+'Giả định'!$B$16)</f>
        <v>333030940</v>
      </c>
      <c r="E216" s="25" t="n">
        <f aca="false">A216/'Giả định'!$B$19*'Giả định'!$B$20+A216*'Giả định'!$B$23+'Giả định'!$B$24</f>
        <v>156033613.445378</v>
      </c>
      <c r="F216" s="25" t="n">
        <f aca="false">E216-D216</f>
        <v>-176997326.554622</v>
      </c>
      <c r="G216" s="25" t="n">
        <f aca="false">E216-C216</f>
        <v>-34052326.5546218</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190122680</v>
      </c>
      <c r="D217" s="25" t="n">
        <f aca="false">('Chi phí'!$C$77+'Chi phí'!$D$77*B217+'Chi phí'!$E$77*A217+'Giả định'!$B$15*('Chi phí'!$F$77+'Chi phí'!$G$77*B217+'Chi phí'!$H$77*A217))*(1+'Giả định'!$B$16)</f>
        <v>333067680</v>
      </c>
      <c r="E217" s="25" t="n">
        <f aca="false">A217/'Giả định'!$B$19*'Giả định'!$B$20+A217*'Giả định'!$B$23+'Giả định'!$B$24</f>
        <v>156773109.243698</v>
      </c>
      <c r="F217" s="25" t="n">
        <f aca="false">E217-D217</f>
        <v>-176294570.756303</v>
      </c>
      <c r="G217" s="25" t="n">
        <f aca="false">E217-C217</f>
        <v>-33349570.7563025</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190159420</v>
      </c>
      <c r="D218" s="25" t="n">
        <f aca="false">('Chi phí'!$C$77+'Chi phí'!$D$77*B218+'Chi phí'!$E$77*A218+'Giả định'!$B$15*('Chi phí'!$F$77+'Chi phí'!$G$77*B218+'Chi phí'!$H$77*A218))*(1+'Giả định'!$B$16)</f>
        <v>333104420</v>
      </c>
      <c r="E218" s="25" t="n">
        <f aca="false">A218/'Giả định'!$B$19*'Giả định'!$B$20+A218*'Giả định'!$B$23+'Giả định'!$B$24</f>
        <v>157512605.042017</v>
      </c>
      <c r="F218" s="25" t="n">
        <f aca="false">E218-D218</f>
        <v>-175591814.957983</v>
      </c>
      <c r="G218" s="25" t="n">
        <f aca="false">E218-C218</f>
        <v>-32646814.9579832</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190196160</v>
      </c>
      <c r="D219" s="25" t="n">
        <f aca="false">('Chi phí'!$C$77+'Chi phí'!$D$77*B219+'Chi phí'!$E$77*A219+'Giả định'!$B$15*('Chi phí'!$F$77+'Chi phí'!$G$77*B219+'Chi phí'!$H$77*A219))*(1+'Giả định'!$B$16)</f>
        <v>333141160</v>
      </c>
      <c r="E219" s="25" t="n">
        <f aca="false">A219/'Giả định'!$B$19*'Giả định'!$B$20+A219*'Giả định'!$B$23+'Giả định'!$B$24</f>
        <v>158252100.840336</v>
      </c>
      <c r="F219" s="25" t="n">
        <f aca="false">E219-D219</f>
        <v>-174889059.159664</v>
      </c>
      <c r="G219" s="25" t="n">
        <f aca="false">E219-C219</f>
        <v>-31944059.1596639</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190232900</v>
      </c>
      <c r="D220" s="25" t="n">
        <f aca="false">('Chi phí'!$C$77+'Chi phí'!$D$77*B220+'Chi phí'!$E$77*A220+'Giả định'!$B$15*('Chi phí'!$F$77+'Chi phí'!$G$77*B220+'Chi phí'!$H$77*A220))*(1+'Giả định'!$B$16)</f>
        <v>333177900</v>
      </c>
      <c r="E220" s="25" t="n">
        <f aca="false">A220/'Giả định'!$B$19*'Giả định'!$B$20+A220*'Giả định'!$B$23+'Giả định'!$B$24</f>
        <v>158991596.638655</v>
      </c>
      <c r="F220" s="25" t="n">
        <f aca="false">E220-D220</f>
        <v>-174186303.361345</v>
      </c>
      <c r="G220" s="25" t="n">
        <f aca="false">E220-C220</f>
        <v>-31241303.3613445</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190269640</v>
      </c>
      <c r="D221" s="25" t="n">
        <f aca="false">('Chi phí'!$C$77+'Chi phí'!$D$77*B221+'Chi phí'!$E$77*A221+'Giả định'!$B$15*('Chi phí'!$F$77+'Chi phí'!$G$77*B221+'Chi phí'!$H$77*A221))*(1+'Giả định'!$B$16)</f>
        <v>333214640</v>
      </c>
      <c r="E221" s="25" t="n">
        <f aca="false">A221/'Giả định'!$B$19*'Giả định'!$B$20+A221*'Giả định'!$B$23+'Giả định'!$B$24</f>
        <v>159731092.436975</v>
      </c>
      <c r="F221" s="25" t="n">
        <f aca="false">E221-D221</f>
        <v>-173483547.563025</v>
      </c>
      <c r="G221" s="25" t="n">
        <f aca="false">E221-C221</f>
        <v>-30538547.5630252</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190306380</v>
      </c>
      <c r="D222" s="25" t="n">
        <f aca="false">('Chi phí'!$C$77+'Chi phí'!$D$77*B222+'Chi phí'!$E$77*A222+'Giả định'!$B$15*('Chi phí'!$F$77+'Chi phí'!$G$77*B222+'Chi phí'!$H$77*A222))*(1+'Giả định'!$B$16)</f>
        <v>333251380</v>
      </c>
      <c r="E222" s="25" t="n">
        <f aca="false">A222/'Giả định'!$B$19*'Giả định'!$B$20+A222*'Giả định'!$B$23+'Giả định'!$B$24</f>
        <v>160470588.235294</v>
      </c>
      <c r="F222" s="25" t="n">
        <f aca="false">E222-D222</f>
        <v>-172780791.764706</v>
      </c>
      <c r="G222" s="25" t="n">
        <f aca="false">E222-C222</f>
        <v>-29835791.7647059</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190343120</v>
      </c>
      <c r="D223" s="25" t="n">
        <f aca="false">('Chi phí'!$C$77+'Chi phí'!$D$77*B223+'Chi phí'!$E$77*A223+'Giả định'!$B$15*('Chi phí'!$F$77+'Chi phí'!$G$77*B223+'Chi phí'!$H$77*A223))*(1+'Giả định'!$B$16)</f>
        <v>333288120</v>
      </c>
      <c r="E223" s="25" t="n">
        <f aca="false">A223/'Giả định'!$B$19*'Giả định'!$B$20+A223*'Giả định'!$B$23+'Giả định'!$B$24</f>
        <v>161210084.033613</v>
      </c>
      <c r="F223" s="25" t="n">
        <f aca="false">E223-D223</f>
        <v>-172078035.966387</v>
      </c>
      <c r="G223" s="25" t="n">
        <f aca="false">E223-C223</f>
        <v>-29133035.9663866</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190379860</v>
      </c>
      <c r="D224" s="25" t="n">
        <f aca="false">('Chi phí'!$C$77+'Chi phí'!$D$77*B224+'Chi phí'!$E$77*A224+'Giả định'!$B$15*('Chi phí'!$F$77+'Chi phí'!$G$77*B224+'Chi phí'!$H$77*A224))*(1+'Giả định'!$B$16)</f>
        <v>333324860</v>
      </c>
      <c r="E224" s="25" t="n">
        <f aca="false">A224/'Giả định'!$B$19*'Giả định'!$B$20+A224*'Giả định'!$B$23+'Giả định'!$B$24</f>
        <v>161949579.831933</v>
      </c>
      <c r="F224" s="25" t="n">
        <f aca="false">E224-D224</f>
        <v>-171375280.168067</v>
      </c>
      <c r="G224" s="25" t="n">
        <f aca="false">E224-C224</f>
        <v>-28430280.1680672</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190416600</v>
      </c>
      <c r="D225" s="25" t="n">
        <f aca="false">('Chi phí'!$C$77+'Chi phí'!$D$77*B225+'Chi phí'!$E$77*A225+'Giả định'!$B$15*('Chi phí'!$F$77+'Chi phí'!$G$77*B225+'Chi phí'!$H$77*A225))*(1+'Giả định'!$B$16)</f>
        <v>333361600</v>
      </c>
      <c r="E225" s="25" t="n">
        <f aca="false">A225/'Giả định'!$B$19*'Giả định'!$B$20+A225*'Giả định'!$B$23+'Giả định'!$B$24</f>
        <v>162689075.630252</v>
      </c>
      <c r="F225" s="25" t="n">
        <f aca="false">E225-D225</f>
        <v>-170672524.369748</v>
      </c>
      <c r="G225" s="25" t="n">
        <f aca="false">E225-C225</f>
        <v>-27727524.3697479</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195838940</v>
      </c>
      <c r="D226" s="25" t="n">
        <f aca="false">('Chi phí'!$C$77+'Chi phí'!$D$77*B226+'Chi phí'!$E$77*A226+'Giả định'!$B$15*('Chi phí'!$F$77+'Chi phí'!$G$77*B226+'Chi phí'!$H$77*A226))*(1+'Giả định'!$B$16)</f>
        <v>338783940</v>
      </c>
      <c r="E226" s="25" t="n">
        <f aca="false">A226/'Giả định'!$B$19*'Giả định'!$B$20+A226*'Giả định'!$B$23+'Giả định'!$B$24</f>
        <v>163428571.428571</v>
      </c>
      <c r="F226" s="25" t="n">
        <f aca="false">E226-D226</f>
        <v>-175355368.571429</v>
      </c>
      <c r="G226" s="25" t="n">
        <f aca="false">E226-C226</f>
        <v>-32410368.5714286</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195875680</v>
      </c>
      <c r="D227" s="25" t="n">
        <f aca="false">('Chi phí'!$C$77+'Chi phí'!$D$77*B227+'Chi phí'!$E$77*A227+'Giả định'!$B$15*('Chi phí'!$F$77+'Chi phí'!$G$77*B227+'Chi phí'!$H$77*A227))*(1+'Giả định'!$B$16)</f>
        <v>338820680</v>
      </c>
      <c r="E227" s="25" t="n">
        <f aca="false">A227/'Giả định'!$B$19*'Giả định'!$B$20+A227*'Giả định'!$B$23+'Giả định'!$B$24</f>
        <v>164168067.226891</v>
      </c>
      <c r="F227" s="25" t="n">
        <f aca="false">E227-D227</f>
        <v>-174652612.773109</v>
      </c>
      <c r="G227" s="25" t="n">
        <f aca="false">E227-C227</f>
        <v>-31707612.7731093</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195912420</v>
      </c>
      <c r="D228" s="25" t="n">
        <f aca="false">('Chi phí'!$C$77+'Chi phí'!$D$77*B228+'Chi phí'!$E$77*A228+'Giả định'!$B$15*('Chi phí'!$F$77+'Chi phí'!$G$77*B228+'Chi phí'!$H$77*A228))*(1+'Giả định'!$B$16)</f>
        <v>338857420</v>
      </c>
      <c r="E228" s="25" t="n">
        <f aca="false">A228/'Giả định'!$B$19*'Giả định'!$B$20+A228*'Giả định'!$B$23+'Giả định'!$B$24</f>
        <v>164907563.02521</v>
      </c>
      <c r="F228" s="25" t="n">
        <f aca="false">E228-D228</f>
        <v>-173949856.97479</v>
      </c>
      <c r="G228" s="25" t="n">
        <f aca="false">E228-C228</f>
        <v>-31004856.9747899</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195949160</v>
      </c>
      <c r="D229" s="25" t="n">
        <f aca="false">('Chi phí'!$C$77+'Chi phí'!$D$77*B229+'Chi phí'!$E$77*A229+'Giả định'!$B$15*('Chi phí'!$F$77+'Chi phí'!$G$77*B229+'Chi phí'!$H$77*A229))*(1+'Giả định'!$B$16)</f>
        <v>338894160</v>
      </c>
      <c r="E229" s="25" t="n">
        <f aca="false">A229/'Giả định'!$B$19*'Giả định'!$B$20+A229*'Giả định'!$B$23+'Giả định'!$B$24</f>
        <v>165647058.823529</v>
      </c>
      <c r="F229" s="25" t="n">
        <f aca="false">E229-D229</f>
        <v>-173247101.176471</v>
      </c>
      <c r="G229" s="25" t="n">
        <f aca="false">E229-C229</f>
        <v>-30302101.1764706</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195985900</v>
      </c>
      <c r="D230" s="25" t="n">
        <f aca="false">('Chi phí'!$C$77+'Chi phí'!$D$77*B230+'Chi phí'!$E$77*A230+'Giả định'!$B$15*('Chi phí'!$F$77+'Chi phí'!$G$77*B230+'Chi phí'!$H$77*A230))*(1+'Giả định'!$B$16)</f>
        <v>338930900</v>
      </c>
      <c r="E230" s="25" t="n">
        <f aca="false">A230/'Giả định'!$B$19*'Giả định'!$B$20+A230*'Giả định'!$B$23+'Giả định'!$B$24</f>
        <v>166386554.621849</v>
      </c>
      <c r="F230" s="25" t="n">
        <f aca="false">E230-D230</f>
        <v>-172544345.378151</v>
      </c>
      <c r="G230" s="25" t="n">
        <f aca="false">E230-C230</f>
        <v>-29599345.3781513</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196022640</v>
      </c>
      <c r="D231" s="25" t="n">
        <f aca="false">('Chi phí'!$C$77+'Chi phí'!$D$77*B231+'Chi phí'!$E$77*A231+'Giả định'!$B$15*('Chi phí'!$F$77+'Chi phí'!$G$77*B231+'Chi phí'!$H$77*A231))*(1+'Giả định'!$B$16)</f>
        <v>338967640</v>
      </c>
      <c r="E231" s="25" t="n">
        <f aca="false">A231/'Giả định'!$B$19*'Giả định'!$B$20+A231*'Giả định'!$B$23+'Giả định'!$B$24</f>
        <v>167126050.420168</v>
      </c>
      <c r="F231" s="25" t="n">
        <f aca="false">E231-D231</f>
        <v>-171841589.579832</v>
      </c>
      <c r="G231" s="25" t="n">
        <f aca="false">E231-C231</f>
        <v>-28896589.579832</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196059380</v>
      </c>
      <c r="D232" s="25" t="n">
        <f aca="false">('Chi phí'!$C$77+'Chi phí'!$D$77*B232+'Chi phí'!$E$77*A232+'Giả định'!$B$15*('Chi phí'!$F$77+'Chi phí'!$G$77*B232+'Chi phí'!$H$77*A232))*(1+'Giả định'!$B$16)</f>
        <v>339004380</v>
      </c>
      <c r="E232" s="25" t="n">
        <f aca="false">A232/'Giả định'!$B$19*'Giả định'!$B$20+A232*'Giả định'!$B$23+'Giả định'!$B$24</f>
        <v>167865546.218487</v>
      </c>
      <c r="F232" s="25" t="n">
        <f aca="false">E232-D232</f>
        <v>-171138833.781513</v>
      </c>
      <c r="G232" s="25" t="n">
        <f aca="false">E232-C232</f>
        <v>-28193833.7815126</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196096120</v>
      </c>
      <c r="D233" s="25" t="n">
        <f aca="false">('Chi phí'!$C$77+'Chi phí'!$D$77*B233+'Chi phí'!$E$77*A233+'Giả định'!$B$15*('Chi phí'!$F$77+'Chi phí'!$G$77*B233+'Chi phí'!$H$77*A233))*(1+'Giả định'!$B$16)</f>
        <v>339041120</v>
      </c>
      <c r="E233" s="25" t="n">
        <f aca="false">A233/'Giả định'!$B$19*'Giả định'!$B$20+A233*'Giả định'!$B$23+'Giả định'!$B$24</f>
        <v>168605042.016807</v>
      </c>
      <c r="F233" s="25" t="n">
        <f aca="false">E233-D233</f>
        <v>-170436077.983193</v>
      </c>
      <c r="G233" s="25" t="n">
        <f aca="false">E233-C233</f>
        <v>-27491077.9831933</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196132860</v>
      </c>
      <c r="D234" s="25" t="n">
        <f aca="false">('Chi phí'!$C$77+'Chi phí'!$D$77*B234+'Chi phí'!$E$77*A234+'Giả định'!$B$15*('Chi phí'!$F$77+'Chi phí'!$G$77*B234+'Chi phí'!$H$77*A234))*(1+'Giả định'!$B$16)</f>
        <v>339077860</v>
      </c>
      <c r="E234" s="25" t="n">
        <f aca="false">A234/'Giả định'!$B$19*'Giả định'!$B$20+A234*'Giả định'!$B$23+'Giả định'!$B$24</f>
        <v>169344537.815126</v>
      </c>
      <c r="F234" s="25" t="n">
        <f aca="false">E234-D234</f>
        <v>-169733322.184874</v>
      </c>
      <c r="G234" s="25" t="n">
        <f aca="false">E234-C234</f>
        <v>-26788322.1848739</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196169600</v>
      </c>
      <c r="D235" s="25" t="n">
        <f aca="false">('Chi phí'!$C$77+'Chi phí'!$D$77*B235+'Chi phí'!$E$77*A235+'Giả định'!$B$15*('Chi phí'!$F$77+'Chi phí'!$G$77*B235+'Chi phí'!$H$77*A235))*(1+'Giả định'!$B$16)</f>
        <v>339114600</v>
      </c>
      <c r="E235" s="25" t="n">
        <f aca="false">A235/'Giả định'!$B$19*'Giả định'!$B$20+A235*'Giả định'!$B$23+'Giả định'!$B$24</f>
        <v>170084033.613445</v>
      </c>
      <c r="F235" s="25" t="n">
        <f aca="false">E235-D235</f>
        <v>-169030566.386555</v>
      </c>
      <c r="G235" s="25" t="n">
        <f aca="false">E235-C235</f>
        <v>-26085566.3865546</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201591940</v>
      </c>
      <c r="D236" s="25" t="n">
        <f aca="false">('Chi phí'!$C$77+'Chi phí'!$D$77*B236+'Chi phí'!$E$77*A236+'Giả định'!$B$15*('Chi phí'!$F$77+'Chi phí'!$G$77*B236+'Chi phí'!$H$77*A236))*(1+'Giả định'!$B$16)</f>
        <v>344536940</v>
      </c>
      <c r="E236" s="25" t="n">
        <f aca="false">A236/'Giả định'!$B$19*'Giả định'!$B$20+A236*'Giả định'!$B$23+'Giả định'!$B$24</f>
        <v>170823529.411765</v>
      </c>
      <c r="F236" s="25" t="n">
        <f aca="false">E236-D236</f>
        <v>-173713410.588235</v>
      </c>
      <c r="G236" s="25" t="n">
        <f aca="false">E236-C236</f>
        <v>-30768410.5882353</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201628680</v>
      </c>
      <c r="D237" s="25" t="n">
        <f aca="false">('Chi phí'!$C$77+'Chi phí'!$D$77*B237+'Chi phí'!$E$77*A237+'Giả định'!$B$15*('Chi phí'!$F$77+'Chi phí'!$G$77*B237+'Chi phí'!$H$77*A237))*(1+'Giả định'!$B$16)</f>
        <v>344573680</v>
      </c>
      <c r="E237" s="25" t="n">
        <f aca="false">A237/'Giả định'!$B$19*'Giả định'!$B$20+A237*'Giả định'!$B$23+'Giả định'!$B$24</f>
        <v>171563025.210084</v>
      </c>
      <c r="F237" s="25" t="n">
        <f aca="false">E237-D237</f>
        <v>-173010654.789916</v>
      </c>
      <c r="G237" s="25" t="n">
        <f aca="false">E237-C237</f>
        <v>-30065654.789916</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201665420</v>
      </c>
      <c r="D238" s="25" t="n">
        <f aca="false">('Chi phí'!$C$77+'Chi phí'!$D$77*B238+'Chi phí'!$E$77*A238+'Giả định'!$B$15*('Chi phí'!$F$77+'Chi phí'!$G$77*B238+'Chi phí'!$H$77*A238))*(1+'Giả định'!$B$16)</f>
        <v>344610420</v>
      </c>
      <c r="E238" s="25" t="n">
        <f aca="false">A238/'Giả định'!$B$19*'Giả định'!$B$20+A238*'Giả định'!$B$23+'Giả định'!$B$24</f>
        <v>172302521.008403</v>
      </c>
      <c r="F238" s="25" t="n">
        <f aca="false">E238-D238</f>
        <v>-172307898.991597</v>
      </c>
      <c r="G238" s="25" t="n">
        <f aca="false">E238-C238</f>
        <v>-29362898.9915967</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201702160</v>
      </c>
      <c r="D239" s="25" t="n">
        <f aca="false">('Chi phí'!$C$77+'Chi phí'!$D$77*B239+'Chi phí'!$E$77*A239+'Giả định'!$B$15*('Chi phí'!$F$77+'Chi phí'!$G$77*B239+'Chi phí'!$H$77*A239))*(1+'Giả định'!$B$16)</f>
        <v>344647160</v>
      </c>
      <c r="E239" s="25" t="n">
        <f aca="false">A239/'Giả định'!$B$19*'Giả định'!$B$20+A239*'Giả định'!$B$23+'Giả định'!$B$24</f>
        <v>173042016.806723</v>
      </c>
      <c r="F239" s="25" t="n">
        <f aca="false">E239-D239</f>
        <v>-171605143.193277</v>
      </c>
      <c r="G239" s="25" t="n">
        <f aca="false">E239-C239</f>
        <v>-28660143.1932773</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201738900</v>
      </c>
      <c r="D240" s="25" t="n">
        <f aca="false">('Chi phí'!$C$77+'Chi phí'!$D$77*B240+'Chi phí'!$E$77*A240+'Giả định'!$B$15*('Chi phí'!$F$77+'Chi phí'!$G$77*B240+'Chi phí'!$H$77*A240))*(1+'Giả định'!$B$16)</f>
        <v>344683900</v>
      </c>
      <c r="E240" s="25" t="n">
        <f aca="false">A240/'Giả định'!$B$19*'Giả định'!$B$20+A240*'Giả định'!$B$23+'Giả định'!$B$24</f>
        <v>173781512.605042</v>
      </c>
      <c r="F240" s="25" t="n">
        <f aca="false">E240-D240</f>
        <v>-170902387.394958</v>
      </c>
      <c r="G240" s="25" t="n">
        <f aca="false">E240-C240</f>
        <v>-27957387.394958</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201775640</v>
      </c>
      <c r="D241" s="25" t="n">
        <f aca="false">('Chi phí'!$C$77+'Chi phí'!$D$77*B241+'Chi phí'!$E$77*A241+'Giả định'!$B$15*('Chi phí'!$F$77+'Chi phí'!$G$77*B241+'Chi phí'!$H$77*A241))*(1+'Giả định'!$B$16)</f>
        <v>344720640</v>
      </c>
      <c r="E241" s="25" t="n">
        <f aca="false">A241/'Giả định'!$B$19*'Giả định'!$B$20+A241*'Giả định'!$B$23+'Giả định'!$B$24</f>
        <v>174521008.403361</v>
      </c>
      <c r="F241" s="25" t="n">
        <f aca="false">E241-D241</f>
        <v>-170199631.596639</v>
      </c>
      <c r="G241" s="25" t="n">
        <f aca="false">E241-C241</f>
        <v>-27254631.5966387</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201812380</v>
      </c>
      <c r="D242" s="25" t="n">
        <f aca="false">('Chi phí'!$C$77+'Chi phí'!$D$77*B242+'Chi phí'!$E$77*A242+'Giả định'!$B$15*('Chi phí'!$F$77+'Chi phí'!$G$77*B242+'Chi phí'!$H$77*A242))*(1+'Giả định'!$B$16)</f>
        <v>344757380</v>
      </c>
      <c r="E242" s="25" t="n">
        <f aca="false">A242/'Giả định'!$B$19*'Giả định'!$B$20+A242*'Giả định'!$B$23+'Giả định'!$B$24</f>
        <v>175260504.201681</v>
      </c>
      <c r="F242" s="25" t="n">
        <f aca="false">E242-D242</f>
        <v>-169496875.798319</v>
      </c>
      <c r="G242" s="25" t="n">
        <f aca="false">E242-C242</f>
        <v>-26551875.7983193</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201849120</v>
      </c>
      <c r="D243" s="25" t="n">
        <f aca="false">('Chi phí'!$C$77+'Chi phí'!$D$77*B243+'Chi phí'!$E$77*A243+'Giả định'!$B$15*('Chi phí'!$F$77+'Chi phí'!$G$77*B243+'Chi phí'!$H$77*A243))*(1+'Giả định'!$B$16)</f>
        <v>344794120</v>
      </c>
      <c r="E243" s="25" t="n">
        <f aca="false">A243/'Giả định'!$B$19*'Giả định'!$B$20+A243*'Giả định'!$B$23+'Giả định'!$B$24</f>
        <v>176000000</v>
      </c>
      <c r="F243" s="25" t="n">
        <f aca="false">E243-D243</f>
        <v>-168794120</v>
      </c>
      <c r="G243" s="25" t="n">
        <f aca="false">E243-C243</f>
        <v>-25849120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201885860</v>
      </c>
      <c r="D244" s="25" t="n">
        <f aca="false">('Chi phí'!$C$77+'Chi phí'!$D$77*B244+'Chi phí'!$E$77*A244+'Giả định'!$B$15*('Chi phí'!$F$77+'Chi phí'!$G$77*B244+'Chi phí'!$H$77*A244))*(1+'Giả định'!$B$16)</f>
        <v>344830860</v>
      </c>
      <c r="E244" s="25" t="n">
        <f aca="false">A244/'Giả định'!$B$19*'Giả định'!$B$20+A244*'Giả định'!$B$23+'Giả định'!$B$24</f>
        <v>176739495.798319</v>
      </c>
      <c r="F244" s="25" t="n">
        <f aca="false">E244-D244</f>
        <v>-168091364.201681</v>
      </c>
      <c r="G244" s="25" t="n">
        <f aca="false">E244-C244</f>
        <v>-25146364.2016807</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201922600</v>
      </c>
      <c r="D245" s="25" t="n">
        <f aca="false">('Chi phí'!$C$77+'Chi phí'!$D$77*B245+'Chi phí'!$E$77*A245+'Giả định'!$B$15*('Chi phí'!$F$77+'Chi phí'!$G$77*B245+'Chi phí'!$H$77*A245))*(1+'Giả định'!$B$16)</f>
        <v>344867600</v>
      </c>
      <c r="E245" s="25" t="n">
        <f aca="false">A245/'Giả định'!$B$19*'Giả định'!$B$20+A245*'Giả định'!$B$23+'Giả định'!$B$24</f>
        <v>177478991.596639</v>
      </c>
      <c r="F245" s="25" t="n">
        <f aca="false">E245-D245</f>
        <v>-167388608.403361</v>
      </c>
      <c r="G245" s="25" t="n">
        <f aca="false">E245-C245</f>
        <v>-24443608.4033614</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207344940</v>
      </c>
      <c r="D246" s="25" t="n">
        <f aca="false">('Chi phí'!$C$77+'Chi phí'!$D$77*B246+'Chi phí'!$E$77*A246+'Giả định'!$B$15*('Chi phí'!$F$77+'Chi phí'!$G$77*B246+'Chi phí'!$H$77*A246))*(1+'Giả định'!$B$16)</f>
        <v>350289940</v>
      </c>
      <c r="E246" s="25" t="n">
        <f aca="false">A246/'Giả định'!$B$19*'Giả định'!$B$20+A246*'Giả định'!$B$23+'Giả định'!$B$24</f>
        <v>178218487.394958</v>
      </c>
      <c r="F246" s="25" t="n">
        <f aca="false">E246-D246</f>
        <v>-172071452.605042</v>
      </c>
      <c r="G246" s="25" t="n">
        <f aca="false">E246-C246</f>
        <v>-29126452.605042</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207381680</v>
      </c>
      <c r="D247" s="25" t="n">
        <f aca="false">('Chi phí'!$C$77+'Chi phí'!$D$77*B247+'Chi phí'!$E$77*A247+'Giả định'!$B$15*('Chi phí'!$F$77+'Chi phí'!$G$77*B247+'Chi phí'!$H$77*A247))*(1+'Giả định'!$B$16)</f>
        <v>350326680</v>
      </c>
      <c r="E247" s="25" t="n">
        <f aca="false">A247/'Giả định'!$B$19*'Giả định'!$B$20+A247*'Giả định'!$B$23+'Giả định'!$B$24</f>
        <v>178957983.193277</v>
      </c>
      <c r="F247" s="25" t="n">
        <f aca="false">E247-D247</f>
        <v>-171368696.806723</v>
      </c>
      <c r="G247" s="25" t="n">
        <f aca="false">E247-C247</f>
        <v>-28423696.8067227</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207418420</v>
      </c>
      <c r="D248" s="25" t="n">
        <f aca="false">('Chi phí'!$C$77+'Chi phí'!$D$77*B248+'Chi phí'!$E$77*A248+'Giả định'!$B$15*('Chi phí'!$F$77+'Chi phí'!$G$77*B248+'Chi phí'!$H$77*A248))*(1+'Giả định'!$B$16)</f>
        <v>350363420</v>
      </c>
      <c r="E248" s="25" t="n">
        <f aca="false">A248/'Giả định'!$B$19*'Giả định'!$B$20+A248*'Giả định'!$B$23+'Giả định'!$B$24</f>
        <v>179697478.991597</v>
      </c>
      <c r="F248" s="25" t="n">
        <f aca="false">E248-D248</f>
        <v>-170665941.008403</v>
      </c>
      <c r="G248" s="25" t="n">
        <f aca="false">E248-C248</f>
        <v>-27720941.0084034</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207455160</v>
      </c>
      <c r="D249" s="25" t="n">
        <f aca="false">('Chi phí'!$C$77+'Chi phí'!$D$77*B249+'Chi phí'!$E$77*A249+'Giả định'!$B$15*('Chi phí'!$F$77+'Chi phí'!$G$77*B249+'Chi phí'!$H$77*A249))*(1+'Giả định'!$B$16)</f>
        <v>350400160</v>
      </c>
      <c r="E249" s="25" t="n">
        <f aca="false">A249/'Giả định'!$B$19*'Giả định'!$B$20+A249*'Giả định'!$B$23+'Giả định'!$B$24</f>
        <v>180436974.789916</v>
      </c>
      <c r="F249" s="25" t="n">
        <f aca="false">E249-D249</f>
        <v>-169963185.210084</v>
      </c>
      <c r="G249" s="25" t="n">
        <f aca="false">E249-C249</f>
        <v>-27018185.2100841</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207491900</v>
      </c>
      <c r="D250" s="25" t="n">
        <f aca="false">('Chi phí'!$C$77+'Chi phí'!$D$77*B250+'Chi phí'!$E$77*A250+'Giả định'!$B$15*('Chi phí'!$F$77+'Chi phí'!$G$77*B250+'Chi phí'!$H$77*A250))*(1+'Giả định'!$B$16)</f>
        <v>350436900</v>
      </c>
      <c r="E250" s="25" t="n">
        <f aca="false">A250/'Giả định'!$B$19*'Giả định'!$B$20+A250*'Giả định'!$B$23+'Giả định'!$B$24</f>
        <v>181176470.588235</v>
      </c>
      <c r="F250" s="25" t="n">
        <f aca="false">E250-D250</f>
        <v>-169260429.411765</v>
      </c>
      <c r="G250" s="25" t="n">
        <f aca="false">E250-C250</f>
        <v>-26315429.4117647</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207528640</v>
      </c>
      <c r="D251" s="25" t="n">
        <f aca="false">('Chi phí'!$C$77+'Chi phí'!$D$77*B251+'Chi phí'!$E$77*A251+'Giả định'!$B$15*('Chi phí'!$F$77+'Chi phí'!$G$77*B251+'Chi phí'!$H$77*A251))*(1+'Giả định'!$B$16)</f>
        <v>350473640</v>
      </c>
      <c r="E251" s="25" t="n">
        <f aca="false">A251/'Giả định'!$B$19*'Giả định'!$B$20+A251*'Giả định'!$B$23+'Giả định'!$B$24</f>
        <v>181915966.386555</v>
      </c>
      <c r="F251" s="25" t="n">
        <f aca="false">E251-D251</f>
        <v>-168557673.613445</v>
      </c>
      <c r="G251" s="25" t="n">
        <f aca="false">E251-C251</f>
        <v>-25612673.6134454</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207565380</v>
      </c>
      <c r="D252" s="25" t="n">
        <f aca="false">('Chi phí'!$C$77+'Chi phí'!$D$77*B252+'Chi phí'!$E$77*A252+'Giả định'!$B$15*('Chi phí'!$F$77+'Chi phí'!$G$77*B252+'Chi phí'!$H$77*A252))*(1+'Giả định'!$B$16)</f>
        <v>350510380</v>
      </c>
      <c r="E252" s="25" t="n">
        <f aca="false">A252/'Giả định'!$B$19*'Giả định'!$B$20+A252*'Giả định'!$B$23+'Giả định'!$B$24</f>
        <v>182655462.184874</v>
      </c>
      <c r="F252" s="25" t="n">
        <f aca="false">E252-D252</f>
        <v>-167854917.815126</v>
      </c>
      <c r="G252" s="25" t="n">
        <f aca="false">E252-C252</f>
        <v>-24909917.8151261</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207602120</v>
      </c>
      <c r="D253" s="25" t="n">
        <f aca="false">('Chi phí'!$C$77+'Chi phí'!$D$77*B253+'Chi phí'!$E$77*A253+'Giả định'!$B$15*('Chi phí'!$F$77+'Chi phí'!$G$77*B253+'Chi phí'!$H$77*A253))*(1+'Giả định'!$B$16)</f>
        <v>350547120</v>
      </c>
      <c r="E253" s="25" t="n">
        <f aca="false">A253/'Giả định'!$B$19*'Giả định'!$B$20+A253*'Giả định'!$B$23+'Giả định'!$B$24</f>
        <v>183394957.983193</v>
      </c>
      <c r="F253" s="25" t="n">
        <f aca="false">E253-D253</f>
        <v>-167152162.016807</v>
      </c>
      <c r="G253" s="25" t="n">
        <f aca="false">E253-C253</f>
        <v>-24207162.0168067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207638860</v>
      </c>
      <c r="D254" s="25" t="n">
        <f aca="false">('Chi phí'!$C$77+'Chi phí'!$D$77*B254+'Chi phí'!$E$77*A254+'Giả định'!$B$15*('Chi phí'!$F$77+'Chi phí'!$G$77*B254+'Chi phí'!$H$77*A254))*(1+'Giả định'!$B$16)</f>
        <v>350583860</v>
      </c>
      <c r="E254" s="25" t="n">
        <f aca="false">A254/'Giả định'!$B$19*'Giả định'!$B$20+A254*'Giả định'!$B$23+'Giả định'!$B$24</f>
        <v>184134453.781513</v>
      </c>
      <c r="F254" s="25" t="n">
        <f aca="false">E254-D254</f>
        <v>-166449406.218487</v>
      </c>
      <c r="G254" s="25" t="n">
        <f aca="false">E254-C254</f>
        <v>-23504406.2184874</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207675600</v>
      </c>
      <c r="D255" s="25" t="n">
        <f aca="false">('Chi phí'!$C$77+'Chi phí'!$D$77*B255+'Chi phí'!$E$77*A255+'Giả định'!$B$15*('Chi phí'!$F$77+'Chi phí'!$G$77*B255+'Chi phí'!$H$77*A255))*(1+'Giả định'!$B$16)</f>
        <v>350620600</v>
      </c>
      <c r="E255" s="25" t="n">
        <f aca="false">A255/'Giả định'!$B$19*'Giả định'!$B$20+A255*'Giả định'!$B$23+'Giả định'!$B$24</f>
        <v>184873949.579832</v>
      </c>
      <c r="F255" s="25" t="n">
        <f aca="false">E255-D255</f>
        <v>-165746650.420168</v>
      </c>
      <c r="G255" s="25" t="n">
        <f aca="false">E255-C255</f>
        <v>-22801650.4201681</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213097940</v>
      </c>
      <c r="D256" s="25" t="n">
        <f aca="false">('Chi phí'!$C$77+'Chi phí'!$D$77*B256+'Chi phí'!$E$77*A256+'Giả định'!$B$15*('Chi phí'!$F$77+'Chi phí'!$G$77*B256+'Chi phí'!$H$77*A256))*(1+'Giả định'!$B$16)</f>
        <v>356042940</v>
      </c>
      <c r="E256" s="25" t="n">
        <f aca="false">A256/'Giả định'!$B$19*'Giả định'!$B$20+A256*'Giả định'!$B$23+'Giả định'!$B$24</f>
        <v>185613445.378151</v>
      </c>
      <c r="F256" s="25" t="n">
        <f aca="false">E256-D256</f>
        <v>-170429494.621849</v>
      </c>
      <c r="G256" s="25" t="n">
        <f aca="false">E256-C256</f>
        <v>-27484494.6218488</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213134680</v>
      </c>
      <c r="D257" s="25" t="n">
        <f aca="false">('Chi phí'!$C$77+'Chi phí'!$D$77*B257+'Chi phí'!$E$77*A257+'Giả định'!$B$15*('Chi phí'!$F$77+'Chi phí'!$G$77*B257+'Chi phí'!$H$77*A257))*(1+'Giả định'!$B$16)</f>
        <v>356079680</v>
      </c>
      <c r="E257" s="25" t="n">
        <f aca="false">A257/'Giả định'!$B$19*'Giả định'!$B$20+A257*'Giả định'!$B$23+'Giả định'!$B$24</f>
        <v>186352941.176471</v>
      </c>
      <c r="F257" s="25" t="n">
        <f aca="false">E257-D257</f>
        <v>-169726738.823529</v>
      </c>
      <c r="G257" s="25" t="n">
        <f aca="false">E257-C257</f>
        <v>-26781738.8235295</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213171420</v>
      </c>
      <c r="D258" s="25" t="n">
        <f aca="false">('Chi phí'!$C$77+'Chi phí'!$D$77*B258+'Chi phí'!$E$77*A258+'Giả định'!$B$15*('Chi phí'!$F$77+'Chi phí'!$G$77*B258+'Chi phí'!$H$77*A258))*(1+'Giả định'!$B$16)</f>
        <v>356116420</v>
      </c>
      <c r="E258" s="25" t="n">
        <f aca="false">A258/'Giả định'!$B$19*'Giả định'!$B$20+A258*'Giả định'!$B$23+'Giả định'!$B$24</f>
        <v>187092436.97479</v>
      </c>
      <c r="F258" s="25" t="n">
        <f aca="false">E258-D258</f>
        <v>-169023983.02521</v>
      </c>
      <c r="G258" s="25" t="n">
        <f aca="false">E258-C258</f>
        <v>-26078983.0252101</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213208160</v>
      </c>
      <c r="D259" s="25" t="n">
        <f aca="false">('Chi phí'!$C$77+'Chi phí'!$D$77*B259+'Chi phí'!$E$77*A259+'Giả định'!$B$15*('Chi phí'!$F$77+'Chi phí'!$G$77*B259+'Chi phí'!$H$77*A259))*(1+'Giả định'!$B$16)</f>
        <v>356153160</v>
      </c>
      <c r="E259" s="25" t="n">
        <f aca="false">A259/'Giả định'!$B$19*'Giả định'!$B$20+A259*'Giả định'!$B$23+'Giả định'!$B$24</f>
        <v>187831932.773109</v>
      </c>
      <c r="F259" s="25" t="n">
        <f aca="false">E259-D259</f>
        <v>-168321227.226891</v>
      </c>
      <c r="G259" s="25" t="n">
        <f aca="false">E259-C259</f>
        <v>-25376227.2268908</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213244900</v>
      </c>
      <c r="D260" s="25" t="n">
        <f aca="false">('Chi phí'!$C$77+'Chi phí'!$D$77*B260+'Chi phí'!$E$77*A260+'Giả định'!$B$15*('Chi phí'!$F$77+'Chi phí'!$G$77*B260+'Chi phí'!$H$77*A260))*(1+'Giả định'!$B$16)</f>
        <v>356189900</v>
      </c>
      <c r="E260" s="25" t="n">
        <f aca="false">A260/'Giả định'!$B$19*'Giả định'!$B$20+A260*'Giả định'!$B$23+'Giả định'!$B$24</f>
        <v>188571428.571429</v>
      </c>
      <c r="F260" s="25" t="n">
        <f aca="false">E260-D260</f>
        <v>-167618471.428571</v>
      </c>
      <c r="G260" s="25" t="n">
        <f aca="false">E260-C260</f>
        <v>-24673471.4285714</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213281640</v>
      </c>
      <c r="D261" s="25" t="n">
        <f aca="false">('Chi phí'!$C$77+'Chi phí'!$D$77*B261+'Chi phí'!$E$77*A261+'Giả định'!$B$15*('Chi phí'!$F$77+'Chi phí'!$G$77*B261+'Chi phí'!$H$77*A261))*(1+'Giả định'!$B$16)</f>
        <v>356226640</v>
      </c>
      <c r="E261" s="25" t="n">
        <f aca="false">A261/'Giả định'!$B$19*'Giả định'!$B$20+A261*'Giả định'!$B$23+'Giả định'!$B$24</f>
        <v>189310924.369748</v>
      </c>
      <c r="F261" s="25" t="n">
        <f aca="false">E261-D261</f>
        <v>-166915715.630252</v>
      </c>
      <c r="G261" s="25" t="n">
        <f aca="false">E261-C261</f>
        <v>-23970715.6302521</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213318380</v>
      </c>
      <c r="D262" s="25" t="n">
        <f aca="false">('Chi phí'!$C$77+'Chi phí'!$D$77*B262+'Chi phí'!$E$77*A262+'Giả định'!$B$15*('Chi phí'!$F$77+'Chi phí'!$G$77*B262+'Chi phí'!$H$77*A262))*(1+'Giả định'!$B$16)</f>
        <v>356263380</v>
      </c>
      <c r="E262" s="25" t="n">
        <f aca="false">A262/'Giả định'!$B$19*'Giả định'!$B$20+A262*'Giả định'!$B$23+'Giả định'!$B$24</f>
        <v>190050420.168067</v>
      </c>
      <c r="F262" s="25" t="n">
        <f aca="false">E262-D262</f>
        <v>-166212959.831933</v>
      </c>
      <c r="G262" s="25" t="n">
        <f aca="false">E262-C262</f>
        <v>-23267959.8319328</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213355120</v>
      </c>
      <c r="D263" s="25" t="n">
        <f aca="false">('Chi phí'!$C$77+'Chi phí'!$D$77*B263+'Chi phí'!$E$77*A263+'Giả định'!$B$15*('Chi phí'!$F$77+'Chi phí'!$G$77*B263+'Chi phí'!$H$77*A263))*(1+'Giả định'!$B$16)</f>
        <v>356300120</v>
      </c>
      <c r="E263" s="25" t="n">
        <f aca="false">A263/'Giả định'!$B$19*'Giả định'!$B$20+A263*'Giả định'!$B$23+'Giả định'!$B$24</f>
        <v>190789915.966387</v>
      </c>
      <c r="F263" s="25" t="n">
        <f aca="false">E263-D263</f>
        <v>-165510204.033613</v>
      </c>
      <c r="G263" s="25" t="n">
        <f aca="false">E263-C263</f>
        <v>-22565204.0336135</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213391860</v>
      </c>
      <c r="D264" s="25" t="n">
        <f aca="false">('Chi phí'!$C$77+'Chi phí'!$D$77*B264+'Chi phí'!$E$77*A264+'Giả định'!$B$15*('Chi phí'!$F$77+'Chi phí'!$G$77*B264+'Chi phí'!$H$77*A264))*(1+'Giả định'!$B$16)</f>
        <v>356336860</v>
      </c>
      <c r="E264" s="25" t="n">
        <f aca="false">A264/'Giả định'!$B$19*'Giả định'!$B$20+A264*'Giả định'!$B$23+'Giả định'!$B$24</f>
        <v>191529411.764706</v>
      </c>
      <c r="F264" s="25" t="n">
        <f aca="false">E264-D264</f>
        <v>-164807448.235294</v>
      </c>
      <c r="G264" s="25" t="n">
        <f aca="false">E264-C264</f>
        <v>-21862448.2352941</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213428600</v>
      </c>
      <c r="D265" s="25" t="n">
        <f aca="false">('Chi phí'!$C$77+'Chi phí'!$D$77*B265+'Chi phí'!$E$77*A265+'Giả định'!$B$15*('Chi phí'!$F$77+'Chi phí'!$G$77*B265+'Chi phí'!$H$77*A265))*(1+'Giả định'!$B$16)</f>
        <v>356373600</v>
      </c>
      <c r="E265" s="25" t="n">
        <f aca="false">A265/'Giả định'!$B$19*'Giả định'!$B$20+A265*'Giả định'!$B$23+'Giả định'!$B$24</f>
        <v>192268907.563025</v>
      </c>
      <c r="F265" s="25" t="n">
        <f aca="false">E265-D265</f>
        <v>-164104692.436975</v>
      </c>
      <c r="G265" s="25" t="n">
        <f aca="false">E265-C265</f>
        <v>-21159692.4369748</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218850940</v>
      </c>
      <c r="D266" s="25" t="n">
        <f aca="false">('Chi phí'!$C$77+'Chi phí'!$D$77*B266+'Chi phí'!$E$77*A266+'Giả định'!$B$15*('Chi phí'!$F$77+'Chi phí'!$G$77*B266+'Chi phí'!$H$77*A266))*(1+'Giả định'!$B$16)</f>
        <v>361795940</v>
      </c>
      <c r="E266" s="25" t="n">
        <f aca="false">A266/'Giả định'!$B$19*'Giả định'!$B$20+A266*'Giả định'!$B$23+'Giả định'!$B$24</f>
        <v>193008403.361345</v>
      </c>
      <c r="F266" s="25" t="n">
        <f aca="false">E266-D266</f>
        <v>-168787536.638655</v>
      </c>
      <c r="G266" s="25" t="n">
        <f aca="false">E266-C266</f>
        <v>-25842536.6386555</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218887680</v>
      </c>
      <c r="D267" s="25" t="n">
        <f aca="false">('Chi phí'!$C$77+'Chi phí'!$D$77*B267+'Chi phí'!$E$77*A267+'Giả định'!$B$15*('Chi phí'!$F$77+'Chi phí'!$G$77*B267+'Chi phí'!$H$77*A267))*(1+'Giả định'!$B$16)</f>
        <v>361832680</v>
      </c>
      <c r="E267" s="25" t="n">
        <f aca="false">A267/'Giả định'!$B$19*'Giả định'!$B$20+A267*'Giả định'!$B$23+'Giả định'!$B$24</f>
        <v>193747899.159664</v>
      </c>
      <c r="F267" s="25" t="n">
        <f aca="false">E267-D267</f>
        <v>-168084780.840336</v>
      </c>
      <c r="G267" s="25" t="n">
        <f aca="false">E267-C267</f>
        <v>-25139780.8403361</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218924420</v>
      </c>
      <c r="D268" s="25" t="n">
        <f aca="false">('Chi phí'!$C$77+'Chi phí'!$D$77*B268+'Chi phí'!$E$77*A268+'Giả định'!$B$15*('Chi phí'!$F$77+'Chi phí'!$G$77*B268+'Chi phí'!$H$77*A268))*(1+'Giả định'!$B$16)</f>
        <v>361869420</v>
      </c>
      <c r="E268" s="25" t="n">
        <f aca="false">A268/'Giả định'!$B$19*'Giả định'!$B$20+A268*'Giả định'!$B$23+'Giả định'!$B$24</f>
        <v>194487394.957983</v>
      </c>
      <c r="F268" s="25" t="n">
        <f aca="false">E268-D268</f>
        <v>-167382025.042017</v>
      </c>
      <c r="G268" s="25" t="n">
        <f aca="false">E268-C268</f>
        <v>-24437025.0420168</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218961160</v>
      </c>
      <c r="D269" s="25" t="n">
        <f aca="false">('Chi phí'!$C$77+'Chi phí'!$D$77*B269+'Chi phí'!$E$77*A269+'Giả định'!$B$15*('Chi phí'!$F$77+'Chi phí'!$G$77*B269+'Chi phí'!$H$77*A269))*(1+'Giả định'!$B$16)</f>
        <v>361906160</v>
      </c>
      <c r="E269" s="25" t="n">
        <f aca="false">A269/'Giả định'!$B$19*'Giả định'!$B$20+A269*'Giả định'!$B$23+'Giả định'!$B$24</f>
        <v>195226890.756303</v>
      </c>
      <c r="F269" s="25" t="n">
        <f aca="false">E269-D269</f>
        <v>-166679269.243697</v>
      </c>
      <c r="G269" s="25" t="n">
        <f aca="false">E269-C269</f>
        <v>-23734269.2436975</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218997900</v>
      </c>
      <c r="D270" s="25" t="n">
        <f aca="false">('Chi phí'!$C$77+'Chi phí'!$D$77*B270+'Chi phí'!$E$77*A270+'Giả định'!$B$15*('Chi phí'!$F$77+'Chi phí'!$G$77*B270+'Chi phí'!$H$77*A270))*(1+'Giả định'!$B$16)</f>
        <v>361942900</v>
      </c>
      <c r="E270" s="25" t="n">
        <f aca="false">A270/'Giả định'!$B$19*'Giả định'!$B$20+A270*'Giả định'!$B$23+'Giả định'!$B$24</f>
        <v>195966386.554622</v>
      </c>
      <c r="F270" s="25" t="n">
        <f aca="false">E270-D270</f>
        <v>-165976513.445378</v>
      </c>
      <c r="G270" s="25" t="n">
        <f aca="false">E270-C270</f>
        <v>-23031513.4453782</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219034640</v>
      </c>
      <c r="D271" s="25" t="n">
        <f aca="false">('Chi phí'!$C$77+'Chi phí'!$D$77*B271+'Chi phí'!$E$77*A271+'Giả định'!$B$15*('Chi phí'!$F$77+'Chi phí'!$G$77*B271+'Chi phí'!$H$77*A271))*(1+'Giả định'!$B$16)</f>
        <v>361979640</v>
      </c>
      <c r="E271" s="25" t="n">
        <f aca="false">A271/'Giả định'!$B$19*'Giả định'!$B$20+A271*'Giả định'!$B$23+'Giả định'!$B$24</f>
        <v>196705882.352941</v>
      </c>
      <c r="F271" s="25" t="n">
        <f aca="false">E271-D271</f>
        <v>-165273757.647059</v>
      </c>
      <c r="G271" s="25" t="n">
        <f aca="false">E271-C271</f>
        <v>-22328757.6470588</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219071380</v>
      </c>
      <c r="D272" s="25" t="n">
        <f aca="false">('Chi phí'!$C$77+'Chi phí'!$D$77*B272+'Chi phí'!$E$77*A272+'Giả định'!$B$15*('Chi phí'!$F$77+'Chi phí'!$G$77*B272+'Chi phí'!$H$77*A272))*(1+'Giả định'!$B$16)</f>
        <v>362016380</v>
      </c>
      <c r="E272" s="25" t="n">
        <f aca="false">A272/'Giả định'!$B$19*'Giả định'!$B$20+A272*'Giả định'!$B$23+'Giả định'!$B$24</f>
        <v>197445378.151261</v>
      </c>
      <c r="F272" s="25" t="n">
        <f aca="false">E272-D272</f>
        <v>-164571001.848739</v>
      </c>
      <c r="G272" s="25" t="n">
        <f aca="false">E272-C272</f>
        <v>-21626001.8487395</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219108120</v>
      </c>
      <c r="D273" s="25" t="n">
        <f aca="false">('Chi phí'!$C$77+'Chi phí'!$D$77*B273+'Chi phí'!$E$77*A273+'Giả định'!$B$15*('Chi phí'!$F$77+'Chi phí'!$G$77*B273+'Chi phí'!$H$77*A273))*(1+'Giả định'!$B$16)</f>
        <v>362053120</v>
      </c>
      <c r="E273" s="25" t="n">
        <f aca="false">A273/'Giả định'!$B$19*'Giả định'!$B$20+A273*'Giả định'!$B$23+'Giả định'!$B$24</f>
        <v>198184873.94958</v>
      </c>
      <c r="F273" s="25" t="n">
        <f aca="false">E273-D273</f>
        <v>-163868246.05042</v>
      </c>
      <c r="G273" s="25" t="n">
        <f aca="false">E273-C273</f>
        <v>-20923246.0504202</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219144860</v>
      </c>
      <c r="D274" s="25" t="n">
        <f aca="false">('Chi phí'!$C$77+'Chi phí'!$D$77*B274+'Chi phí'!$E$77*A274+'Giả định'!$B$15*('Chi phí'!$F$77+'Chi phí'!$G$77*B274+'Chi phí'!$H$77*A274))*(1+'Giả định'!$B$16)</f>
        <v>362089860</v>
      </c>
      <c r="E274" s="25" t="n">
        <f aca="false">A274/'Giả định'!$B$19*'Giả định'!$B$20+A274*'Giả định'!$B$23+'Giả định'!$B$24</f>
        <v>198924369.747899</v>
      </c>
      <c r="F274" s="25" t="n">
        <f aca="false">E274-D274</f>
        <v>-163165490.252101</v>
      </c>
      <c r="G274" s="25" t="n">
        <f aca="false">E274-C274</f>
        <v>-20220490.2521009</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219181600</v>
      </c>
      <c r="D275" s="25" t="n">
        <f aca="false">('Chi phí'!$C$77+'Chi phí'!$D$77*B275+'Chi phí'!$E$77*A275+'Giả định'!$B$15*('Chi phí'!$F$77+'Chi phí'!$G$77*B275+'Chi phí'!$H$77*A275))*(1+'Giả định'!$B$16)</f>
        <v>362126600</v>
      </c>
      <c r="E275" s="25" t="n">
        <f aca="false">A275/'Giả định'!$B$19*'Giả định'!$B$20+A275*'Giả định'!$B$23+'Giả định'!$B$24</f>
        <v>199663865.546218</v>
      </c>
      <c r="F275" s="25" t="n">
        <f aca="false">E275-D275</f>
        <v>-162462734.453782</v>
      </c>
      <c r="G275" s="25" t="n">
        <f aca="false">E275-C275</f>
        <v>-19517734.4537815</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224603940</v>
      </c>
      <c r="D276" s="25" t="n">
        <f aca="false">('Chi phí'!$C$77+'Chi phí'!$D$77*B276+'Chi phí'!$E$77*A276+'Giả định'!$B$15*('Chi phí'!$F$77+'Chi phí'!$G$77*B276+'Chi phí'!$H$77*A276))*(1+'Giả định'!$B$16)</f>
        <v>367548940</v>
      </c>
      <c r="E276" s="25" t="n">
        <f aca="false">A276/'Giả định'!$B$19*'Giả định'!$B$20+A276*'Giả định'!$B$23+'Giả định'!$B$24</f>
        <v>200403361.344538</v>
      </c>
      <c r="F276" s="25" t="n">
        <f aca="false">E276-D276</f>
        <v>-167145578.655462</v>
      </c>
      <c r="G276" s="25" t="n">
        <f aca="false">E276-C276</f>
        <v>-24200578.6554622</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224640680</v>
      </c>
      <c r="D277" s="25" t="n">
        <f aca="false">('Chi phí'!$C$77+'Chi phí'!$D$77*B277+'Chi phí'!$E$77*A277+'Giả định'!$B$15*('Chi phí'!$F$77+'Chi phí'!$G$77*B277+'Chi phí'!$H$77*A277))*(1+'Giả định'!$B$16)</f>
        <v>367585680</v>
      </c>
      <c r="E277" s="25" t="n">
        <f aca="false">A277/'Giả định'!$B$19*'Giả định'!$B$20+A277*'Giả định'!$B$23+'Giả định'!$B$24</f>
        <v>201142857.142857</v>
      </c>
      <c r="F277" s="25" t="n">
        <f aca="false">E277-D277</f>
        <v>-166442822.857143</v>
      </c>
      <c r="G277" s="25" t="n">
        <f aca="false">E277-C277</f>
        <v>-23497822.8571429</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224677420</v>
      </c>
      <c r="D278" s="25" t="n">
        <f aca="false">('Chi phí'!$C$77+'Chi phí'!$D$77*B278+'Chi phí'!$E$77*A278+'Giả định'!$B$15*('Chi phí'!$F$77+'Chi phí'!$G$77*B278+'Chi phí'!$H$77*A278))*(1+'Giả định'!$B$16)</f>
        <v>367622420</v>
      </c>
      <c r="E278" s="25" t="n">
        <f aca="false">A278/'Giả định'!$B$19*'Giả định'!$B$20+A278*'Giả định'!$B$23+'Giả định'!$B$24</f>
        <v>201882352.941176</v>
      </c>
      <c r="F278" s="25" t="n">
        <f aca="false">E278-D278</f>
        <v>-165740067.058824</v>
      </c>
      <c r="G278" s="25" t="n">
        <f aca="false">E278-C278</f>
        <v>-22795067.0588236</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224714160</v>
      </c>
      <c r="D279" s="25" t="n">
        <f aca="false">('Chi phí'!$C$77+'Chi phí'!$D$77*B279+'Chi phí'!$E$77*A279+'Giả định'!$B$15*('Chi phí'!$F$77+'Chi phí'!$G$77*B279+'Chi phí'!$H$77*A279))*(1+'Giả định'!$B$16)</f>
        <v>367659160</v>
      </c>
      <c r="E279" s="25" t="n">
        <f aca="false">A279/'Giả định'!$B$19*'Giả định'!$B$20+A279*'Giả định'!$B$23+'Giả định'!$B$24</f>
        <v>202621848.739496</v>
      </c>
      <c r="F279" s="25" t="n">
        <f aca="false">E279-D279</f>
        <v>-165037311.260504</v>
      </c>
      <c r="G279" s="25" t="n">
        <f aca="false">E279-C279</f>
        <v>-22092311.2605042</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224750900</v>
      </c>
      <c r="D280" s="25" t="n">
        <f aca="false">('Chi phí'!$C$77+'Chi phí'!$D$77*B280+'Chi phí'!$E$77*A280+'Giả định'!$B$15*('Chi phí'!$F$77+'Chi phí'!$G$77*B280+'Chi phí'!$H$77*A280))*(1+'Giả định'!$B$16)</f>
        <v>367695900</v>
      </c>
      <c r="E280" s="25" t="n">
        <f aca="false">A280/'Giả định'!$B$19*'Giả định'!$B$20+A280*'Giả định'!$B$23+'Giả định'!$B$24</f>
        <v>203361344.537815</v>
      </c>
      <c r="F280" s="25" t="n">
        <f aca="false">E280-D280</f>
        <v>-164334555.462185</v>
      </c>
      <c r="G280" s="25" t="n">
        <f aca="false">E280-C280</f>
        <v>-21389555.4621849</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224787640</v>
      </c>
      <c r="D281" s="25" t="n">
        <f aca="false">('Chi phí'!$C$77+'Chi phí'!$D$77*B281+'Chi phí'!$E$77*A281+'Giả định'!$B$15*('Chi phí'!$F$77+'Chi phí'!$G$77*B281+'Chi phí'!$H$77*A281))*(1+'Giả định'!$B$16)</f>
        <v>367732640</v>
      </c>
      <c r="E281" s="25" t="n">
        <f aca="false">A281/'Giả định'!$B$19*'Giả định'!$B$20+A281*'Giả định'!$B$23+'Giả định'!$B$24</f>
        <v>204100840.336134</v>
      </c>
      <c r="F281" s="25" t="n">
        <f aca="false">E281-D281</f>
        <v>-163631799.663866</v>
      </c>
      <c r="G281" s="25" t="n">
        <f aca="false">E281-C281</f>
        <v>-20686799.6638656</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224824380</v>
      </c>
      <c r="D282" s="25" t="n">
        <f aca="false">('Chi phí'!$C$77+'Chi phí'!$D$77*B282+'Chi phí'!$E$77*A282+'Giả định'!$B$15*('Chi phí'!$F$77+'Chi phí'!$G$77*B282+'Chi phí'!$H$77*A282))*(1+'Giả định'!$B$16)</f>
        <v>367769380</v>
      </c>
      <c r="E282" s="25" t="n">
        <f aca="false">A282/'Giả định'!$B$19*'Giả định'!$B$20+A282*'Giả định'!$B$23+'Giả định'!$B$24</f>
        <v>204840336.134454</v>
      </c>
      <c r="F282" s="25" t="n">
        <f aca="false">E282-D282</f>
        <v>-162929043.865546</v>
      </c>
      <c r="G282" s="25" t="n">
        <f aca="false">E282-C282</f>
        <v>-19984043.8655462</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224861120</v>
      </c>
      <c r="D283" s="25" t="n">
        <f aca="false">('Chi phí'!$C$77+'Chi phí'!$D$77*B283+'Chi phí'!$E$77*A283+'Giả định'!$B$15*('Chi phí'!$F$77+'Chi phí'!$G$77*B283+'Chi phí'!$H$77*A283))*(1+'Giả định'!$B$16)</f>
        <v>367806120</v>
      </c>
      <c r="E283" s="25" t="n">
        <f aca="false">A283/'Giả định'!$B$19*'Giả định'!$B$20+A283*'Giả định'!$B$23+'Giả định'!$B$24</f>
        <v>205579831.932773</v>
      </c>
      <c r="F283" s="25" t="n">
        <f aca="false">E283-D283</f>
        <v>-162226288.067227</v>
      </c>
      <c r="G283" s="25" t="n">
        <f aca="false">E283-C283</f>
        <v>-19281288.0672269</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224897860</v>
      </c>
      <c r="D284" s="25" t="n">
        <f aca="false">('Chi phí'!$C$77+'Chi phí'!$D$77*B284+'Chi phí'!$E$77*A284+'Giả định'!$B$15*('Chi phí'!$F$77+'Chi phí'!$G$77*B284+'Chi phí'!$H$77*A284))*(1+'Giả định'!$B$16)</f>
        <v>367842860</v>
      </c>
      <c r="E284" s="25" t="n">
        <f aca="false">A284/'Giả định'!$B$19*'Giả định'!$B$20+A284*'Giả định'!$B$23+'Giả định'!$B$24</f>
        <v>206319327.731092</v>
      </c>
      <c r="F284" s="25" t="n">
        <f aca="false">E284-D284</f>
        <v>-161523532.268908</v>
      </c>
      <c r="G284" s="25" t="n">
        <f aca="false">E284-C284</f>
        <v>-18578532.2689076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224934600</v>
      </c>
      <c r="D285" s="25" t="n">
        <f aca="false">('Chi phí'!$C$77+'Chi phí'!$D$77*B285+'Chi phí'!$E$77*A285+'Giả định'!$B$15*('Chi phí'!$F$77+'Chi phí'!$G$77*B285+'Chi phí'!$H$77*A285))*(1+'Giả định'!$B$16)</f>
        <v>367879600</v>
      </c>
      <c r="E285" s="25" t="n">
        <f aca="false">A285/'Giả định'!$B$19*'Giả định'!$B$20+A285*'Giả định'!$B$23+'Giả định'!$B$24</f>
        <v>207058823.529412</v>
      </c>
      <c r="F285" s="25" t="n">
        <f aca="false">E285-D285</f>
        <v>-160820776.470588</v>
      </c>
      <c r="G285" s="25" t="n">
        <f aca="false">E285-C285</f>
        <v>-17875776.4705883</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230356940</v>
      </c>
      <c r="D286" s="25" t="n">
        <f aca="false">('Chi phí'!$C$77+'Chi phí'!$D$77*B286+'Chi phí'!$E$77*A286+'Giả định'!$B$15*('Chi phí'!$F$77+'Chi phí'!$G$77*B286+'Chi phí'!$H$77*A286))*(1+'Giả định'!$B$16)</f>
        <v>373301940</v>
      </c>
      <c r="E286" s="25" t="n">
        <f aca="false">A286/'Giả định'!$B$19*'Giả định'!$B$20+A286*'Giả định'!$B$23+'Giả định'!$B$24</f>
        <v>207798319.327731</v>
      </c>
      <c r="F286" s="25" t="n">
        <f aca="false">E286-D286</f>
        <v>-165503620.672269</v>
      </c>
      <c r="G286" s="25" t="n">
        <f aca="false">E286-C286</f>
        <v>-22558620.6722689</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230393680</v>
      </c>
      <c r="D287" s="25" t="n">
        <f aca="false">('Chi phí'!$C$77+'Chi phí'!$D$77*B287+'Chi phí'!$E$77*A287+'Giả định'!$B$15*('Chi phí'!$F$77+'Chi phí'!$G$77*B287+'Chi phí'!$H$77*A287))*(1+'Giả định'!$B$16)</f>
        <v>373338680</v>
      </c>
      <c r="E287" s="25" t="n">
        <f aca="false">A287/'Giả định'!$B$19*'Giả định'!$B$20+A287*'Giả định'!$B$23+'Giả định'!$B$24</f>
        <v>208537815.12605</v>
      </c>
      <c r="F287" s="25" t="n">
        <f aca="false">E287-D287</f>
        <v>-164800864.87395</v>
      </c>
      <c r="G287" s="25" t="n">
        <f aca="false">E287-C287</f>
        <v>-21855864.8739496</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230430420</v>
      </c>
      <c r="D288" s="25" t="n">
        <f aca="false">('Chi phí'!$C$77+'Chi phí'!$D$77*B288+'Chi phí'!$E$77*A288+'Giả định'!$B$15*('Chi phí'!$F$77+'Chi phí'!$G$77*B288+'Chi phí'!$H$77*A288))*(1+'Giả định'!$B$16)</f>
        <v>373375420</v>
      </c>
      <c r="E288" s="25" t="n">
        <f aca="false">A288/'Giả định'!$B$19*'Giả định'!$B$20+A288*'Giả định'!$B$23+'Giả định'!$B$24</f>
        <v>209277310.92437</v>
      </c>
      <c r="F288" s="25" t="n">
        <f aca="false">E288-D288</f>
        <v>-164098109.07563</v>
      </c>
      <c r="G288" s="25" t="n">
        <f aca="false">E288-C288</f>
        <v>-21153109.0756302</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230467160</v>
      </c>
      <c r="D289" s="25" t="n">
        <f aca="false">('Chi phí'!$C$77+'Chi phí'!$D$77*B289+'Chi phí'!$E$77*A289+'Giả định'!$B$15*('Chi phí'!$F$77+'Chi phí'!$G$77*B289+'Chi phí'!$H$77*A289))*(1+'Giả định'!$B$16)</f>
        <v>373412160</v>
      </c>
      <c r="E289" s="25" t="n">
        <f aca="false">A289/'Giả định'!$B$19*'Giả định'!$B$20+A289*'Giả định'!$B$23+'Giả định'!$B$24</f>
        <v>210016806.722689</v>
      </c>
      <c r="F289" s="25" t="n">
        <f aca="false">E289-D289</f>
        <v>-163395353.277311</v>
      </c>
      <c r="G289" s="25" t="n">
        <f aca="false">E289-C289</f>
        <v>-20450353.2773109</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230503900</v>
      </c>
      <c r="D290" s="25" t="n">
        <f aca="false">('Chi phí'!$C$77+'Chi phí'!$D$77*B290+'Chi phí'!$E$77*A290+'Giả định'!$B$15*('Chi phí'!$F$77+'Chi phí'!$G$77*B290+'Chi phí'!$H$77*A290))*(1+'Giả định'!$B$16)</f>
        <v>373448900</v>
      </c>
      <c r="E290" s="25" t="n">
        <f aca="false">A290/'Giả định'!$B$19*'Giả định'!$B$20+A290*'Giả định'!$B$23+'Giả định'!$B$24</f>
        <v>210756302.521008</v>
      </c>
      <c r="F290" s="25" t="n">
        <f aca="false">E290-D290</f>
        <v>-162692597.478992</v>
      </c>
      <c r="G290" s="25" t="n">
        <f aca="false">E290-C290</f>
        <v>-19747597.4789916</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230540640</v>
      </c>
      <c r="D291" s="25" t="n">
        <f aca="false">('Chi phí'!$C$77+'Chi phí'!$D$77*B291+'Chi phí'!$E$77*A291+'Giả định'!$B$15*('Chi phí'!$F$77+'Chi phí'!$G$77*B291+'Chi phí'!$H$77*A291))*(1+'Giả định'!$B$16)</f>
        <v>373485640</v>
      </c>
      <c r="E291" s="25" t="n">
        <f aca="false">A291/'Giả định'!$B$19*'Giả định'!$B$20+A291*'Giả định'!$B$23+'Giả định'!$B$24</f>
        <v>211495798.319328</v>
      </c>
      <c r="F291" s="25" t="n">
        <f aca="false">E291-D291</f>
        <v>-161989841.680672</v>
      </c>
      <c r="G291" s="25" t="n">
        <f aca="false">E291-C291</f>
        <v>-19044841.6806723</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230577380</v>
      </c>
      <c r="D292" s="25" t="n">
        <f aca="false">('Chi phí'!$C$77+'Chi phí'!$D$77*B292+'Chi phí'!$E$77*A292+'Giả định'!$B$15*('Chi phí'!$F$77+'Chi phí'!$G$77*B292+'Chi phí'!$H$77*A292))*(1+'Giả định'!$B$16)</f>
        <v>373522380</v>
      </c>
      <c r="E292" s="25" t="n">
        <f aca="false">A292/'Giả định'!$B$19*'Giả định'!$B$20+A292*'Giả định'!$B$23+'Giả định'!$B$24</f>
        <v>212235294.117647</v>
      </c>
      <c r="F292" s="25" t="n">
        <f aca="false">E292-D292</f>
        <v>-161287085.882353</v>
      </c>
      <c r="G292" s="25" t="n">
        <f aca="false">E292-C292</f>
        <v>-18342085.882353</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230614120</v>
      </c>
      <c r="D293" s="25" t="n">
        <f aca="false">('Chi phí'!$C$77+'Chi phí'!$D$77*B293+'Chi phí'!$E$77*A293+'Giả định'!$B$15*('Chi phí'!$F$77+'Chi phí'!$G$77*B293+'Chi phí'!$H$77*A293))*(1+'Giả định'!$B$16)</f>
        <v>373559120</v>
      </c>
      <c r="E293" s="25" t="n">
        <f aca="false">A293/'Giả định'!$B$19*'Giả định'!$B$20+A293*'Giả định'!$B$23+'Giả định'!$B$24</f>
        <v>212974789.915966</v>
      </c>
      <c r="F293" s="25" t="n">
        <f aca="false">E293-D293</f>
        <v>-160584330.084034</v>
      </c>
      <c r="G293" s="25" t="n">
        <f aca="false">E293-C293</f>
        <v>-17639330.0840336</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230650860</v>
      </c>
      <c r="D294" s="25" t="n">
        <f aca="false">('Chi phí'!$C$77+'Chi phí'!$D$77*B294+'Chi phí'!$E$77*A294+'Giả định'!$B$15*('Chi phí'!$F$77+'Chi phí'!$G$77*B294+'Chi phí'!$H$77*A294))*(1+'Giả định'!$B$16)</f>
        <v>373595860</v>
      </c>
      <c r="E294" s="25" t="n">
        <f aca="false">A294/'Giả định'!$B$19*'Giả định'!$B$20+A294*'Giả định'!$B$23+'Giả định'!$B$24</f>
        <v>213714285.714286</v>
      </c>
      <c r="F294" s="25" t="n">
        <f aca="false">E294-D294</f>
        <v>-159881574.285714</v>
      </c>
      <c r="G294" s="25" t="n">
        <f aca="false">E294-C294</f>
        <v>-16936574.2857143</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230687600</v>
      </c>
      <c r="D295" s="25" t="n">
        <f aca="false">('Chi phí'!$C$77+'Chi phí'!$D$77*B295+'Chi phí'!$E$77*A295+'Giả định'!$B$15*('Chi phí'!$F$77+'Chi phí'!$G$77*B295+'Chi phí'!$H$77*A295))*(1+'Giả định'!$B$16)</f>
        <v>373632600</v>
      </c>
      <c r="E295" s="25" t="n">
        <f aca="false">A295/'Giả định'!$B$19*'Giả định'!$B$20+A295*'Giả định'!$B$23+'Giả định'!$B$24</f>
        <v>214453781.512605</v>
      </c>
      <c r="F295" s="25" t="n">
        <f aca="false">E295-D295</f>
        <v>-159178818.487395</v>
      </c>
      <c r="G295" s="25" t="n">
        <f aca="false">E295-C295</f>
        <v>-16233818.487395</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236109940</v>
      </c>
      <c r="D296" s="25" t="n">
        <f aca="false">('Chi phí'!$C$77+'Chi phí'!$D$77*B296+'Chi phí'!$E$77*A296+'Giả định'!$B$15*('Chi phí'!$F$77+'Chi phí'!$G$77*B296+'Chi phí'!$H$77*A296))*(1+'Giả định'!$B$16)</f>
        <v>379054940</v>
      </c>
      <c r="E296" s="25" t="n">
        <f aca="false">A296/'Giả định'!$B$19*'Giả định'!$B$20+A296*'Giả định'!$B$23+'Giả định'!$B$24</f>
        <v>215193277.310924</v>
      </c>
      <c r="F296" s="25" t="n">
        <f aca="false">E296-D296</f>
        <v>-163861662.689076</v>
      </c>
      <c r="G296" s="25" t="n">
        <f aca="false">E296-C296</f>
        <v>-20916662.6890757</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236146680</v>
      </c>
      <c r="D297" s="25" t="n">
        <f aca="false">('Chi phí'!$C$77+'Chi phí'!$D$77*B297+'Chi phí'!$E$77*A297+'Giả định'!$B$15*('Chi phí'!$F$77+'Chi phí'!$G$77*B297+'Chi phí'!$H$77*A297))*(1+'Giả định'!$B$16)</f>
        <v>379091680</v>
      </c>
      <c r="E297" s="25" t="n">
        <f aca="false">A297/'Giả định'!$B$19*'Giả định'!$B$20+A297*'Giả định'!$B$23+'Giả định'!$B$24</f>
        <v>215932773.109244</v>
      </c>
      <c r="F297" s="25" t="n">
        <f aca="false">E297-D297</f>
        <v>-163158906.890756</v>
      </c>
      <c r="G297" s="25" t="n">
        <f aca="false">E297-C297</f>
        <v>-20213906.8907563</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236183420</v>
      </c>
      <c r="D298" s="25" t="n">
        <f aca="false">('Chi phí'!$C$77+'Chi phí'!$D$77*B298+'Chi phí'!$E$77*A298+'Giả định'!$B$15*('Chi phí'!$F$77+'Chi phí'!$G$77*B298+'Chi phí'!$H$77*A298))*(1+'Giả định'!$B$16)</f>
        <v>379128420</v>
      </c>
      <c r="E298" s="25" t="n">
        <f aca="false">A298/'Giả định'!$B$19*'Giả định'!$B$20+A298*'Giả định'!$B$23+'Giả định'!$B$24</f>
        <v>216672268.907563</v>
      </c>
      <c r="F298" s="25" t="n">
        <f aca="false">E298-D298</f>
        <v>-162456151.092437</v>
      </c>
      <c r="G298" s="25" t="n">
        <f aca="false">E298-C298</f>
        <v>-19511151.092437</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236220160</v>
      </c>
      <c r="D299" s="25" t="n">
        <f aca="false">('Chi phí'!$C$77+'Chi phí'!$D$77*B299+'Chi phí'!$E$77*A299+'Giả định'!$B$15*('Chi phí'!$F$77+'Chi phí'!$G$77*B299+'Chi phí'!$H$77*A299))*(1+'Giả định'!$B$16)</f>
        <v>379165160</v>
      </c>
      <c r="E299" s="25" t="n">
        <f aca="false">A299/'Giả định'!$B$19*'Giả định'!$B$20+A299*'Giả định'!$B$23+'Giả định'!$B$24</f>
        <v>217411764.705882</v>
      </c>
      <c r="F299" s="25" t="n">
        <f aca="false">E299-D299</f>
        <v>-161753395.294118</v>
      </c>
      <c r="G299" s="25" t="n">
        <f aca="false">E299-C299</f>
        <v>-18808395.2941177</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236256900</v>
      </c>
      <c r="D300" s="25" t="n">
        <f aca="false">('Chi phí'!$C$77+'Chi phí'!$D$77*B300+'Chi phí'!$E$77*A300+'Giả định'!$B$15*('Chi phí'!$F$77+'Chi phí'!$G$77*B300+'Chi phí'!$H$77*A300))*(1+'Giả định'!$B$16)</f>
        <v>379201900</v>
      </c>
      <c r="E300" s="25" t="n">
        <f aca="false">A300/'Giả định'!$B$19*'Giả định'!$B$20+A300*'Giả định'!$B$23+'Giả định'!$B$24</f>
        <v>218151260.504202</v>
      </c>
      <c r="F300" s="25" t="n">
        <f aca="false">E300-D300</f>
        <v>-161050639.495798</v>
      </c>
      <c r="G300" s="25" t="n">
        <f aca="false">E300-C300</f>
        <v>-18105639.4957983</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236293640</v>
      </c>
      <c r="D301" s="25" t="n">
        <f aca="false">('Chi phí'!$C$77+'Chi phí'!$D$77*B301+'Chi phí'!$E$77*A301+'Giả định'!$B$15*('Chi phí'!$F$77+'Chi phí'!$G$77*B301+'Chi phí'!$H$77*A301))*(1+'Giả định'!$B$16)</f>
        <v>379238640</v>
      </c>
      <c r="E301" s="25" t="n">
        <f aca="false">A301/'Giả định'!$B$19*'Giả định'!$B$20+A301*'Giả định'!$B$23+'Giả định'!$B$24</f>
        <v>218890756.302521</v>
      </c>
      <c r="F301" s="25" t="n">
        <f aca="false">E301-D301</f>
        <v>-160347883.697479</v>
      </c>
      <c r="G301" s="25" t="n">
        <f aca="false">E301-C301</f>
        <v>-17402883.697479</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236330380</v>
      </c>
      <c r="D302" s="25" t="n">
        <f aca="false">('Chi phí'!$C$77+'Chi phí'!$D$77*B302+'Chi phí'!$E$77*A302+'Giả định'!$B$15*('Chi phí'!$F$77+'Chi phí'!$G$77*B302+'Chi phí'!$H$77*A302))*(1+'Giả định'!$B$16)</f>
        <v>379275380</v>
      </c>
      <c r="E302" s="25" t="n">
        <f aca="false">A302/'Giả định'!$B$19*'Giả định'!$B$20+A302*'Giả định'!$B$23+'Giả định'!$B$24</f>
        <v>219630252.10084</v>
      </c>
      <c r="F302" s="25" t="n">
        <f aca="false">E302-D302</f>
        <v>-159645127.89916</v>
      </c>
      <c r="G302" s="25" t="n">
        <f aca="false">E302-C302</f>
        <v>-16700127.8991597</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236367120</v>
      </c>
      <c r="D303" s="25" t="n">
        <f aca="false">('Chi phí'!$C$77+'Chi phí'!$D$77*B303+'Chi phí'!$E$77*A303+'Giả định'!$B$15*('Chi phí'!$F$77+'Chi phí'!$G$77*B303+'Chi phí'!$H$77*A303))*(1+'Giả định'!$B$16)</f>
        <v>379312120</v>
      </c>
      <c r="E303" s="25" t="n">
        <f aca="false">A303/'Giả định'!$B$19*'Giả định'!$B$20+A303*'Giả định'!$B$23+'Giả định'!$B$24</f>
        <v>220369747.89916</v>
      </c>
      <c r="F303" s="25" t="n">
        <f aca="false">E303-D303</f>
        <v>-158942372.10084</v>
      </c>
      <c r="G303" s="25" t="n">
        <f aca="false">E303-C303</f>
        <v>-15997372.1008404</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236403860</v>
      </c>
      <c r="D304" s="25" t="n">
        <f aca="false">('Chi phí'!$C$77+'Chi phí'!$D$77*B304+'Chi phí'!$E$77*A304+'Giả định'!$B$15*('Chi phí'!$F$77+'Chi phí'!$G$77*B304+'Chi phí'!$H$77*A304))*(1+'Giả định'!$B$16)</f>
        <v>379348860</v>
      </c>
      <c r="E304" s="25" t="n">
        <f aca="false">A304/'Giả định'!$B$19*'Giả định'!$B$20+A304*'Giả định'!$B$23+'Giả định'!$B$24</f>
        <v>221109243.697479</v>
      </c>
      <c r="F304" s="25" t="n">
        <f aca="false">E304-D304</f>
        <v>-158239616.302521</v>
      </c>
      <c r="G304" s="25" t="n">
        <f aca="false">E304-C304</f>
        <v>-15294616.302521</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236440600</v>
      </c>
      <c r="D305" s="25" t="n">
        <f aca="false">('Chi phí'!$C$77+'Chi phí'!$D$77*B305+'Chi phí'!$E$77*A305+'Giả định'!$B$15*('Chi phí'!$F$77+'Chi phí'!$G$77*B305+'Chi phí'!$H$77*A305))*(1+'Giả định'!$B$16)</f>
        <v>379385600</v>
      </c>
      <c r="E305" s="25" t="n">
        <f aca="false">A305/'Giả định'!$B$19*'Giả định'!$B$20+A305*'Giả định'!$B$23+'Giả định'!$B$24</f>
        <v>221848739.495798</v>
      </c>
      <c r="F305" s="25" t="n">
        <f aca="false">E305-D305</f>
        <v>-157536860.504202</v>
      </c>
      <c r="G305" s="25" t="n">
        <f aca="false">E305-C305</f>
        <v>-14591860.5042017</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241862940</v>
      </c>
      <c r="D306" s="25" t="n">
        <f aca="false">('Chi phí'!$C$77+'Chi phí'!$D$77*B306+'Chi phí'!$E$77*A306+'Giả định'!$B$15*('Chi phí'!$F$77+'Chi phí'!$G$77*B306+'Chi phí'!$H$77*A306))*(1+'Giả định'!$B$16)</f>
        <v>384807940</v>
      </c>
      <c r="E306" s="25" t="n">
        <f aca="false">A306/'Giả định'!$B$19*'Giả định'!$B$20+A306*'Giả định'!$B$23+'Giả định'!$B$24</f>
        <v>222588235.294118</v>
      </c>
      <c r="F306" s="25" t="n">
        <f aca="false">E306-D306</f>
        <v>-162219704.705882</v>
      </c>
      <c r="G306" s="25" t="n">
        <f aca="false">E306-C306</f>
        <v>-19274704.7058824</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241899680</v>
      </c>
      <c r="D307" s="25" t="n">
        <f aca="false">('Chi phí'!$C$77+'Chi phí'!$D$77*B307+'Chi phí'!$E$77*A307+'Giả định'!$B$15*('Chi phí'!$F$77+'Chi phí'!$G$77*B307+'Chi phí'!$H$77*A307))*(1+'Giả định'!$B$16)</f>
        <v>384844680</v>
      </c>
      <c r="E307" s="25" t="n">
        <f aca="false">A307/'Giả định'!$B$19*'Giả định'!$B$20+A307*'Giả định'!$B$23+'Giả định'!$B$24</f>
        <v>223327731.092437</v>
      </c>
      <c r="F307" s="25" t="n">
        <f aca="false">E307-D307</f>
        <v>-161516948.907563</v>
      </c>
      <c r="G307" s="25" t="n">
        <f aca="false">E307-C307</f>
        <v>-18571948.907563</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241936420</v>
      </c>
      <c r="D308" s="25" t="n">
        <f aca="false">('Chi phí'!$C$77+'Chi phí'!$D$77*B308+'Chi phí'!$E$77*A308+'Giả định'!$B$15*('Chi phí'!$F$77+'Chi phí'!$G$77*B308+'Chi phí'!$H$77*A308))*(1+'Giả định'!$B$16)</f>
        <v>384881420</v>
      </c>
      <c r="E308" s="25" t="n">
        <f aca="false">A308/'Giả định'!$B$19*'Giả định'!$B$20+A308*'Giả định'!$B$23+'Giả định'!$B$24</f>
        <v>224067226.890756</v>
      </c>
      <c r="F308" s="25" t="n">
        <f aca="false">E308-D308</f>
        <v>-160814193.109244</v>
      </c>
      <c r="G308" s="25" t="n">
        <f aca="false">E308-C308</f>
        <v>-17869193.1092437</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241973160</v>
      </c>
      <c r="D309" s="25" t="n">
        <f aca="false">('Chi phí'!$C$77+'Chi phí'!$D$77*B309+'Chi phí'!$E$77*A309+'Giả định'!$B$15*('Chi phí'!$F$77+'Chi phí'!$G$77*B309+'Chi phí'!$H$77*A309))*(1+'Giả định'!$B$16)</f>
        <v>384918160</v>
      </c>
      <c r="E309" s="25" t="n">
        <f aca="false">A309/'Giả định'!$B$19*'Giả định'!$B$20+A309*'Giả định'!$B$23+'Giả định'!$B$24</f>
        <v>224806722.689076</v>
      </c>
      <c r="F309" s="25" t="n">
        <f aca="false">E309-D309</f>
        <v>-160111437.310924</v>
      </c>
      <c r="G309" s="25" t="n">
        <f aca="false">E309-C309</f>
        <v>-17166437.3109244</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242009900</v>
      </c>
      <c r="D310" s="25" t="n">
        <f aca="false">('Chi phí'!$C$77+'Chi phí'!$D$77*B310+'Chi phí'!$E$77*A310+'Giả định'!$B$15*('Chi phí'!$F$77+'Chi phí'!$G$77*B310+'Chi phí'!$H$77*A310))*(1+'Giả định'!$B$16)</f>
        <v>384954900</v>
      </c>
      <c r="E310" s="25" t="n">
        <f aca="false">A310/'Giả định'!$B$19*'Giả định'!$B$20+A310*'Giả định'!$B$23+'Giả định'!$B$24</f>
        <v>225546218.487395</v>
      </c>
      <c r="F310" s="25" t="n">
        <f aca="false">E310-D310</f>
        <v>-159408681.512605</v>
      </c>
      <c r="G310" s="25" t="n">
        <f aca="false">E310-C310</f>
        <v>-16463681.5126051</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242046640</v>
      </c>
      <c r="D311" s="25" t="n">
        <f aca="false">('Chi phí'!$C$77+'Chi phí'!$D$77*B311+'Chi phí'!$E$77*A311+'Giả định'!$B$15*('Chi phí'!$F$77+'Chi phí'!$G$77*B311+'Chi phí'!$H$77*A311))*(1+'Giả định'!$B$16)</f>
        <v>384991640</v>
      </c>
      <c r="E311" s="25" t="n">
        <f aca="false">A311/'Giả định'!$B$19*'Giả định'!$B$20+A311*'Giả định'!$B$23+'Giả định'!$B$24</f>
        <v>226285714.285714</v>
      </c>
      <c r="F311" s="25" t="n">
        <f aca="false">E311-D311</f>
        <v>-158705925.714286</v>
      </c>
      <c r="G311" s="25" t="n">
        <f aca="false">E311-C311</f>
        <v>-15760925.7142857</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242083380</v>
      </c>
      <c r="D312" s="25" t="n">
        <f aca="false">('Chi phí'!$C$77+'Chi phí'!$D$77*B312+'Chi phí'!$E$77*A312+'Giả định'!$B$15*('Chi phí'!$F$77+'Chi phí'!$G$77*B312+'Chi phí'!$H$77*A312))*(1+'Giả định'!$B$16)</f>
        <v>385028380</v>
      </c>
      <c r="E312" s="25" t="n">
        <f aca="false">A312/'Giả định'!$B$19*'Giả định'!$B$20+A312*'Giả định'!$B$23+'Giả định'!$B$24</f>
        <v>227025210.084034</v>
      </c>
      <c r="F312" s="25" t="n">
        <f aca="false">E312-D312</f>
        <v>-158003169.915966</v>
      </c>
      <c r="G312" s="25" t="n">
        <f aca="false">E312-C312</f>
        <v>-15058169.9159664</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242120120</v>
      </c>
      <c r="D313" s="25" t="n">
        <f aca="false">('Chi phí'!$C$77+'Chi phí'!$D$77*B313+'Chi phí'!$E$77*A313+'Giả định'!$B$15*('Chi phí'!$F$77+'Chi phí'!$G$77*B313+'Chi phí'!$H$77*A313))*(1+'Giả định'!$B$16)</f>
        <v>385065120</v>
      </c>
      <c r="E313" s="25" t="n">
        <f aca="false">A313/'Giả định'!$B$19*'Giả định'!$B$20+A313*'Giả định'!$B$23+'Giả định'!$B$24</f>
        <v>227764705.882353</v>
      </c>
      <c r="F313" s="25" t="n">
        <f aca="false">E313-D313</f>
        <v>-157300414.117647</v>
      </c>
      <c r="G313" s="25" t="n">
        <f aca="false">E313-C313</f>
        <v>-14355414.1176471</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242156860</v>
      </c>
      <c r="D314" s="25" t="n">
        <f aca="false">('Chi phí'!$C$77+'Chi phí'!$D$77*B314+'Chi phí'!$E$77*A314+'Giả định'!$B$15*('Chi phí'!$F$77+'Chi phí'!$G$77*B314+'Chi phí'!$H$77*A314))*(1+'Giả định'!$B$16)</f>
        <v>385101860</v>
      </c>
      <c r="E314" s="25" t="n">
        <f aca="false">A314/'Giả định'!$B$19*'Giả định'!$B$20+A314*'Giả định'!$B$23+'Giả định'!$B$24</f>
        <v>228504201.680672</v>
      </c>
      <c r="F314" s="25" t="n">
        <f aca="false">E314-D314</f>
        <v>-156597658.319328</v>
      </c>
      <c r="G314" s="25" t="n">
        <f aca="false">E314-C314</f>
        <v>-13652658.3193277</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242193600</v>
      </c>
      <c r="D315" s="25" t="n">
        <f aca="false">('Chi phí'!$C$77+'Chi phí'!$D$77*B315+'Chi phí'!$E$77*A315+'Giả định'!$B$15*('Chi phí'!$F$77+'Chi phí'!$G$77*B315+'Chi phí'!$H$77*A315))*(1+'Giả định'!$B$16)</f>
        <v>385138600</v>
      </c>
      <c r="E315" s="25" t="n">
        <f aca="false">A315/'Giả định'!$B$19*'Giả định'!$B$20+A315*'Giả định'!$B$23+'Giả định'!$B$24</f>
        <v>229243697.478992</v>
      </c>
      <c r="F315" s="25" t="n">
        <f aca="false">E315-D315</f>
        <v>-155894902.521008</v>
      </c>
      <c r="G315" s="25" t="n">
        <f aca="false">E315-C315</f>
        <v>-12949902.5210084</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247615940</v>
      </c>
      <c r="D316" s="25" t="n">
        <f aca="false">('Chi phí'!$C$77+'Chi phí'!$D$77*B316+'Chi phí'!$E$77*A316+'Giả định'!$B$15*('Chi phí'!$F$77+'Chi phí'!$G$77*B316+'Chi phí'!$H$77*A316))*(1+'Giả định'!$B$16)</f>
        <v>390560940</v>
      </c>
      <c r="E316" s="25" t="n">
        <f aca="false">A316/'Giả định'!$B$19*'Giả định'!$B$20+A316*'Giả định'!$B$23+'Giả định'!$B$24</f>
        <v>229983193.277311</v>
      </c>
      <c r="F316" s="25" t="n">
        <f aca="false">E316-D316</f>
        <v>-160577746.722689</v>
      </c>
      <c r="G316" s="25" t="n">
        <f aca="false">E316-C316</f>
        <v>-17632746.7226891</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247652680</v>
      </c>
      <c r="D317" s="25" t="n">
        <f aca="false">('Chi phí'!$C$77+'Chi phí'!$D$77*B317+'Chi phí'!$E$77*A317+'Giả định'!$B$15*('Chi phí'!$F$77+'Chi phí'!$G$77*B317+'Chi phí'!$H$77*A317))*(1+'Giả định'!$B$16)</f>
        <v>390597680</v>
      </c>
      <c r="E317" s="25" t="n">
        <f aca="false">A317/'Giả định'!$B$19*'Giả định'!$B$20+A317*'Giả định'!$B$23+'Giả định'!$B$24</f>
        <v>230722689.07563</v>
      </c>
      <c r="F317" s="25" t="n">
        <f aca="false">E317-D317</f>
        <v>-159874990.92437</v>
      </c>
      <c r="G317" s="25" t="n">
        <f aca="false">E317-C317</f>
        <v>-16929990.9243698</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247689420</v>
      </c>
      <c r="D318" s="25" t="n">
        <f aca="false">('Chi phí'!$C$77+'Chi phí'!$D$77*B318+'Chi phí'!$E$77*A318+'Giả định'!$B$15*('Chi phí'!$F$77+'Chi phí'!$G$77*B318+'Chi phí'!$H$77*A318))*(1+'Giả định'!$B$16)</f>
        <v>390634420</v>
      </c>
      <c r="E318" s="25" t="n">
        <f aca="false">A318/'Giả định'!$B$19*'Giả định'!$B$20+A318*'Giả định'!$B$23+'Giả định'!$B$24</f>
        <v>231462184.87395</v>
      </c>
      <c r="F318" s="25" t="n">
        <f aca="false">E318-D318</f>
        <v>-159172235.12605</v>
      </c>
      <c r="G318" s="25" t="n">
        <f aca="false">E318-C318</f>
        <v>-16227235.1260504</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247726160</v>
      </c>
      <c r="D319" s="25" t="n">
        <f aca="false">('Chi phí'!$C$77+'Chi phí'!$D$77*B319+'Chi phí'!$E$77*A319+'Giả định'!$B$15*('Chi phí'!$F$77+'Chi phí'!$G$77*B319+'Chi phí'!$H$77*A319))*(1+'Giả định'!$B$16)</f>
        <v>390671160</v>
      </c>
      <c r="E319" s="25" t="n">
        <f aca="false">A319/'Giả định'!$B$19*'Giả định'!$B$20+A319*'Giả định'!$B$23+'Giả định'!$B$24</f>
        <v>232201680.672269</v>
      </c>
      <c r="F319" s="25" t="n">
        <f aca="false">E319-D319</f>
        <v>-158469479.327731</v>
      </c>
      <c r="G319" s="25" t="n">
        <f aca="false">E319-C319</f>
        <v>-15524479.3277311</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247762900</v>
      </c>
      <c r="D320" s="25" t="n">
        <f aca="false">('Chi phí'!$C$77+'Chi phí'!$D$77*B320+'Chi phí'!$E$77*A320+'Giả định'!$B$15*('Chi phí'!$F$77+'Chi phí'!$G$77*B320+'Chi phí'!$H$77*A320))*(1+'Giả định'!$B$16)</f>
        <v>390707900</v>
      </c>
      <c r="E320" s="25" t="n">
        <f aca="false">A320/'Giả định'!$B$19*'Giả định'!$B$20+A320*'Giả định'!$B$23+'Giả định'!$B$24</f>
        <v>232941176.470588</v>
      </c>
      <c r="F320" s="25" t="n">
        <f aca="false">E320-D320</f>
        <v>-157766723.529412</v>
      </c>
      <c r="G320" s="25" t="n">
        <f aca="false">E320-C320</f>
        <v>-14821723.5294118</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247799640</v>
      </c>
      <c r="D321" s="25" t="n">
        <f aca="false">('Chi phí'!$C$77+'Chi phí'!$D$77*B321+'Chi phí'!$E$77*A321+'Giả định'!$B$15*('Chi phí'!$F$77+'Chi phí'!$G$77*B321+'Chi phí'!$H$77*A321))*(1+'Giả định'!$B$16)</f>
        <v>390744640</v>
      </c>
      <c r="E321" s="25" t="n">
        <f aca="false">A321/'Giả định'!$B$19*'Giả định'!$B$20+A321*'Giả định'!$B$23+'Giả định'!$B$24</f>
        <v>233680672.268908</v>
      </c>
      <c r="F321" s="25" t="n">
        <f aca="false">E321-D321</f>
        <v>-157063967.731092</v>
      </c>
      <c r="G321" s="25" t="n">
        <f aca="false">E321-C321</f>
        <v>-14118967.7310925</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247836380</v>
      </c>
      <c r="D322" s="25" t="n">
        <f aca="false">('Chi phí'!$C$77+'Chi phí'!$D$77*B322+'Chi phí'!$E$77*A322+'Giả định'!$B$15*('Chi phí'!$F$77+'Chi phí'!$G$77*B322+'Chi phí'!$H$77*A322))*(1+'Giả định'!$B$16)</f>
        <v>390781380</v>
      </c>
      <c r="E322" s="25" t="n">
        <f aca="false">A322/'Giả định'!$B$19*'Giả định'!$B$20+A322*'Giả định'!$B$23+'Giả định'!$B$24</f>
        <v>234420168.067227</v>
      </c>
      <c r="F322" s="25" t="n">
        <f aca="false">E322-D322</f>
        <v>-156361211.932773</v>
      </c>
      <c r="G322" s="25" t="n">
        <f aca="false">E322-C322</f>
        <v>-13416211.9327731</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247873120</v>
      </c>
      <c r="D323" s="25" t="n">
        <f aca="false">('Chi phí'!$C$77+'Chi phí'!$D$77*B323+'Chi phí'!$E$77*A323+'Giả định'!$B$15*('Chi phí'!$F$77+'Chi phí'!$G$77*B323+'Chi phí'!$H$77*A323))*(1+'Giả định'!$B$16)</f>
        <v>390818120</v>
      </c>
      <c r="E323" s="25" t="n">
        <f aca="false">A323/'Giả định'!$B$19*'Giả định'!$B$20+A323*'Giả định'!$B$23+'Giả định'!$B$24</f>
        <v>235159663.865546</v>
      </c>
      <c r="F323" s="25" t="n">
        <f aca="false">E323-D323</f>
        <v>-155658456.134454</v>
      </c>
      <c r="G323" s="25" t="n">
        <f aca="false">E323-C323</f>
        <v>-12713456.1344538</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247909860</v>
      </c>
      <c r="D324" s="25" t="n">
        <f aca="false">('Chi phí'!$C$77+'Chi phí'!$D$77*B324+'Chi phí'!$E$77*A324+'Giả định'!$B$15*('Chi phí'!$F$77+'Chi phí'!$G$77*B324+'Chi phí'!$H$77*A324))*(1+'Giả định'!$B$16)</f>
        <v>390854860</v>
      </c>
      <c r="E324" s="25" t="n">
        <f aca="false">A324/'Giả định'!$B$19*'Giả định'!$B$20+A324*'Giả định'!$B$23+'Giả định'!$B$24</f>
        <v>235899159.663866</v>
      </c>
      <c r="F324" s="25" t="n">
        <f aca="false">E324-D324</f>
        <v>-154955700.336135</v>
      </c>
      <c r="G324" s="25" t="n">
        <f aca="false">E324-C324</f>
        <v>-12010700.3361345</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247946600</v>
      </c>
      <c r="D325" s="25" t="n">
        <f aca="false">('Chi phí'!$C$77+'Chi phí'!$D$77*B325+'Chi phí'!$E$77*A325+'Giả định'!$B$15*('Chi phí'!$F$77+'Chi phí'!$G$77*B325+'Chi phí'!$H$77*A325))*(1+'Giả định'!$B$16)</f>
        <v>390891600</v>
      </c>
      <c r="E325" s="25" t="n">
        <f aca="false">A325/'Giả định'!$B$19*'Giả định'!$B$20+A325*'Giả định'!$B$23+'Giả định'!$B$24</f>
        <v>236638655.462185</v>
      </c>
      <c r="F325" s="25" t="n">
        <f aca="false">E325-D325</f>
        <v>-154252944.537815</v>
      </c>
      <c r="G325" s="25" t="n">
        <f aca="false">E325-C325</f>
        <v>-11307944.5378151</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253368940</v>
      </c>
      <c r="D326" s="25" t="n">
        <f aca="false">('Chi phí'!$C$77+'Chi phí'!$D$77*B326+'Chi phí'!$E$77*A326+'Giả định'!$B$15*('Chi phí'!$F$77+'Chi phí'!$G$77*B326+'Chi phí'!$H$77*A326))*(1+'Giả định'!$B$16)</f>
        <v>396313940</v>
      </c>
      <c r="E326" s="25" t="n">
        <f aca="false">A326/'Giả định'!$B$19*'Giả định'!$B$20+A326*'Giả định'!$B$23+'Giả định'!$B$24</f>
        <v>237378151.260504</v>
      </c>
      <c r="F326" s="25" t="n">
        <f aca="false">E326-D326</f>
        <v>-158935788.739496</v>
      </c>
      <c r="G326" s="25" t="n">
        <f aca="false">E326-C326</f>
        <v>-15990788.7394958</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253405680</v>
      </c>
      <c r="D327" s="25" t="n">
        <f aca="false">('Chi phí'!$C$77+'Chi phí'!$D$77*B327+'Chi phí'!$E$77*A327+'Giả định'!$B$15*('Chi phí'!$F$77+'Chi phí'!$G$77*B327+'Chi phí'!$H$77*A327))*(1+'Giả định'!$B$16)</f>
        <v>396350680</v>
      </c>
      <c r="E327" s="25" t="n">
        <f aca="false">A327/'Giả định'!$B$19*'Giả định'!$B$20+A327*'Giả định'!$B$23+'Giả định'!$B$24</f>
        <v>238117647.058824</v>
      </c>
      <c r="F327" s="25" t="n">
        <f aca="false">E327-D327</f>
        <v>-158233032.941177</v>
      </c>
      <c r="G327" s="25" t="n">
        <f aca="false">E327-C327</f>
        <v>-15288032.9411765</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253442420</v>
      </c>
      <c r="D328" s="25" t="n">
        <f aca="false">('Chi phí'!$C$77+'Chi phí'!$D$77*B328+'Chi phí'!$E$77*A328+'Giả định'!$B$15*('Chi phí'!$F$77+'Chi phí'!$G$77*B328+'Chi phí'!$H$77*A328))*(1+'Giả định'!$B$16)</f>
        <v>396387420</v>
      </c>
      <c r="E328" s="25" t="n">
        <f aca="false">A328/'Giả định'!$B$19*'Giả định'!$B$20+A328*'Giả định'!$B$23+'Giả định'!$B$24</f>
        <v>238857142.857143</v>
      </c>
      <c r="F328" s="25" t="n">
        <f aca="false">E328-D328</f>
        <v>-157530277.142857</v>
      </c>
      <c r="G328" s="25" t="n">
        <f aca="false">E328-C328</f>
        <v>-14585277.1428572</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253479160</v>
      </c>
      <c r="D329" s="25" t="n">
        <f aca="false">('Chi phí'!$C$77+'Chi phí'!$D$77*B329+'Chi phí'!$E$77*A329+'Giả định'!$B$15*('Chi phí'!$F$77+'Chi phí'!$G$77*B329+'Chi phí'!$H$77*A329))*(1+'Giả định'!$B$16)</f>
        <v>396424160</v>
      </c>
      <c r="E329" s="25" t="n">
        <f aca="false">A329/'Giả định'!$B$19*'Giả định'!$B$20+A329*'Giả định'!$B$23+'Giả định'!$B$24</f>
        <v>239596638.655462</v>
      </c>
      <c r="F329" s="25" t="n">
        <f aca="false">E329-D329</f>
        <v>-156827521.344538</v>
      </c>
      <c r="G329" s="25" t="n">
        <f aca="false">E329-C329</f>
        <v>-13882521.3445378</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253515900</v>
      </c>
      <c r="D330" s="25" t="n">
        <f aca="false">('Chi phí'!$C$77+'Chi phí'!$D$77*B330+'Chi phí'!$E$77*A330+'Giả định'!$B$15*('Chi phí'!$F$77+'Chi phí'!$G$77*B330+'Chi phí'!$H$77*A330))*(1+'Giả định'!$B$16)</f>
        <v>396460900</v>
      </c>
      <c r="E330" s="25" t="n">
        <f aca="false">A330/'Giả định'!$B$19*'Giả định'!$B$20+A330*'Giả định'!$B$23+'Giả định'!$B$24</f>
        <v>240336134.453782</v>
      </c>
      <c r="F330" s="25" t="n">
        <f aca="false">E330-D330</f>
        <v>-156124765.546219</v>
      </c>
      <c r="G330" s="25" t="n">
        <f aca="false">E330-C330</f>
        <v>-13179765.5462185</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253552640</v>
      </c>
      <c r="D331" s="25" t="n">
        <f aca="false">('Chi phí'!$C$77+'Chi phí'!$D$77*B331+'Chi phí'!$E$77*A331+'Giả định'!$B$15*('Chi phí'!$F$77+'Chi phí'!$G$77*B331+'Chi phí'!$H$77*A331))*(1+'Giả định'!$B$16)</f>
        <v>396497640</v>
      </c>
      <c r="E331" s="25" t="n">
        <f aca="false">A331/'Giả định'!$B$19*'Giả định'!$B$20+A331*'Giả định'!$B$23+'Giả định'!$B$24</f>
        <v>241075630.252101</v>
      </c>
      <c r="F331" s="25" t="n">
        <f aca="false">E331-D331</f>
        <v>-155422009.747899</v>
      </c>
      <c r="G331" s="25" t="n">
        <f aca="false">E331-C331</f>
        <v>-12477009.7478992</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253589380</v>
      </c>
      <c r="D332" s="25" t="n">
        <f aca="false">('Chi phí'!$C$77+'Chi phí'!$D$77*B332+'Chi phí'!$E$77*A332+'Giả định'!$B$15*('Chi phí'!$F$77+'Chi phí'!$G$77*B332+'Chi phí'!$H$77*A332))*(1+'Giả định'!$B$16)</f>
        <v>396534380</v>
      </c>
      <c r="E332" s="25" t="n">
        <f aca="false">A332/'Giả định'!$B$19*'Giả định'!$B$20+A332*'Giả định'!$B$23+'Giả định'!$B$24</f>
        <v>241815126.05042</v>
      </c>
      <c r="F332" s="25" t="n">
        <f aca="false">E332-D332</f>
        <v>-154719253.94958</v>
      </c>
      <c r="G332" s="25" t="n">
        <f aca="false">E332-C332</f>
        <v>-11774253.9495798</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253626120</v>
      </c>
      <c r="D333" s="25" t="n">
        <f aca="false">('Chi phí'!$C$77+'Chi phí'!$D$77*B333+'Chi phí'!$E$77*A333+'Giả định'!$B$15*('Chi phí'!$F$77+'Chi phí'!$G$77*B333+'Chi phí'!$H$77*A333))*(1+'Giả định'!$B$16)</f>
        <v>396571120</v>
      </c>
      <c r="E333" s="25" t="n">
        <f aca="false">A333/'Giả định'!$B$19*'Giả định'!$B$20+A333*'Giả định'!$B$23+'Giả định'!$B$24</f>
        <v>242554621.84874</v>
      </c>
      <c r="F333" s="25" t="n">
        <f aca="false">E333-D333</f>
        <v>-154016498.151261</v>
      </c>
      <c r="G333" s="25" t="n">
        <f aca="false">E333-C333</f>
        <v>-11071498.1512605</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253662860</v>
      </c>
      <c r="D334" s="25" t="n">
        <f aca="false">('Chi phí'!$C$77+'Chi phí'!$D$77*B334+'Chi phí'!$E$77*A334+'Giả định'!$B$15*('Chi phí'!$F$77+'Chi phí'!$G$77*B334+'Chi phí'!$H$77*A334))*(1+'Giả định'!$B$16)</f>
        <v>396607860</v>
      </c>
      <c r="E334" s="25" t="n">
        <f aca="false">A334/'Giả định'!$B$19*'Giả định'!$B$20+A334*'Giả định'!$B$23+'Giả định'!$B$24</f>
        <v>243294117.647059</v>
      </c>
      <c r="F334" s="25" t="n">
        <f aca="false">E334-D334</f>
        <v>-153313742.352941</v>
      </c>
      <c r="G334" s="25" t="n">
        <f aca="false">E334-C334</f>
        <v>-10368742.3529412</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253699600</v>
      </c>
      <c r="D335" s="25" t="n">
        <f aca="false">('Chi phí'!$C$77+'Chi phí'!$D$77*B335+'Chi phí'!$E$77*A335+'Giả định'!$B$15*('Chi phí'!$F$77+'Chi phí'!$G$77*B335+'Chi phí'!$H$77*A335))*(1+'Giả định'!$B$16)</f>
        <v>396644600</v>
      </c>
      <c r="E335" s="25" t="n">
        <f aca="false">A335/'Giả định'!$B$19*'Giả định'!$B$20+A335*'Giả định'!$B$23+'Giả định'!$B$24</f>
        <v>244033613.445378</v>
      </c>
      <c r="F335" s="25" t="n">
        <f aca="false">E335-D335</f>
        <v>-152610986.554622</v>
      </c>
      <c r="G335" s="25" t="n">
        <f aca="false">E335-C335</f>
        <v>-9665986.55462185</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259121940</v>
      </c>
      <c r="D336" s="25" t="n">
        <f aca="false">('Chi phí'!$C$77+'Chi phí'!$D$77*B336+'Chi phí'!$E$77*A336+'Giả định'!$B$15*('Chi phí'!$F$77+'Chi phí'!$G$77*B336+'Chi phí'!$H$77*A336))*(1+'Giả định'!$B$16)</f>
        <v>402066940</v>
      </c>
      <c r="E336" s="25" t="n">
        <f aca="false">A336/'Giả định'!$B$19*'Giả định'!$B$20+A336*'Giả định'!$B$23+'Giả định'!$B$24</f>
        <v>244773109.243698</v>
      </c>
      <c r="F336" s="25" t="n">
        <f aca="false">E336-D336</f>
        <v>-157293830.756303</v>
      </c>
      <c r="G336" s="25" t="n">
        <f aca="false">E336-C336</f>
        <v>-14348830.7563025</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259158680</v>
      </c>
      <c r="D337" s="25" t="n">
        <f aca="false">('Chi phí'!$C$77+'Chi phí'!$D$77*B337+'Chi phí'!$E$77*A337+'Giả định'!$B$15*('Chi phí'!$F$77+'Chi phí'!$G$77*B337+'Chi phí'!$H$77*A337))*(1+'Giả định'!$B$16)</f>
        <v>402103680</v>
      </c>
      <c r="E337" s="25" t="n">
        <f aca="false">A337/'Giả định'!$B$19*'Giả định'!$B$20+A337*'Giả định'!$B$23+'Giả định'!$B$24</f>
        <v>245512605.042017</v>
      </c>
      <c r="F337" s="25" t="n">
        <f aca="false">E337-D337</f>
        <v>-156591074.957983</v>
      </c>
      <c r="G337" s="25" t="n">
        <f aca="false">E337-C337</f>
        <v>-13646074.9579832</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259195420</v>
      </c>
      <c r="D338" s="25" t="n">
        <f aca="false">('Chi phí'!$C$77+'Chi phí'!$D$77*B338+'Chi phí'!$E$77*A338+'Giả định'!$B$15*('Chi phí'!$F$77+'Chi phí'!$G$77*B338+'Chi phí'!$H$77*A338))*(1+'Giả định'!$B$16)</f>
        <v>402140420</v>
      </c>
      <c r="E338" s="25" t="n">
        <f aca="false">A338/'Giả định'!$B$19*'Giả định'!$B$20+A338*'Giả định'!$B$23+'Giả định'!$B$24</f>
        <v>246252100.840336</v>
      </c>
      <c r="F338" s="25" t="n">
        <f aca="false">E338-D338</f>
        <v>-155888319.159664</v>
      </c>
      <c r="G338" s="25" t="n">
        <f aca="false">E338-C338</f>
        <v>-12943319.1596639</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259232160</v>
      </c>
      <c r="D339" s="25" t="n">
        <f aca="false">('Chi phí'!$C$77+'Chi phí'!$D$77*B339+'Chi phí'!$E$77*A339+'Giả định'!$B$15*('Chi phí'!$F$77+'Chi phí'!$G$77*B339+'Chi phí'!$H$77*A339))*(1+'Giả định'!$B$16)</f>
        <v>402177160</v>
      </c>
      <c r="E339" s="25" t="n">
        <f aca="false">A339/'Giả định'!$B$19*'Giả định'!$B$20+A339*'Giả định'!$B$23+'Giả định'!$B$24</f>
        <v>246991596.638655</v>
      </c>
      <c r="F339" s="25" t="n">
        <f aca="false">E339-D339</f>
        <v>-155185563.361345</v>
      </c>
      <c r="G339" s="25" t="n">
        <f aca="false">E339-C339</f>
        <v>-12240563.3613445</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259268900</v>
      </c>
      <c r="D340" s="25" t="n">
        <f aca="false">('Chi phí'!$C$77+'Chi phí'!$D$77*B340+'Chi phí'!$E$77*A340+'Giả định'!$B$15*('Chi phí'!$F$77+'Chi phí'!$G$77*B340+'Chi phí'!$H$77*A340))*(1+'Giả định'!$B$16)</f>
        <v>402213900</v>
      </c>
      <c r="E340" s="25" t="n">
        <f aca="false">A340/'Giả định'!$B$19*'Giả định'!$B$20+A340*'Giả định'!$B$23+'Giả định'!$B$24</f>
        <v>247731092.436975</v>
      </c>
      <c r="F340" s="25" t="n">
        <f aca="false">E340-D340</f>
        <v>-154482807.563025</v>
      </c>
      <c r="G340" s="25" t="n">
        <f aca="false">E340-C340</f>
        <v>-11537807.5630252</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259305640</v>
      </c>
      <c r="D341" s="25" t="n">
        <f aca="false">('Chi phí'!$C$77+'Chi phí'!$D$77*B341+'Chi phí'!$E$77*A341+'Giả định'!$B$15*('Chi phí'!$F$77+'Chi phí'!$G$77*B341+'Chi phí'!$H$77*A341))*(1+'Giả định'!$B$16)</f>
        <v>402250640</v>
      </c>
      <c r="E341" s="25" t="n">
        <f aca="false">A341/'Giả định'!$B$19*'Giả định'!$B$20+A341*'Giả định'!$B$23+'Giả định'!$B$24</f>
        <v>248470588.235294</v>
      </c>
      <c r="F341" s="25" t="n">
        <f aca="false">E341-D341</f>
        <v>-153780051.764706</v>
      </c>
      <c r="G341" s="25" t="n">
        <f aca="false">E341-C341</f>
        <v>-10835051.7647059</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259342380</v>
      </c>
      <c r="D342" s="25" t="n">
        <f aca="false">('Chi phí'!$C$77+'Chi phí'!$D$77*B342+'Chi phí'!$E$77*A342+'Giả định'!$B$15*('Chi phí'!$F$77+'Chi phí'!$G$77*B342+'Chi phí'!$H$77*A342))*(1+'Giả định'!$B$16)</f>
        <v>402287380</v>
      </c>
      <c r="E342" s="25" t="n">
        <f aca="false">A342/'Giả định'!$B$19*'Giả định'!$B$20+A342*'Giả định'!$B$23+'Giả định'!$B$24</f>
        <v>249210084.033613</v>
      </c>
      <c r="F342" s="25" t="n">
        <f aca="false">E342-D342</f>
        <v>-153077295.966387</v>
      </c>
      <c r="G342" s="25" t="n">
        <f aca="false">E342-C342</f>
        <v>-10132295.9663866</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259379120</v>
      </c>
      <c r="D343" s="25" t="n">
        <f aca="false">('Chi phí'!$C$77+'Chi phí'!$D$77*B343+'Chi phí'!$E$77*A343+'Giả định'!$B$15*('Chi phí'!$F$77+'Chi phí'!$G$77*B343+'Chi phí'!$H$77*A343))*(1+'Giả định'!$B$16)</f>
        <v>402324120</v>
      </c>
      <c r="E343" s="25" t="n">
        <f aca="false">A343/'Giả định'!$B$19*'Giả định'!$B$20+A343*'Giả định'!$B$23+'Giả định'!$B$24</f>
        <v>249949579.831933</v>
      </c>
      <c r="F343" s="25" t="n">
        <f aca="false">E343-D343</f>
        <v>-152374540.168067</v>
      </c>
      <c r="G343" s="25" t="n">
        <f aca="false">E343-C343</f>
        <v>-9429540.16806725</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259415860</v>
      </c>
      <c r="D344" s="25" t="n">
        <f aca="false">('Chi phí'!$C$77+'Chi phí'!$D$77*B344+'Chi phí'!$E$77*A344+'Giả định'!$B$15*('Chi phí'!$F$77+'Chi phí'!$G$77*B344+'Chi phí'!$H$77*A344))*(1+'Giả định'!$B$16)</f>
        <v>402360860</v>
      </c>
      <c r="E344" s="25" t="n">
        <f aca="false">A344/'Giả định'!$B$19*'Giả định'!$B$20+A344*'Giả định'!$B$23+'Giả định'!$B$24</f>
        <v>250689075.630252</v>
      </c>
      <c r="F344" s="25" t="n">
        <f aca="false">E344-D344</f>
        <v>-151671784.369748</v>
      </c>
      <c r="G344" s="25" t="n">
        <f aca="false">E344-C344</f>
        <v>-8726784.36974791</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259452600</v>
      </c>
      <c r="D345" s="25" t="n">
        <f aca="false">('Chi phí'!$C$77+'Chi phí'!$D$77*B345+'Chi phí'!$E$77*A345+'Giả định'!$B$15*('Chi phí'!$F$77+'Chi phí'!$G$77*B345+'Chi phí'!$H$77*A345))*(1+'Giả định'!$B$16)</f>
        <v>402397600</v>
      </c>
      <c r="E345" s="25" t="n">
        <f aca="false">A345/'Giả định'!$B$19*'Giả định'!$B$20+A345*'Giả định'!$B$23+'Giả định'!$B$24</f>
        <v>251428571.428571</v>
      </c>
      <c r="F345" s="25" t="n">
        <f aca="false">E345-D345</f>
        <v>-150969028.571429</v>
      </c>
      <c r="G345" s="25" t="n">
        <f aca="false">E345-C345</f>
        <v>-8024028.5714286</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264874940</v>
      </c>
      <c r="D346" s="25" t="n">
        <f aca="false">('Chi phí'!$C$77+'Chi phí'!$D$77*B346+'Chi phí'!$E$77*A346+'Giả định'!$B$15*('Chi phí'!$F$77+'Chi phí'!$G$77*B346+'Chi phí'!$H$77*A346))*(1+'Giả định'!$B$16)</f>
        <v>407819940</v>
      </c>
      <c r="E346" s="25" t="n">
        <f aca="false">A346/'Giả định'!$B$19*'Giả định'!$B$20+A346*'Giả định'!$B$23+'Giả định'!$B$24</f>
        <v>252168067.226891</v>
      </c>
      <c r="F346" s="25" t="n">
        <f aca="false">E346-D346</f>
        <v>-155651872.773109</v>
      </c>
      <c r="G346" s="25" t="n">
        <f aca="false">E346-C346</f>
        <v>-12706872.7731093</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264911680</v>
      </c>
      <c r="D347" s="25" t="n">
        <f aca="false">('Chi phí'!$C$77+'Chi phí'!$D$77*B347+'Chi phí'!$E$77*A347+'Giả định'!$B$15*('Chi phí'!$F$77+'Chi phí'!$G$77*B347+'Chi phí'!$H$77*A347))*(1+'Giả định'!$B$16)</f>
        <v>407856680</v>
      </c>
      <c r="E347" s="25" t="n">
        <f aca="false">A347/'Giả định'!$B$19*'Giả định'!$B$20+A347*'Giả định'!$B$23+'Giả định'!$B$24</f>
        <v>252907563.02521</v>
      </c>
      <c r="F347" s="25" t="n">
        <f aca="false">E347-D347</f>
        <v>-154949116.97479</v>
      </c>
      <c r="G347" s="25" t="n">
        <f aca="false">E347-C347</f>
        <v>-12004116.9747899</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264948420</v>
      </c>
      <c r="D348" s="25" t="n">
        <f aca="false">('Chi phí'!$C$77+'Chi phí'!$D$77*B348+'Chi phí'!$E$77*A348+'Giả định'!$B$15*('Chi phí'!$F$77+'Chi phí'!$G$77*B348+'Chi phí'!$H$77*A348))*(1+'Giả định'!$B$16)</f>
        <v>407893420</v>
      </c>
      <c r="E348" s="25" t="n">
        <f aca="false">A348/'Giả định'!$B$19*'Giả định'!$B$20+A348*'Giả định'!$B$23+'Giả định'!$B$24</f>
        <v>253647058.823529</v>
      </c>
      <c r="F348" s="25" t="n">
        <f aca="false">E348-D348</f>
        <v>-154246361.176471</v>
      </c>
      <c r="G348" s="25" t="n">
        <f aca="false">E348-C348</f>
        <v>-11301361.1764706</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264985160</v>
      </c>
      <c r="D349" s="25" t="n">
        <f aca="false">('Chi phí'!$C$77+'Chi phí'!$D$77*B349+'Chi phí'!$E$77*A349+'Giả định'!$B$15*('Chi phí'!$F$77+'Chi phí'!$G$77*B349+'Chi phí'!$H$77*A349))*(1+'Giả định'!$B$16)</f>
        <v>407930160</v>
      </c>
      <c r="E349" s="25" t="n">
        <f aca="false">A349/'Giả định'!$B$19*'Giả định'!$B$20+A349*'Giả định'!$B$23+'Giả định'!$B$24</f>
        <v>254386554.621849</v>
      </c>
      <c r="F349" s="25" t="n">
        <f aca="false">E349-D349</f>
        <v>-153543605.378151</v>
      </c>
      <c r="G349" s="25" t="n">
        <f aca="false">E349-C349</f>
        <v>-10598605.3781513</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265021900</v>
      </c>
      <c r="D350" s="25" t="n">
        <f aca="false">('Chi phí'!$C$77+'Chi phí'!$D$77*B350+'Chi phí'!$E$77*A350+'Giả định'!$B$15*('Chi phí'!$F$77+'Chi phí'!$G$77*B350+'Chi phí'!$H$77*A350))*(1+'Giả định'!$B$16)</f>
        <v>407966900</v>
      </c>
      <c r="E350" s="25" t="n">
        <f aca="false">A350/'Giả định'!$B$19*'Giả định'!$B$20+A350*'Giả định'!$B$23+'Giả định'!$B$24</f>
        <v>255126050.420168</v>
      </c>
      <c r="F350" s="25" t="n">
        <f aca="false">E350-D350</f>
        <v>-152840849.579832</v>
      </c>
      <c r="G350" s="25" t="n">
        <f aca="false">E350-C350</f>
        <v>-9895849.57983196</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265058640</v>
      </c>
      <c r="D351" s="25" t="n">
        <f aca="false">('Chi phí'!$C$77+'Chi phí'!$D$77*B351+'Chi phí'!$E$77*A351+'Giả định'!$B$15*('Chi phí'!$F$77+'Chi phí'!$G$77*B351+'Chi phí'!$H$77*A351))*(1+'Giả định'!$B$16)</f>
        <v>408003640</v>
      </c>
      <c r="E351" s="25" t="n">
        <f aca="false">A351/'Giả định'!$B$19*'Giả định'!$B$20+A351*'Giả định'!$B$23+'Giả định'!$B$24</f>
        <v>255865546.218487</v>
      </c>
      <c r="F351" s="25" t="n">
        <f aca="false">E351-D351</f>
        <v>-152138093.781513</v>
      </c>
      <c r="G351" s="25" t="n">
        <f aca="false">E351-C351</f>
        <v>-9193093.78151262</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265095380</v>
      </c>
      <c r="D352" s="25" t="n">
        <f aca="false">('Chi phí'!$C$77+'Chi phí'!$D$77*B352+'Chi phí'!$E$77*A352+'Giả định'!$B$15*('Chi phí'!$F$77+'Chi phí'!$G$77*B352+'Chi phí'!$H$77*A352))*(1+'Giả định'!$B$16)</f>
        <v>408040380</v>
      </c>
      <c r="E352" s="25" t="n">
        <f aca="false">A352/'Giả định'!$B$19*'Giả định'!$B$20+A352*'Giả định'!$B$23+'Giả định'!$B$24</f>
        <v>256605042.016807</v>
      </c>
      <c r="F352" s="25" t="n">
        <f aca="false">E352-D352</f>
        <v>-151435337.983193</v>
      </c>
      <c r="G352" s="25" t="n">
        <f aca="false">E352-C352</f>
        <v>-8490337.98319331</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265132120</v>
      </c>
      <c r="D353" s="25" t="n">
        <f aca="false">('Chi phí'!$C$77+'Chi phí'!$D$77*B353+'Chi phí'!$E$77*A353+'Giả định'!$B$15*('Chi phí'!$F$77+'Chi phí'!$G$77*B353+'Chi phí'!$H$77*A353))*(1+'Giả định'!$B$16)</f>
        <v>408077120</v>
      </c>
      <c r="E353" s="25" t="n">
        <f aca="false">A353/'Giả định'!$B$19*'Giả định'!$B$20+A353*'Giả định'!$B$23+'Giả định'!$B$24</f>
        <v>257344537.815126</v>
      </c>
      <c r="F353" s="25" t="n">
        <f aca="false">E353-D353</f>
        <v>-150732582.184874</v>
      </c>
      <c r="G353" s="25" t="n">
        <f aca="false">E353-C353</f>
        <v>-7787582.18487394</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265168860</v>
      </c>
      <c r="D354" s="25" t="n">
        <f aca="false">('Chi phí'!$C$77+'Chi phí'!$D$77*B354+'Chi phí'!$E$77*A354+'Giả định'!$B$15*('Chi phí'!$F$77+'Chi phí'!$G$77*B354+'Chi phí'!$H$77*A354))*(1+'Giả định'!$B$16)</f>
        <v>408113860</v>
      </c>
      <c r="E354" s="25" t="n">
        <f aca="false">A354/'Giả định'!$B$19*'Giả định'!$B$20+A354*'Giả định'!$B$23+'Giả định'!$B$24</f>
        <v>258084033.613445</v>
      </c>
      <c r="F354" s="25" t="n">
        <f aca="false">E354-D354</f>
        <v>-150029826.386555</v>
      </c>
      <c r="G354" s="25" t="n">
        <f aca="false">E354-C354</f>
        <v>-7084826.38655463</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265205600</v>
      </c>
      <c r="D355" s="25" t="n">
        <f aca="false">('Chi phí'!$C$77+'Chi phí'!$D$77*B355+'Chi phí'!$E$77*A355+'Giả định'!$B$15*('Chi phí'!$F$77+'Chi phí'!$G$77*B355+'Chi phí'!$H$77*A355))*(1+'Giả định'!$B$16)</f>
        <v>408150600</v>
      </c>
      <c r="E355" s="25" t="n">
        <f aca="false">A355/'Giả định'!$B$19*'Giả định'!$B$20+A355*'Giả định'!$B$23+'Giả định'!$B$24</f>
        <v>258823529.411765</v>
      </c>
      <c r="F355" s="25" t="n">
        <f aca="false">E355-D355</f>
        <v>-149327070.588235</v>
      </c>
      <c r="G355" s="25" t="n">
        <f aca="false">E355-C355</f>
        <v>-6382070.58823529</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270627940</v>
      </c>
      <c r="D356" s="25" t="n">
        <f aca="false">('Chi phí'!$C$77+'Chi phí'!$D$77*B356+'Chi phí'!$E$77*A356+'Giả định'!$B$15*('Chi phí'!$F$77+'Chi phí'!$G$77*B356+'Chi phí'!$H$77*A356))*(1+'Giả định'!$B$16)</f>
        <v>413572940</v>
      </c>
      <c r="E356" s="25" t="n">
        <f aca="false">A356/'Giả định'!$B$19*'Giả định'!$B$20+A356*'Giả định'!$B$23+'Giả định'!$B$24</f>
        <v>259563025.210084</v>
      </c>
      <c r="F356" s="25" t="n">
        <f aca="false">E356-D356</f>
        <v>-154009914.789916</v>
      </c>
      <c r="G356" s="25" t="n">
        <f aca="false">E356-C356</f>
        <v>-11064914.789916</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270664680</v>
      </c>
      <c r="D357" s="25" t="n">
        <f aca="false">('Chi phí'!$C$77+'Chi phí'!$D$77*B357+'Chi phí'!$E$77*A357+'Giả định'!$B$15*('Chi phí'!$F$77+'Chi phí'!$G$77*B357+'Chi phí'!$H$77*A357))*(1+'Giả định'!$B$16)</f>
        <v>413609680</v>
      </c>
      <c r="E357" s="25" t="n">
        <f aca="false">A357/'Giả định'!$B$19*'Giả định'!$B$20+A357*'Giả định'!$B$23+'Giả định'!$B$24</f>
        <v>260302521.008403</v>
      </c>
      <c r="F357" s="25" t="n">
        <f aca="false">E357-D357</f>
        <v>-153307158.991597</v>
      </c>
      <c r="G357" s="25" t="n">
        <f aca="false">E357-C357</f>
        <v>-10362158.9915966</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270701420</v>
      </c>
      <c r="D358" s="25" t="n">
        <f aca="false">('Chi phí'!$C$77+'Chi phí'!$D$77*B358+'Chi phí'!$E$77*A358+'Giả định'!$B$15*('Chi phí'!$F$77+'Chi phí'!$G$77*B358+'Chi phí'!$H$77*A358))*(1+'Giả định'!$B$16)</f>
        <v>413646420</v>
      </c>
      <c r="E358" s="25" t="n">
        <f aca="false">A358/'Giả định'!$B$19*'Giả định'!$B$20+A358*'Giả định'!$B$23+'Giả định'!$B$24</f>
        <v>261042016.806723</v>
      </c>
      <c r="F358" s="25" t="n">
        <f aca="false">E358-D358</f>
        <v>-152604403.193277</v>
      </c>
      <c r="G358" s="25" t="n">
        <f aca="false">E358-C358</f>
        <v>-9659403.1932773</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270738160</v>
      </c>
      <c r="D359" s="25" t="n">
        <f aca="false">('Chi phí'!$C$77+'Chi phí'!$D$77*B359+'Chi phí'!$E$77*A359+'Giả định'!$B$15*('Chi phí'!$F$77+'Chi phí'!$G$77*B359+'Chi phí'!$H$77*A359))*(1+'Giả định'!$B$16)</f>
        <v>413683160</v>
      </c>
      <c r="E359" s="25" t="n">
        <f aca="false">A359/'Giả định'!$B$19*'Giả định'!$B$20+A359*'Giả định'!$B$23+'Giả định'!$B$24</f>
        <v>261781512.605042</v>
      </c>
      <c r="F359" s="25" t="n">
        <f aca="false">E359-D359</f>
        <v>-151901647.394958</v>
      </c>
      <c r="G359" s="25" t="n">
        <f aca="false">E359-C359</f>
        <v>-8956647.39495796</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270774900</v>
      </c>
      <c r="D360" s="25" t="n">
        <f aca="false">('Chi phí'!$C$77+'Chi phí'!$D$77*B360+'Chi phí'!$E$77*A360+'Giả định'!$B$15*('Chi phí'!$F$77+'Chi phí'!$G$77*B360+'Chi phí'!$H$77*A360))*(1+'Giả định'!$B$16)</f>
        <v>413719900</v>
      </c>
      <c r="E360" s="25" t="n">
        <f aca="false">A360/'Giả định'!$B$19*'Giả định'!$B$20+A360*'Giả định'!$B$23+'Giả định'!$B$24</f>
        <v>262521008.403361</v>
      </c>
      <c r="F360" s="25" t="n">
        <f aca="false">E360-D360</f>
        <v>-151198891.596639</v>
      </c>
      <c r="G360" s="25" t="n">
        <f aca="false">E360-C360</f>
        <v>-8253891.59663862</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270811640</v>
      </c>
      <c r="D361" s="25" t="n">
        <f aca="false">('Chi phí'!$C$77+'Chi phí'!$D$77*B361+'Chi phí'!$E$77*A361+'Giả định'!$B$15*('Chi phí'!$F$77+'Chi phí'!$G$77*B361+'Chi phí'!$H$77*A361))*(1+'Giả định'!$B$16)</f>
        <v>413756640</v>
      </c>
      <c r="E361" s="25" t="n">
        <f aca="false">A361/'Giả định'!$B$19*'Giả định'!$B$20+A361*'Giả định'!$B$23+'Giả định'!$B$24</f>
        <v>263260504.201681</v>
      </c>
      <c r="F361" s="25" t="n">
        <f aca="false">E361-D361</f>
        <v>-150496135.798319</v>
      </c>
      <c r="G361" s="25" t="n">
        <f aca="false">E361-C361</f>
        <v>-7551135.79831931</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270848380</v>
      </c>
      <c r="D362" s="25" t="n">
        <f aca="false">('Chi phí'!$C$77+'Chi phí'!$D$77*B362+'Chi phí'!$E$77*A362+'Giả định'!$B$15*('Chi phí'!$F$77+'Chi phí'!$G$77*B362+'Chi phí'!$H$77*A362))*(1+'Giả định'!$B$16)</f>
        <v>413793380</v>
      </c>
      <c r="E362" s="25" t="n">
        <f aca="false">A362/'Giả định'!$B$19*'Giả định'!$B$20+A362*'Giả định'!$B$23+'Giả định'!$B$24</f>
        <v>264000000</v>
      </c>
      <c r="F362" s="25" t="n">
        <f aca="false">E362-D362</f>
        <v>-149793380</v>
      </c>
      <c r="G362" s="25" t="n">
        <f aca="false">E362-C362</f>
        <v>-6848379.99999997</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270885120</v>
      </c>
      <c r="D363" s="25" t="n">
        <f aca="false">('Chi phí'!$C$77+'Chi phí'!$D$77*B363+'Chi phí'!$E$77*A363+'Giả định'!$B$15*('Chi phí'!$F$77+'Chi phí'!$G$77*B363+'Chi phí'!$H$77*A363))*(1+'Giả định'!$B$16)</f>
        <v>413830120</v>
      </c>
      <c r="E363" s="25" t="n">
        <f aca="false">A363/'Giả định'!$B$19*'Giả định'!$B$20+A363*'Giả định'!$B$23+'Giả định'!$B$24</f>
        <v>264739495.798319</v>
      </c>
      <c r="F363" s="25" t="n">
        <f aca="false">E363-D363</f>
        <v>-149090624.201681</v>
      </c>
      <c r="G363" s="25" t="n">
        <f aca="false">E363-C363</f>
        <v>-6145624.20168066</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270921860</v>
      </c>
      <c r="D364" s="25" t="n">
        <f aca="false">('Chi phí'!$C$77+'Chi phí'!$D$77*B364+'Chi phí'!$E$77*A364+'Giả định'!$B$15*('Chi phí'!$F$77+'Chi phí'!$G$77*B364+'Chi phí'!$H$77*A364))*(1+'Giả định'!$B$16)</f>
        <v>413866860</v>
      </c>
      <c r="E364" s="25" t="n">
        <f aca="false">A364/'Giả định'!$B$19*'Giả định'!$B$20+A364*'Giả định'!$B$23+'Giả định'!$B$24</f>
        <v>265478991.596639</v>
      </c>
      <c r="F364" s="25" t="n">
        <f aca="false">E364-D364</f>
        <v>-148387868.403361</v>
      </c>
      <c r="G364" s="25" t="n">
        <f aca="false">E364-C364</f>
        <v>-5442868.40336135</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270958600</v>
      </c>
      <c r="D365" s="25" t="n">
        <f aca="false">('Chi phí'!$C$77+'Chi phí'!$D$77*B365+'Chi phí'!$E$77*A365+'Giả định'!$B$15*('Chi phí'!$F$77+'Chi phí'!$G$77*B365+'Chi phí'!$H$77*A365))*(1+'Giả định'!$B$16)</f>
        <v>413903600</v>
      </c>
      <c r="E365" s="25" t="n">
        <f aca="false">A365/'Giả định'!$B$19*'Giả định'!$B$20+A365*'Giả định'!$B$23+'Giả định'!$B$24</f>
        <v>266218487.394958</v>
      </c>
      <c r="F365" s="25" t="n">
        <f aca="false">E365-D365</f>
        <v>-147685112.605042</v>
      </c>
      <c r="G365" s="25" t="n">
        <f aca="false">E365-C365</f>
        <v>-4740112.60504198</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276380940</v>
      </c>
      <c r="D366" s="25" t="n">
        <f aca="false">('Chi phí'!$C$77+'Chi phí'!$D$77*B366+'Chi phí'!$E$77*A366+'Giả định'!$B$15*('Chi phí'!$F$77+'Chi phí'!$G$77*B366+'Chi phí'!$H$77*A366))*(1+'Giả định'!$B$16)</f>
        <v>419325940</v>
      </c>
      <c r="E366" s="25" t="n">
        <f aca="false">A366/'Giả định'!$B$19*'Giả định'!$B$20+A366*'Giả định'!$B$23+'Giả định'!$B$24</f>
        <v>266957983.193277</v>
      </c>
      <c r="F366" s="25" t="n">
        <f aca="false">E366-D366</f>
        <v>-152367956.806723</v>
      </c>
      <c r="G366" s="25" t="n">
        <f aca="false">E366-C366</f>
        <v>-9422956.80672264</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276417680</v>
      </c>
      <c r="D367" s="25" t="n">
        <f aca="false">('Chi phí'!$C$77+'Chi phí'!$D$77*B367+'Chi phí'!$E$77*A367+'Giả định'!$B$15*('Chi phí'!$F$77+'Chi phí'!$G$77*B367+'Chi phí'!$H$77*A367))*(1+'Giả định'!$B$16)</f>
        <v>419362680</v>
      </c>
      <c r="E367" s="25" t="n">
        <f aca="false">A367/'Giả định'!$B$19*'Giả định'!$B$20+A367*'Giả định'!$B$23+'Giả định'!$B$24</f>
        <v>267697478.991597</v>
      </c>
      <c r="F367" s="25" t="n">
        <f aca="false">E367-D367</f>
        <v>-151665201.008403</v>
      </c>
      <c r="G367" s="25" t="n">
        <f aca="false">E367-C367</f>
        <v>-8720201.0084033</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276454420</v>
      </c>
      <c r="D368" s="25" t="n">
        <f aca="false">('Chi phí'!$C$77+'Chi phí'!$D$77*B368+'Chi phí'!$E$77*A368+'Giả định'!$B$15*('Chi phí'!$F$77+'Chi phí'!$G$77*B368+'Chi phí'!$H$77*A368))*(1+'Giả định'!$B$16)</f>
        <v>419399420</v>
      </c>
      <c r="E368" s="25" t="n">
        <f aca="false">A368/'Giả định'!$B$19*'Giả định'!$B$20+A368*'Giả định'!$B$23+'Giả định'!$B$24</f>
        <v>268436974.789916</v>
      </c>
      <c r="F368" s="25" t="n">
        <f aca="false">E368-D368</f>
        <v>-150962445.210084</v>
      </c>
      <c r="G368" s="25" t="n">
        <f aca="false">E368-C368</f>
        <v>-8017445.21008402</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276491160</v>
      </c>
      <c r="D369" s="25" t="n">
        <f aca="false">('Chi phí'!$C$77+'Chi phí'!$D$77*B369+'Chi phí'!$E$77*A369+'Giả định'!$B$15*('Chi phí'!$F$77+'Chi phí'!$G$77*B369+'Chi phí'!$H$77*A369))*(1+'Giả định'!$B$16)</f>
        <v>419436160</v>
      </c>
      <c r="E369" s="25" t="n">
        <f aca="false">A369/'Giả định'!$B$19*'Giả định'!$B$20+A369*'Giả định'!$B$23+'Giả định'!$B$24</f>
        <v>269176470.588235</v>
      </c>
      <c r="F369" s="25" t="n">
        <f aca="false">E369-D369</f>
        <v>-150259689.411765</v>
      </c>
      <c r="G369" s="25" t="n">
        <f aca="false">E369-C369</f>
        <v>-7314689.41176468</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276527900</v>
      </c>
      <c r="D370" s="25" t="n">
        <f aca="false">('Chi phí'!$C$77+'Chi phí'!$D$77*B370+'Chi phí'!$E$77*A370+'Giả định'!$B$15*('Chi phí'!$F$77+'Chi phí'!$G$77*B370+'Chi phí'!$H$77*A370))*(1+'Giả định'!$B$16)</f>
        <v>419472900</v>
      </c>
      <c r="E370" s="25" t="n">
        <f aca="false">A370/'Giả định'!$B$19*'Giả định'!$B$20+A370*'Giả định'!$B$23+'Giả định'!$B$24</f>
        <v>269915966.386555</v>
      </c>
      <c r="F370" s="25" t="n">
        <f aca="false">E370-D370</f>
        <v>-149556933.613445</v>
      </c>
      <c r="G370" s="25" t="n">
        <f aca="false">E370-C370</f>
        <v>-6611933.61344534</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276564640</v>
      </c>
      <c r="D371" s="25" t="n">
        <f aca="false">('Chi phí'!$C$77+'Chi phí'!$D$77*B371+'Chi phí'!$E$77*A371+'Giả định'!$B$15*('Chi phí'!$F$77+'Chi phí'!$G$77*B371+'Chi phí'!$H$77*A371))*(1+'Giả định'!$B$16)</f>
        <v>419509640</v>
      </c>
      <c r="E371" s="25" t="n">
        <f aca="false">A371/'Giả định'!$B$19*'Giả định'!$B$20+A371*'Giả định'!$B$23+'Giả định'!$B$24</f>
        <v>270655462.184874</v>
      </c>
      <c r="F371" s="25" t="n">
        <f aca="false">E371-D371</f>
        <v>-148854177.815126</v>
      </c>
      <c r="G371" s="25" t="n">
        <f aca="false">E371-C371</f>
        <v>-5909177.81512606</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276601380</v>
      </c>
      <c r="D372" s="25" t="n">
        <f aca="false">('Chi phí'!$C$77+'Chi phí'!$D$77*B372+'Chi phí'!$E$77*A372+'Giả định'!$B$15*('Chi phí'!$F$77+'Chi phí'!$G$77*B372+'Chi phí'!$H$77*A372))*(1+'Giả định'!$B$16)</f>
        <v>419546380</v>
      </c>
      <c r="E372" s="25" t="n">
        <f aca="false">A372/'Giả định'!$B$19*'Giả định'!$B$20+A372*'Giả định'!$B$23+'Giả định'!$B$24</f>
        <v>271394957.983193</v>
      </c>
      <c r="F372" s="25" t="n">
        <f aca="false">E372-D372</f>
        <v>-148151422.016807</v>
      </c>
      <c r="G372" s="25" t="n">
        <f aca="false">E372-C372</f>
        <v>-5206422.01680672</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276638120</v>
      </c>
      <c r="D373" s="25" t="n">
        <f aca="false">('Chi phí'!$C$77+'Chi phí'!$D$77*B373+'Chi phí'!$E$77*A373+'Giả định'!$B$15*('Chi phí'!$F$77+'Chi phí'!$G$77*B373+'Chi phí'!$H$77*A373))*(1+'Giả định'!$B$16)</f>
        <v>419583120</v>
      </c>
      <c r="E373" s="25" t="n">
        <f aca="false">A373/'Giả định'!$B$19*'Giả định'!$B$20+A373*'Giả định'!$B$23+'Giả định'!$B$24</f>
        <v>272134453.781513</v>
      </c>
      <c r="F373" s="25" t="n">
        <f aca="false">E373-D373</f>
        <v>-147448666.218487</v>
      </c>
      <c r="G373" s="25" t="n">
        <f aca="false">E373-C373</f>
        <v>-4503666.21848738</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276674860</v>
      </c>
      <c r="D374" s="25" t="n">
        <f aca="false">('Chi phí'!$C$77+'Chi phí'!$D$77*B374+'Chi phí'!$E$77*A374+'Giả định'!$B$15*('Chi phí'!$F$77+'Chi phí'!$G$77*B374+'Chi phí'!$H$77*A374))*(1+'Giả định'!$B$16)</f>
        <v>419619860</v>
      </c>
      <c r="E374" s="25" t="n">
        <f aca="false">A374/'Giả định'!$B$19*'Giả định'!$B$20+A374*'Giả định'!$B$23+'Giả định'!$B$24</f>
        <v>272873949.579832</v>
      </c>
      <c r="F374" s="25" t="n">
        <f aca="false">E374-D374</f>
        <v>-146745910.420168</v>
      </c>
      <c r="G374" s="25" t="n">
        <f aca="false">E374-C374</f>
        <v>-3800910.42016798</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276711600</v>
      </c>
      <c r="D375" s="25" t="n">
        <f aca="false">('Chi phí'!$C$77+'Chi phí'!$D$77*B375+'Chi phí'!$E$77*A375+'Giả định'!$B$15*('Chi phí'!$F$77+'Chi phí'!$G$77*B375+'Chi phí'!$H$77*A375))*(1+'Giả định'!$B$16)</f>
        <v>419656600</v>
      </c>
      <c r="E375" s="25" t="n">
        <f aca="false">A375/'Giả định'!$B$19*'Giả định'!$B$20+A375*'Giả định'!$B$23+'Giả định'!$B$24</f>
        <v>273613445.378151</v>
      </c>
      <c r="F375" s="25" t="n">
        <f aca="false">E375-D375</f>
        <v>-146043154.621849</v>
      </c>
      <c r="G375" s="25" t="n">
        <f aca="false">E375-C375</f>
        <v>-3098154.62184876</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282133940</v>
      </c>
      <c r="D376" s="25" t="n">
        <f aca="false">('Chi phí'!$C$77+'Chi phí'!$D$77*B376+'Chi phí'!$E$77*A376+'Giả định'!$B$15*('Chi phí'!$F$77+'Chi phí'!$G$77*B376+'Chi phí'!$H$77*A376))*(1+'Giả định'!$B$16)</f>
        <v>425078940</v>
      </c>
      <c r="E376" s="25" t="n">
        <f aca="false">A376/'Giả định'!$B$19*'Giả định'!$B$20+A376*'Giả định'!$B$23+'Giả định'!$B$24</f>
        <v>274352941.176471</v>
      </c>
      <c r="F376" s="25" t="n">
        <f aca="false">E376-D376</f>
        <v>-150725998.823529</v>
      </c>
      <c r="G376" s="25" t="n">
        <f aca="false">E376-C376</f>
        <v>-7780998.82352942</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282170680</v>
      </c>
      <c r="D377" s="25" t="n">
        <f aca="false">('Chi phí'!$C$77+'Chi phí'!$D$77*B377+'Chi phí'!$E$77*A377+'Giả định'!$B$15*('Chi phí'!$F$77+'Chi phí'!$G$77*B377+'Chi phí'!$H$77*A377))*(1+'Giả định'!$B$16)</f>
        <v>425115680</v>
      </c>
      <c r="E377" s="25" t="n">
        <f aca="false">A377/'Giả định'!$B$19*'Giả định'!$B$20+A377*'Giả định'!$B$23+'Giả định'!$B$24</f>
        <v>275092436.97479</v>
      </c>
      <c r="F377" s="25" t="n">
        <f aca="false">E377-D377</f>
        <v>-150023243.02521</v>
      </c>
      <c r="G377" s="25" t="n">
        <f aca="false">E377-C377</f>
        <v>-7078243.02521008</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282207420</v>
      </c>
      <c r="D378" s="25" t="n">
        <f aca="false">('Chi phí'!$C$77+'Chi phí'!$D$77*B378+'Chi phí'!$E$77*A378+'Giả định'!$B$15*('Chi phí'!$F$77+'Chi phí'!$G$77*B378+'Chi phí'!$H$77*A378))*(1+'Giả định'!$B$16)</f>
        <v>425152420</v>
      </c>
      <c r="E378" s="25" t="n">
        <f aca="false">A378/'Giả định'!$B$19*'Giả định'!$B$20+A378*'Giả định'!$B$23+'Giả định'!$B$24</f>
        <v>275831932.773109</v>
      </c>
      <c r="F378" s="25" t="n">
        <f aca="false">E378-D378</f>
        <v>-149320487.226891</v>
      </c>
      <c r="G378" s="25" t="n">
        <f aca="false">E378-C378</f>
        <v>-6375487.22689074</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282244160</v>
      </c>
      <c r="D379" s="25" t="n">
        <f aca="false">('Chi phí'!$C$77+'Chi phí'!$D$77*B379+'Chi phí'!$E$77*A379+'Giả định'!$B$15*('Chi phí'!$F$77+'Chi phí'!$G$77*B379+'Chi phí'!$H$77*A379))*(1+'Giả định'!$B$16)</f>
        <v>425189160</v>
      </c>
      <c r="E379" s="25" t="n">
        <f aca="false">A379/'Giả định'!$B$19*'Giả định'!$B$20+A379*'Giả định'!$B$23+'Giả định'!$B$24</f>
        <v>276571428.571429</v>
      </c>
      <c r="F379" s="25" t="n">
        <f aca="false">E379-D379</f>
        <v>-148617731.428571</v>
      </c>
      <c r="G379" s="25" t="n">
        <f aca="false">E379-C379</f>
        <v>-5672731.4285714</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282280900</v>
      </c>
      <c r="D380" s="25" t="n">
        <f aca="false">('Chi phí'!$C$77+'Chi phí'!$D$77*B380+'Chi phí'!$E$77*A380+'Giả định'!$B$15*('Chi phí'!$F$77+'Chi phí'!$G$77*B380+'Chi phí'!$H$77*A380))*(1+'Giả định'!$B$16)</f>
        <v>425225900</v>
      </c>
      <c r="E380" s="25" t="n">
        <f aca="false">A380/'Giả định'!$B$19*'Giả định'!$B$20+A380*'Giả định'!$B$23+'Giả định'!$B$24</f>
        <v>277310924.369748</v>
      </c>
      <c r="F380" s="25" t="n">
        <f aca="false">E380-D380</f>
        <v>-147914975.630252</v>
      </c>
      <c r="G380" s="25" t="n">
        <f aca="false">E380-C380</f>
        <v>-4969975.63025206</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282317640</v>
      </c>
      <c r="D381" s="25" t="n">
        <f aca="false">('Chi phí'!$C$77+'Chi phí'!$D$77*B381+'Chi phí'!$E$77*A381+'Giả định'!$B$15*('Chi phí'!$F$77+'Chi phí'!$G$77*B381+'Chi phí'!$H$77*A381))*(1+'Giả định'!$B$16)</f>
        <v>425262640</v>
      </c>
      <c r="E381" s="25" t="n">
        <f aca="false">A381/'Giả định'!$B$19*'Giả định'!$B$20+A381*'Giả định'!$B$23+'Giả định'!$B$24</f>
        <v>278050420.168067</v>
      </c>
      <c r="F381" s="25" t="n">
        <f aca="false">E381-D381</f>
        <v>-147212219.831933</v>
      </c>
      <c r="G381" s="25" t="n">
        <f aca="false">E381-C381</f>
        <v>-4267219.83193272</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282354380</v>
      </c>
      <c r="D382" s="25" t="n">
        <f aca="false">('Chi phí'!$C$77+'Chi phí'!$D$77*B382+'Chi phí'!$E$77*A382+'Giả định'!$B$15*('Chi phí'!$F$77+'Chi phí'!$G$77*B382+'Chi phí'!$H$77*A382))*(1+'Giả định'!$B$16)</f>
        <v>425299380</v>
      </c>
      <c r="E382" s="25" t="n">
        <f aca="false">A382/'Giả định'!$B$19*'Giả định'!$B$20+A382*'Giả định'!$B$23+'Giả định'!$B$24</f>
        <v>278789915.966387</v>
      </c>
      <c r="F382" s="25" t="n">
        <f aca="false">E382-D382</f>
        <v>-146509464.033614</v>
      </c>
      <c r="G382" s="25" t="n">
        <f aca="false">E382-C382</f>
        <v>-3564464.03361344</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282391120</v>
      </c>
      <c r="D383" s="25" t="n">
        <f aca="false">('Chi phí'!$C$77+'Chi phí'!$D$77*B383+'Chi phí'!$E$77*A383+'Giả định'!$B$15*('Chi phí'!$F$77+'Chi phí'!$G$77*B383+'Chi phí'!$H$77*A383))*(1+'Giả định'!$B$16)</f>
        <v>425336120</v>
      </c>
      <c r="E383" s="25" t="n">
        <f aca="false">A383/'Giả định'!$B$19*'Giả định'!$B$20+A383*'Giả định'!$B$23+'Giả định'!$B$24</f>
        <v>279529411.764706</v>
      </c>
      <c r="F383" s="25" t="n">
        <f aca="false">E383-D383</f>
        <v>-145806708.235294</v>
      </c>
      <c r="G383" s="25" t="n">
        <f aca="false">E383-C383</f>
        <v>-2861708.2352941</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282427860</v>
      </c>
      <c r="D384" s="25" t="n">
        <f aca="false">('Chi phí'!$C$77+'Chi phí'!$D$77*B384+'Chi phí'!$E$77*A384+'Giả định'!$B$15*('Chi phí'!$F$77+'Chi phí'!$G$77*B384+'Chi phí'!$H$77*A384))*(1+'Giả định'!$B$16)</f>
        <v>425372860</v>
      </c>
      <c r="E384" s="25" t="n">
        <f aca="false">A384/'Giả định'!$B$19*'Giả định'!$B$20+A384*'Giả định'!$B$23+'Giả định'!$B$24</f>
        <v>280268907.563025</v>
      </c>
      <c r="F384" s="25" t="n">
        <f aca="false">E384-D384</f>
        <v>-145103952.436975</v>
      </c>
      <c r="G384" s="25" t="n">
        <f aca="false">E384-C384</f>
        <v>-2158952.43697476</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282464600</v>
      </c>
      <c r="D385" s="25" t="n">
        <f aca="false">('Chi phí'!$C$77+'Chi phí'!$D$77*B385+'Chi phí'!$E$77*A385+'Giả định'!$B$15*('Chi phí'!$F$77+'Chi phí'!$G$77*B385+'Chi phí'!$H$77*A385))*(1+'Giả định'!$B$16)</f>
        <v>425409600</v>
      </c>
      <c r="E385" s="25" t="n">
        <f aca="false">A385/'Giả định'!$B$19*'Giả định'!$B$20+A385*'Giả định'!$B$23+'Giả định'!$B$24</f>
        <v>281008403.361345</v>
      </c>
      <c r="F385" s="25" t="n">
        <f aca="false">E385-D385</f>
        <v>-144401196.638655</v>
      </c>
      <c r="G385" s="25" t="n">
        <f aca="false">E385-C385</f>
        <v>-1456196.63865542</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287886940</v>
      </c>
      <c r="D386" s="25" t="n">
        <f aca="false">('Chi phí'!$C$77+'Chi phí'!$D$77*B386+'Chi phí'!$E$77*A386+'Giả định'!$B$15*('Chi phí'!$F$77+'Chi phí'!$G$77*B386+'Chi phí'!$H$77*A386))*(1+'Giả định'!$B$16)</f>
        <v>430831940</v>
      </c>
      <c r="E386" s="25" t="n">
        <f aca="false">A386/'Giả định'!$B$19*'Giả định'!$B$20+A386*'Giả định'!$B$23+'Giả định'!$B$24</f>
        <v>281747899.159664</v>
      </c>
      <c r="F386" s="25" t="n">
        <f aca="false">E386-D386</f>
        <v>-149084040.840336</v>
      </c>
      <c r="G386" s="25" t="n">
        <f aca="false">E386-C386</f>
        <v>-6139040.84033608</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287923680</v>
      </c>
      <c r="D387" s="25" t="n">
        <f aca="false">('Chi phí'!$C$77+'Chi phí'!$D$77*B387+'Chi phí'!$E$77*A387+'Giả định'!$B$15*('Chi phí'!$F$77+'Chi phí'!$G$77*B387+'Chi phí'!$H$77*A387))*(1+'Giả định'!$B$16)</f>
        <v>430868680</v>
      </c>
      <c r="E387" s="25" t="n">
        <f aca="false">A387/'Giả định'!$B$19*'Giả định'!$B$20+A387*'Giả định'!$B$23+'Giả định'!$B$24</f>
        <v>282487394.957983</v>
      </c>
      <c r="F387" s="25" t="n">
        <f aca="false">E387-D387</f>
        <v>-148381285.042017</v>
      </c>
      <c r="G387" s="25" t="n">
        <f aca="false">E387-C387</f>
        <v>-5436285.0420168</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287960420</v>
      </c>
      <c r="D388" s="25" t="n">
        <f aca="false">('Chi phí'!$C$77+'Chi phí'!$D$77*B388+'Chi phí'!$E$77*A388+'Giả định'!$B$15*('Chi phí'!$F$77+'Chi phí'!$G$77*B388+'Chi phí'!$H$77*A388))*(1+'Giả định'!$B$16)</f>
        <v>430905420</v>
      </c>
      <c r="E388" s="25" t="n">
        <f aca="false">A388/'Giả định'!$B$19*'Giả định'!$B$20+A388*'Giả định'!$B$23+'Giả định'!$B$24</f>
        <v>283226890.756303</v>
      </c>
      <c r="F388" s="25" t="n">
        <f aca="false">E388-D388</f>
        <v>-147678529.243698</v>
      </c>
      <c r="G388" s="25" t="n">
        <f aca="false">E388-C388</f>
        <v>-4733529.24369746</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287997160</v>
      </c>
      <c r="D389" s="25" t="n">
        <f aca="false">('Chi phí'!$C$77+'Chi phí'!$D$77*B389+'Chi phí'!$E$77*A389+'Giả định'!$B$15*('Chi phí'!$F$77+'Chi phí'!$G$77*B389+'Chi phí'!$H$77*A389))*(1+'Giả định'!$B$16)</f>
        <v>430942160</v>
      </c>
      <c r="E389" s="25" t="n">
        <f aca="false">A389/'Giả định'!$B$19*'Giả định'!$B$20+A389*'Giả định'!$B$23+'Giả định'!$B$24</f>
        <v>283966386.554622</v>
      </c>
      <c r="F389" s="25" t="n">
        <f aca="false">E389-D389</f>
        <v>-146975773.445378</v>
      </c>
      <c r="G389" s="25" t="n">
        <f aca="false">E389-C389</f>
        <v>-4030773.44537818</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288033900</v>
      </c>
      <c r="D390" s="25" t="n">
        <f aca="false">('Chi phí'!$C$77+'Chi phí'!$D$77*B390+'Chi phí'!$E$77*A390+'Giả định'!$B$15*('Chi phí'!$F$77+'Chi phí'!$G$77*B390+'Chi phí'!$H$77*A390))*(1+'Giả định'!$B$16)</f>
        <v>430978900</v>
      </c>
      <c r="E390" s="25" t="n">
        <f aca="false">A390/'Giả định'!$B$19*'Giả định'!$B$20+A390*'Giả định'!$B$23+'Giả định'!$B$24</f>
        <v>284705882.352941</v>
      </c>
      <c r="F390" s="25" t="n">
        <f aca="false">E390-D390</f>
        <v>-146273017.647059</v>
      </c>
      <c r="G390" s="25" t="n">
        <f aca="false">E390-C390</f>
        <v>-3328017.64705884</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288070640</v>
      </c>
      <c r="D391" s="25" t="n">
        <f aca="false">('Chi phí'!$C$77+'Chi phí'!$D$77*B391+'Chi phí'!$E$77*A391+'Giả định'!$B$15*('Chi phí'!$F$77+'Chi phí'!$G$77*B391+'Chi phí'!$H$77*A391))*(1+'Giả định'!$B$16)</f>
        <v>431015640</v>
      </c>
      <c r="E391" s="25" t="n">
        <f aca="false">A391/'Giả định'!$B$19*'Giả định'!$B$20+A391*'Giả định'!$B$23+'Giả định'!$B$24</f>
        <v>285445378.151261</v>
      </c>
      <c r="F391" s="25" t="n">
        <f aca="false">E391-D391</f>
        <v>-145570261.84874</v>
      </c>
      <c r="G391" s="25" t="n">
        <f aca="false">E391-C391</f>
        <v>-2625261.84873951</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288107380</v>
      </c>
      <c r="D392" s="25" t="n">
        <f aca="false">('Chi phí'!$C$77+'Chi phí'!$D$77*B392+'Chi phí'!$E$77*A392+'Giả định'!$B$15*('Chi phí'!$F$77+'Chi phí'!$G$77*B392+'Chi phí'!$H$77*A392))*(1+'Giả định'!$B$16)</f>
        <v>431052380</v>
      </c>
      <c r="E392" s="25" t="n">
        <f aca="false">A392/'Giả định'!$B$19*'Giả định'!$B$20+A392*'Giả định'!$B$23+'Giả định'!$B$24</f>
        <v>286184873.94958</v>
      </c>
      <c r="F392" s="25" t="n">
        <f aca="false">E392-D392</f>
        <v>-144867506.05042</v>
      </c>
      <c r="G392" s="25" t="n">
        <f aca="false">E392-C392</f>
        <v>-1922506.05042011</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288144120</v>
      </c>
      <c r="D393" s="25" t="n">
        <f aca="false">('Chi phí'!$C$77+'Chi phí'!$D$77*B393+'Chi phí'!$E$77*A393+'Giả định'!$B$15*('Chi phí'!$F$77+'Chi phí'!$G$77*B393+'Chi phí'!$H$77*A393))*(1+'Giả định'!$B$16)</f>
        <v>431089120</v>
      </c>
      <c r="E393" s="25" t="n">
        <f aca="false">A393/'Giả định'!$B$19*'Giả định'!$B$20+A393*'Giả định'!$B$23+'Giả định'!$B$24</f>
        <v>286924369.747899</v>
      </c>
      <c r="F393" s="25" t="n">
        <f aca="false">E393-D393</f>
        <v>-144164750.252101</v>
      </c>
      <c r="G393" s="25" t="n">
        <f aca="false">E393-C393</f>
        <v>-1219750.25210077</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288180860</v>
      </c>
      <c r="D394" s="25" t="n">
        <f aca="false">('Chi phí'!$C$77+'Chi phí'!$D$77*B394+'Chi phí'!$E$77*A394+'Giả định'!$B$15*('Chi phí'!$F$77+'Chi phí'!$G$77*B394+'Chi phí'!$H$77*A394))*(1+'Giả định'!$B$16)</f>
        <v>431125860</v>
      </c>
      <c r="E394" s="25" t="n">
        <f aca="false">A394/'Giả định'!$B$19*'Giả định'!$B$20+A394*'Giả định'!$B$23+'Giả định'!$B$24</f>
        <v>287663865.546219</v>
      </c>
      <c r="F394" s="25" t="n">
        <f aca="false">E394-D394</f>
        <v>-143461994.453782</v>
      </c>
      <c r="G394" s="25" t="n">
        <f aca="false">E394-C394</f>
        <v>-516994.453781486</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288217600</v>
      </c>
      <c r="D395" s="25" t="n">
        <f aca="false">('Chi phí'!$C$77+'Chi phí'!$D$77*B395+'Chi phí'!$E$77*A395+'Giả định'!$B$15*('Chi phí'!$F$77+'Chi phí'!$G$77*B395+'Chi phí'!$H$77*A395))*(1+'Giả định'!$B$16)</f>
        <v>431162600</v>
      </c>
      <c r="E395" s="25" t="n">
        <f aca="false">A395/'Giả định'!$B$19*'Giả định'!$B$20+A395*'Giả định'!$B$23+'Giả định'!$B$24</f>
        <v>288403361.344538</v>
      </c>
      <c r="F395" s="25" t="n">
        <f aca="false">E395-D395</f>
        <v>-142759238.655462</v>
      </c>
      <c r="G395" s="25" t="n">
        <f aca="false">E395-C395</f>
        <v>185761.344537854</v>
      </c>
      <c r="H395" s="7" t="str">
        <f aca="false">IF(F395&gt;=0,A395,"")</f>
        <v/>
      </c>
      <c r="I395" s="7" t="n">
        <f aca="false">IF(F395&lt;0,A395,0)</f>
        <v>390</v>
      </c>
      <c r="J395" s="7" t="n">
        <f aca="false">IF(G395&gt;=0,A395,"")</f>
        <v>390</v>
      </c>
      <c r="K395" s="7" t="n">
        <f aca="false">IF(G395&lt;0,A395,0)</f>
        <v>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293639940</v>
      </c>
      <c r="D396" s="25" t="n">
        <f aca="false">('Chi phí'!$C$77+'Chi phí'!$D$77*B396+'Chi phí'!$E$77*A396+'Giả định'!$B$15*('Chi phí'!$F$77+'Chi phí'!$G$77*B396+'Chi phí'!$H$77*A396))*(1+'Giả định'!$B$16)</f>
        <v>436584940</v>
      </c>
      <c r="E396" s="25" t="n">
        <f aca="false">A396/'Giả định'!$B$19*'Giả định'!$B$20+A396*'Giả định'!$B$23+'Giả định'!$B$24</f>
        <v>289142857.142857</v>
      </c>
      <c r="F396" s="25" t="n">
        <f aca="false">E396-D396</f>
        <v>-147442082.857143</v>
      </c>
      <c r="G396" s="25" t="n">
        <f aca="false">E396-C396</f>
        <v>-4497082.85714287</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293676680</v>
      </c>
      <c r="D397" s="25" t="n">
        <f aca="false">('Chi phí'!$C$77+'Chi phí'!$D$77*B397+'Chi phí'!$E$77*A397+'Giả định'!$B$15*('Chi phí'!$F$77+'Chi phí'!$G$77*B397+'Chi phí'!$H$77*A397))*(1+'Giả định'!$B$16)</f>
        <v>436621680</v>
      </c>
      <c r="E397" s="25" t="n">
        <f aca="false">A397/'Giả định'!$B$19*'Giả định'!$B$20+A397*'Giả định'!$B$23+'Giả định'!$B$24</f>
        <v>289882352.941177</v>
      </c>
      <c r="F397" s="25" t="n">
        <f aca="false">E397-D397</f>
        <v>-146739327.058824</v>
      </c>
      <c r="G397" s="25" t="n">
        <f aca="false">E397-C397</f>
        <v>-3794327.05882353</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293713420</v>
      </c>
      <c r="D398" s="25" t="n">
        <f aca="false">('Chi phí'!$C$77+'Chi phí'!$D$77*B398+'Chi phí'!$E$77*A398+'Giả định'!$B$15*('Chi phí'!$F$77+'Chi phí'!$G$77*B398+'Chi phí'!$H$77*A398))*(1+'Giả định'!$B$16)</f>
        <v>436658420</v>
      </c>
      <c r="E398" s="25" t="n">
        <f aca="false">A398/'Giả định'!$B$19*'Giả định'!$B$20+A398*'Giả định'!$B$23+'Giả định'!$B$24</f>
        <v>290621848.739496</v>
      </c>
      <c r="F398" s="25" t="n">
        <f aca="false">E398-D398</f>
        <v>-146036571.260504</v>
      </c>
      <c r="G398" s="25" t="n">
        <f aca="false">E398-C398</f>
        <v>-3091571.26050419</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293750160</v>
      </c>
      <c r="D399" s="25" t="n">
        <f aca="false">('Chi phí'!$C$77+'Chi phí'!$D$77*B399+'Chi phí'!$E$77*A399+'Giả định'!$B$15*('Chi phí'!$F$77+'Chi phí'!$G$77*B399+'Chi phí'!$H$77*A399))*(1+'Giả định'!$B$16)</f>
        <v>436695160</v>
      </c>
      <c r="E399" s="25" t="n">
        <f aca="false">A399/'Giả định'!$B$19*'Giả định'!$B$20+A399*'Giả định'!$B$23+'Giả định'!$B$24</f>
        <v>291361344.537815</v>
      </c>
      <c r="F399" s="25" t="n">
        <f aca="false">E399-D399</f>
        <v>-145333815.462185</v>
      </c>
      <c r="G399" s="25" t="n">
        <f aca="false">E399-C399</f>
        <v>-2388815.46218485</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293786900</v>
      </c>
      <c r="D400" s="25" t="n">
        <f aca="false">('Chi phí'!$C$77+'Chi phí'!$D$77*B400+'Chi phí'!$E$77*A400+'Giả định'!$B$15*('Chi phí'!$F$77+'Chi phí'!$G$77*B400+'Chi phí'!$H$77*A400))*(1+'Giả định'!$B$16)</f>
        <v>436731900</v>
      </c>
      <c r="E400" s="25" t="n">
        <f aca="false">A400/'Giả định'!$B$19*'Giả định'!$B$20+A400*'Giả định'!$B$23+'Giả định'!$B$24</f>
        <v>292100840.336135</v>
      </c>
      <c r="F400" s="25" t="n">
        <f aca="false">E400-D400</f>
        <v>-144631059.663866</v>
      </c>
      <c r="G400" s="25" t="n">
        <f aca="false">E400-C400</f>
        <v>-1686059.66386551</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293823640</v>
      </c>
      <c r="D401" s="25" t="n">
        <f aca="false">('Chi phí'!$C$77+'Chi phí'!$D$77*B401+'Chi phí'!$E$77*A401+'Giả định'!$B$15*('Chi phí'!$F$77+'Chi phí'!$G$77*B401+'Chi phí'!$H$77*A401))*(1+'Giả định'!$B$16)</f>
        <v>436768640</v>
      </c>
      <c r="E401" s="25" t="n">
        <f aca="false">A401/'Giả định'!$B$19*'Giả định'!$B$20+A401*'Giả định'!$B$23+'Giả định'!$B$24</f>
        <v>292840336.134454</v>
      </c>
      <c r="F401" s="25" t="n">
        <f aca="false">E401-D401</f>
        <v>-143928303.865546</v>
      </c>
      <c r="G401" s="25" t="n">
        <f aca="false">E401-C401</f>
        <v>-983303.865546227</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293860380</v>
      </c>
      <c r="D402" s="25" t="n">
        <f aca="false">('Chi phí'!$C$77+'Chi phí'!$D$77*B402+'Chi phí'!$E$77*A402+'Giả định'!$B$15*('Chi phí'!$F$77+'Chi phí'!$G$77*B402+'Chi phí'!$H$77*A402))*(1+'Giả định'!$B$16)</f>
        <v>436805380</v>
      </c>
      <c r="E402" s="25" t="n">
        <f aca="false">A402/'Giả định'!$B$19*'Giả định'!$B$20+A402*'Giả định'!$B$23+'Giả định'!$B$24</f>
        <v>293579831.932773</v>
      </c>
      <c r="F402" s="25" t="n">
        <f aca="false">E402-D402</f>
        <v>-143225548.067227</v>
      </c>
      <c r="G402" s="25" t="n">
        <f aca="false">E402-C402</f>
        <v>-280548.067226887</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293897120</v>
      </c>
      <c r="D403" s="25" t="n">
        <f aca="false">('Chi phí'!$C$77+'Chi phí'!$D$77*B403+'Chi phí'!$E$77*A403+'Giả định'!$B$15*('Chi phí'!$F$77+'Chi phí'!$G$77*B403+'Chi phí'!$H$77*A403))*(1+'Giả định'!$B$16)</f>
        <v>436842120</v>
      </c>
      <c r="E403" s="25" t="n">
        <f aca="false">A403/'Giả định'!$B$19*'Giả định'!$B$20+A403*'Giả định'!$B$23+'Giả định'!$B$24</f>
        <v>294319327.731092</v>
      </c>
      <c r="F403" s="25" t="n">
        <f aca="false">E403-D403</f>
        <v>-142522792.268908</v>
      </c>
      <c r="G403" s="25" t="n">
        <f aca="false">E403-C403</f>
        <v>422207.731092453</v>
      </c>
      <c r="H403" s="7" t="str">
        <f aca="false">IF(F403&gt;=0,A403,"")</f>
        <v/>
      </c>
      <c r="I403" s="7" t="n">
        <f aca="false">IF(F403&lt;0,A403,0)</f>
        <v>398</v>
      </c>
      <c r="J403" s="7" t="n">
        <f aca="false">IF(G403&gt;=0,A403,"")</f>
        <v>398</v>
      </c>
      <c r="K403" s="7" t="n">
        <f aca="false">IF(G403&lt;0,A403,0)</f>
        <v>0</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293933860</v>
      </c>
      <c r="D404" s="25" t="n">
        <f aca="false">('Chi phí'!$C$77+'Chi phí'!$D$77*B404+'Chi phí'!$E$77*A404+'Giả định'!$B$15*('Chi phí'!$F$77+'Chi phí'!$G$77*B404+'Chi phí'!$H$77*A404))*(1+'Giả định'!$B$16)</f>
        <v>436878860</v>
      </c>
      <c r="E404" s="25" t="n">
        <f aca="false">A404/'Giả định'!$B$19*'Giả định'!$B$20+A404*'Giả định'!$B$23+'Giả định'!$B$24</f>
        <v>295058823.529412</v>
      </c>
      <c r="F404" s="25" t="n">
        <f aca="false">E404-D404</f>
        <v>-141820036.470588</v>
      </c>
      <c r="G404" s="25" t="n">
        <f aca="false">E404-C404</f>
        <v>1124963.52941179</v>
      </c>
      <c r="H404" s="7" t="str">
        <f aca="false">IF(F404&gt;=0,A404,"")</f>
        <v/>
      </c>
      <c r="I404" s="7" t="n">
        <f aca="false">IF(F404&lt;0,A404,0)</f>
        <v>399</v>
      </c>
      <c r="J404" s="7" t="n">
        <f aca="false">IF(G404&gt;=0,A404,"")</f>
        <v>399</v>
      </c>
      <c r="K404" s="7" t="n">
        <f aca="false">IF(G404&lt;0,A404,0)</f>
        <v>0</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293970600</v>
      </c>
      <c r="D405" s="25" t="n">
        <f aca="false">('Chi phí'!$C$77+'Chi phí'!$D$77*B405+'Chi phí'!$E$77*A405+'Giả định'!$B$15*('Chi phí'!$F$77+'Chi phí'!$G$77*B405+'Chi phí'!$H$77*A405))*(1+'Giả định'!$B$16)</f>
        <v>436915600</v>
      </c>
      <c r="E405" s="25" t="n">
        <f aca="false">A405/'Giả định'!$B$19*'Giả định'!$B$20+A405*'Giả định'!$B$23+'Giả định'!$B$24</f>
        <v>295798319.327731</v>
      </c>
      <c r="F405" s="25" t="n">
        <f aca="false">E405-D405</f>
        <v>-141117280.672269</v>
      </c>
      <c r="G405" s="25" t="n">
        <f aca="false">E405-C405</f>
        <v>1827719.32773113</v>
      </c>
      <c r="H405" s="7" t="str">
        <f aca="false">IF(F405&gt;=0,A405,"")</f>
        <v/>
      </c>
      <c r="I405" s="7" t="n">
        <f aca="false">IF(F405&lt;0,A405,0)</f>
        <v>400</v>
      </c>
      <c r="J405" s="7" t="n">
        <f aca="false">IF(G405&gt;=0,A405,"")</f>
        <v>400</v>
      </c>
      <c r="K405" s="7" t="n">
        <f aca="false">IF(G405&lt;0,A405,0)</f>
        <v>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299392940</v>
      </c>
      <c r="D406" s="25" t="n">
        <f aca="false">('Chi phí'!$C$77+'Chi phí'!$D$77*B406+'Chi phí'!$E$77*A406+'Giả định'!$B$15*('Chi phí'!$F$77+'Chi phí'!$G$77*B406+'Chi phí'!$H$77*A406))*(1+'Giả định'!$B$16)</f>
        <v>442337940</v>
      </c>
      <c r="E406" s="25" t="n">
        <f aca="false">A406/'Giả định'!$B$19*'Giả định'!$B$20+A406*'Giả định'!$B$23+'Giả định'!$B$24</f>
        <v>296537815.126051</v>
      </c>
      <c r="F406" s="25" t="n">
        <f aca="false">E406-D406</f>
        <v>-145800124.87395</v>
      </c>
      <c r="G406" s="25" t="n">
        <f aca="false">E406-C406</f>
        <v>-2855124.87394953</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299429680</v>
      </c>
      <c r="D407" s="25" t="n">
        <f aca="false">('Chi phí'!$C$77+'Chi phí'!$D$77*B407+'Chi phí'!$E$77*A407+'Giả định'!$B$15*('Chi phí'!$F$77+'Chi phí'!$G$77*B407+'Chi phí'!$H$77*A407))*(1+'Giả định'!$B$16)</f>
        <v>442374680</v>
      </c>
      <c r="E407" s="25" t="n">
        <f aca="false">A407/'Giả định'!$B$19*'Giả định'!$B$20+A407*'Giả định'!$B$23+'Giả định'!$B$24</f>
        <v>297277310.92437</v>
      </c>
      <c r="F407" s="25" t="n">
        <f aca="false">E407-D407</f>
        <v>-145097369.07563</v>
      </c>
      <c r="G407" s="25" t="n">
        <f aca="false">E407-C407</f>
        <v>-2152369.07563019</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299466420</v>
      </c>
      <c r="D408" s="25" t="n">
        <f aca="false">('Chi phí'!$C$77+'Chi phí'!$D$77*B408+'Chi phí'!$E$77*A408+'Giả định'!$B$15*('Chi phí'!$F$77+'Chi phí'!$G$77*B408+'Chi phí'!$H$77*A408))*(1+'Giả định'!$B$16)</f>
        <v>442411420</v>
      </c>
      <c r="E408" s="25" t="n">
        <f aca="false">A408/'Giả định'!$B$19*'Giả định'!$B$20+A408*'Giả định'!$B$23+'Giả định'!$B$24</f>
        <v>298016806.722689</v>
      </c>
      <c r="F408" s="25" t="n">
        <f aca="false">E408-D408</f>
        <v>-144394613.277311</v>
      </c>
      <c r="G408" s="25" t="n">
        <f aca="false">E408-C408</f>
        <v>-1449613.27731091</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299503160</v>
      </c>
      <c r="D409" s="25" t="n">
        <f aca="false">('Chi phí'!$C$77+'Chi phí'!$D$77*B409+'Chi phí'!$E$77*A409+'Giả định'!$B$15*('Chi phí'!$F$77+'Chi phí'!$G$77*B409+'Chi phí'!$H$77*A409))*(1+'Giả định'!$B$16)</f>
        <v>442448160</v>
      </c>
      <c r="E409" s="25" t="n">
        <f aca="false">A409/'Giả định'!$B$19*'Giả định'!$B$20+A409*'Giả định'!$B$23+'Giả định'!$B$24</f>
        <v>298756302.521008</v>
      </c>
      <c r="F409" s="25" t="n">
        <f aca="false">E409-D409</f>
        <v>-143691857.478992</v>
      </c>
      <c r="G409" s="25" t="n">
        <f aca="false">E409-C409</f>
        <v>-746857.478991568</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299539900</v>
      </c>
      <c r="D410" s="25" t="n">
        <f aca="false">('Chi phí'!$C$77+'Chi phí'!$D$77*B410+'Chi phí'!$E$77*A410+'Giả định'!$B$15*('Chi phí'!$F$77+'Chi phí'!$G$77*B410+'Chi phí'!$H$77*A410))*(1+'Giả định'!$B$16)</f>
        <v>442484900</v>
      </c>
      <c r="E410" s="25" t="n">
        <f aca="false">A410/'Giả định'!$B$19*'Giả định'!$B$20+A410*'Giả định'!$B$23+'Giả định'!$B$24</f>
        <v>299495798.319328</v>
      </c>
      <c r="F410" s="25" t="n">
        <f aca="false">E410-D410</f>
        <v>-142989101.680672</v>
      </c>
      <c r="G410" s="25" t="n">
        <f aca="false">E410-C410</f>
        <v>-44101.6806722879</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299576640</v>
      </c>
      <c r="D411" s="25" t="n">
        <f aca="false">('Chi phí'!$C$77+'Chi phí'!$D$77*B411+'Chi phí'!$E$77*A411+'Giả định'!$B$15*('Chi phí'!$F$77+'Chi phí'!$G$77*B411+'Chi phí'!$H$77*A411))*(1+'Giả định'!$B$16)</f>
        <v>442521640</v>
      </c>
      <c r="E411" s="25" t="n">
        <f aca="false">A411/'Giả định'!$B$19*'Giả định'!$B$20+A411*'Giả định'!$B$23+'Giả định'!$B$24</f>
        <v>300235294.117647</v>
      </c>
      <c r="F411" s="25" t="n">
        <f aca="false">E411-D411</f>
        <v>-142286345.882353</v>
      </c>
      <c r="G411" s="25" t="n">
        <f aca="false">E411-C411</f>
        <v>658654.117647052</v>
      </c>
      <c r="H411" s="7" t="str">
        <f aca="false">IF(F411&gt;=0,A411,"")</f>
        <v/>
      </c>
      <c r="I411" s="7" t="n">
        <f aca="false">IF(F411&lt;0,A411,0)</f>
        <v>406</v>
      </c>
      <c r="J411" s="7" t="n">
        <f aca="false">IF(G411&gt;=0,A411,"")</f>
        <v>406</v>
      </c>
      <c r="K411" s="7" t="n">
        <f aca="false">IF(G411&lt;0,A411,0)</f>
        <v>0</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299613380</v>
      </c>
      <c r="D412" s="25" t="n">
        <f aca="false">('Chi phí'!$C$77+'Chi phí'!$D$77*B412+'Chi phí'!$E$77*A412+'Giả định'!$B$15*('Chi phí'!$F$77+'Chi phí'!$G$77*B412+'Chi phí'!$H$77*A412))*(1+'Giả định'!$B$16)</f>
        <v>442558380</v>
      </c>
      <c r="E412" s="25" t="n">
        <f aca="false">A412/'Giả định'!$B$19*'Giả định'!$B$20+A412*'Giả định'!$B$23+'Giả định'!$B$24</f>
        <v>300974789.915966</v>
      </c>
      <c r="F412" s="25" t="n">
        <f aca="false">E412-D412</f>
        <v>-141583590.084034</v>
      </c>
      <c r="G412" s="25" t="n">
        <f aca="false">E412-C412</f>
        <v>1361409.91596639</v>
      </c>
      <c r="H412" s="7" t="str">
        <f aca="false">IF(F412&gt;=0,A412,"")</f>
        <v/>
      </c>
      <c r="I412" s="7" t="n">
        <f aca="false">IF(F412&lt;0,A412,0)</f>
        <v>407</v>
      </c>
      <c r="J412" s="7" t="n">
        <f aca="false">IF(G412&gt;=0,A412,"")</f>
        <v>407</v>
      </c>
      <c r="K412" s="7" t="n">
        <f aca="false">IF(G412&lt;0,A412,0)</f>
        <v>0</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299650120</v>
      </c>
      <c r="D413" s="25" t="n">
        <f aca="false">('Chi phí'!$C$77+'Chi phí'!$D$77*B413+'Chi phí'!$E$77*A413+'Giả định'!$B$15*('Chi phí'!$F$77+'Chi phí'!$G$77*B413+'Chi phí'!$H$77*A413))*(1+'Giả định'!$B$16)</f>
        <v>442595120</v>
      </c>
      <c r="E413" s="25" t="n">
        <f aca="false">A413/'Giả định'!$B$19*'Giả định'!$B$20+A413*'Giả định'!$B$23+'Giả định'!$B$24</f>
        <v>301714285.714286</v>
      </c>
      <c r="F413" s="25" t="n">
        <f aca="false">E413-D413</f>
        <v>-140880834.285714</v>
      </c>
      <c r="G413" s="25" t="n">
        <f aca="false">E413-C413</f>
        <v>2064165.71428573</v>
      </c>
      <c r="H413" s="7" t="str">
        <f aca="false">IF(F413&gt;=0,A413,"")</f>
        <v/>
      </c>
      <c r="I413" s="7" t="n">
        <f aca="false">IF(F413&lt;0,A413,0)</f>
        <v>408</v>
      </c>
      <c r="J413" s="7" t="n">
        <f aca="false">IF(G413&gt;=0,A413,"")</f>
        <v>408</v>
      </c>
      <c r="K413" s="7" t="n">
        <f aca="false">IF(G413&lt;0,A413,0)</f>
        <v>0</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299686860</v>
      </c>
      <c r="D414" s="25" t="n">
        <f aca="false">('Chi phí'!$C$77+'Chi phí'!$D$77*B414+'Chi phí'!$E$77*A414+'Giả định'!$B$15*('Chi phí'!$F$77+'Chi phí'!$G$77*B414+'Chi phí'!$H$77*A414))*(1+'Giả định'!$B$16)</f>
        <v>442631860</v>
      </c>
      <c r="E414" s="25" t="n">
        <f aca="false">A414/'Giả định'!$B$19*'Giả định'!$B$20+A414*'Giả định'!$B$23+'Giả định'!$B$24</f>
        <v>302453781.512605</v>
      </c>
      <c r="F414" s="25" t="n">
        <f aca="false">E414-D414</f>
        <v>-140178078.487395</v>
      </c>
      <c r="G414" s="25" t="n">
        <f aca="false">E414-C414</f>
        <v>2766921.51260507</v>
      </c>
      <c r="H414" s="7" t="str">
        <f aca="false">IF(F414&gt;=0,A414,"")</f>
        <v/>
      </c>
      <c r="I414" s="7" t="n">
        <f aca="false">IF(F414&lt;0,A414,0)</f>
        <v>409</v>
      </c>
      <c r="J414" s="7" t="n">
        <f aca="false">IF(G414&gt;=0,A414,"")</f>
        <v>409</v>
      </c>
      <c r="K414" s="7" t="n">
        <f aca="false">IF(G414&lt;0,A414,0)</f>
        <v>0</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299723600</v>
      </c>
      <c r="D415" s="25" t="n">
        <f aca="false">('Chi phí'!$C$77+'Chi phí'!$D$77*B415+'Chi phí'!$E$77*A415+'Giả định'!$B$15*('Chi phí'!$F$77+'Chi phí'!$G$77*B415+'Chi phí'!$H$77*A415))*(1+'Giả định'!$B$16)</f>
        <v>442668600</v>
      </c>
      <c r="E415" s="25" t="n">
        <f aca="false">A415/'Giả định'!$B$19*'Giả định'!$B$20+A415*'Giả định'!$B$23+'Giả định'!$B$24</f>
        <v>303193277.310924</v>
      </c>
      <c r="F415" s="25" t="n">
        <f aca="false">E415-D415</f>
        <v>-139475322.689076</v>
      </c>
      <c r="G415" s="25" t="n">
        <f aca="false">E415-C415</f>
        <v>3469677.31092441</v>
      </c>
      <c r="H415" s="7" t="str">
        <f aca="false">IF(F415&gt;=0,A415,"")</f>
        <v/>
      </c>
      <c r="I415" s="7" t="n">
        <f aca="false">IF(F415&lt;0,A415,0)</f>
        <v>410</v>
      </c>
      <c r="J415" s="7" t="n">
        <f aca="false">IF(G415&gt;=0,A415,"")</f>
        <v>410</v>
      </c>
      <c r="K415" s="7" t="n">
        <f aca="false">IF(G415&lt;0,A415,0)</f>
        <v>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305145940</v>
      </c>
      <c r="D416" s="25" t="n">
        <f aca="false">('Chi phí'!$C$77+'Chi phí'!$D$77*B416+'Chi phí'!$E$77*A416+'Giả định'!$B$15*('Chi phí'!$F$77+'Chi phí'!$G$77*B416+'Chi phí'!$H$77*A416))*(1+'Giả định'!$B$16)</f>
        <v>448090940</v>
      </c>
      <c r="E416" s="25" t="n">
        <f aca="false">A416/'Giả định'!$B$19*'Giả định'!$B$20+A416*'Giả định'!$B$23+'Giả định'!$B$24</f>
        <v>303932773.109244</v>
      </c>
      <c r="F416" s="25" t="n">
        <f aca="false">E416-D416</f>
        <v>-144158166.890756</v>
      </c>
      <c r="G416" s="25" t="n">
        <f aca="false">E416-C416</f>
        <v>-1213166.89075625</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305182680</v>
      </c>
      <c r="D417" s="25" t="n">
        <f aca="false">('Chi phí'!$C$77+'Chi phí'!$D$77*B417+'Chi phí'!$E$77*A417+'Giả định'!$B$15*('Chi phí'!$F$77+'Chi phí'!$G$77*B417+'Chi phí'!$H$77*A417))*(1+'Giả định'!$B$16)</f>
        <v>448127680</v>
      </c>
      <c r="E417" s="25" t="n">
        <f aca="false">A417/'Giả định'!$B$19*'Giả định'!$B$20+A417*'Giả định'!$B$23+'Giả định'!$B$24</f>
        <v>304672268.907563</v>
      </c>
      <c r="F417" s="25" t="n">
        <f aca="false">E417-D417</f>
        <v>-143455411.092437</v>
      </c>
      <c r="G417" s="25" t="n">
        <f aca="false">E417-C417</f>
        <v>-510411.092436969</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305219420</v>
      </c>
      <c r="D418" s="25" t="n">
        <f aca="false">('Chi phí'!$C$77+'Chi phí'!$D$77*B418+'Chi phí'!$E$77*A418+'Giả định'!$B$15*('Chi phí'!$F$77+'Chi phí'!$G$77*B418+'Chi phí'!$H$77*A418))*(1+'Giả định'!$B$16)</f>
        <v>448164420</v>
      </c>
      <c r="E418" s="25" t="n">
        <f aca="false">A418/'Giả định'!$B$19*'Giả định'!$B$20+A418*'Giả định'!$B$23+'Giả định'!$B$24</f>
        <v>305411764.705882</v>
      </c>
      <c r="F418" s="25" t="n">
        <f aca="false">E418-D418</f>
        <v>-142752655.294118</v>
      </c>
      <c r="G418" s="25" t="n">
        <f aca="false">E418-C418</f>
        <v>192344.70588237</v>
      </c>
      <c r="H418" s="7" t="str">
        <f aca="false">IF(F418&gt;=0,A418,"")</f>
        <v/>
      </c>
      <c r="I418" s="7" t="n">
        <f aca="false">IF(F418&lt;0,A418,0)</f>
        <v>413</v>
      </c>
      <c r="J418" s="7" t="n">
        <f aca="false">IF(G418&gt;=0,A418,"")</f>
        <v>413</v>
      </c>
      <c r="K418" s="7" t="n">
        <f aca="false">IF(G418&lt;0,A418,0)</f>
        <v>0</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305256160</v>
      </c>
      <c r="D419" s="25" t="n">
        <f aca="false">('Chi phí'!$C$77+'Chi phí'!$D$77*B419+'Chi phí'!$E$77*A419+'Giả định'!$B$15*('Chi phí'!$F$77+'Chi phí'!$G$77*B419+'Chi phí'!$H$77*A419))*(1+'Giả định'!$B$16)</f>
        <v>448201160</v>
      </c>
      <c r="E419" s="25" t="n">
        <f aca="false">A419/'Giả định'!$B$19*'Giả định'!$B$20+A419*'Giả định'!$B$23+'Giả định'!$B$24</f>
        <v>306151260.504202</v>
      </c>
      <c r="F419" s="25" t="n">
        <f aca="false">E419-D419</f>
        <v>-142049899.495798</v>
      </c>
      <c r="G419" s="25" t="n">
        <f aca="false">E419-C419</f>
        <v>895100.50420171</v>
      </c>
      <c r="H419" s="7" t="str">
        <f aca="false">IF(F419&gt;=0,A419,"")</f>
        <v/>
      </c>
      <c r="I419" s="7" t="n">
        <f aca="false">IF(F419&lt;0,A419,0)</f>
        <v>414</v>
      </c>
      <c r="J419" s="7" t="n">
        <f aca="false">IF(G419&gt;=0,A419,"")</f>
        <v>414</v>
      </c>
      <c r="K419" s="7" t="n">
        <f aca="false">IF(G419&lt;0,A419,0)</f>
        <v>0</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305292900</v>
      </c>
      <c r="D420" s="25" t="n">
        <f aca="false">('Chi phí'!$C$77+'Chi phí'!$D$77*B420+'Chi phí'!$E$77*A420+'Giả định'!$B$15*('Chi phí'!$F$77+'Chi phí'!$G$77*B420+'Chi phí'!$H$77*A420))*(1+'Giả định'!$B$16)</f>
        <v>448237900</v>
      </c>
      <c r="E420" s="25" t="n">
        <f aca="false">A420/'Giả định'!$B$19*'Giả định'!$B$20+A420*'Giả định'!$B$23+'Giả định'!$B$24</f>
        <v>306890756.302521</v>
      </c>
      <c r="F420" s="25" t="n">
        <f aca="false">E420-D420</f>
        <v>-141347143.697479</v>
      </c>
      <c r="G420" s="25" t="n">
        <f aca="false">E420-C420</f>
        <v>1597856.30252105</v>
      </c>
      <c r="H420" s="7" t="str">
        <f aca="false">IF(F420&gt;=0,A420,"")</f>
        <v/>
      </c>
      <c r="I420" s="7" t="n">
        <f aca="false">IF(F420&lt;0,A420,0)</f>
        <v>415</v>
      </c>
      <c r="J420" s="7" t="n">
        <f aca="false">IF(G420&gt;=0,A420,"")</f>
        <v>415</v>
      </c>
      <c r="K420" s="7" t="n">
        <f aca="false">IF(G420&lt;0,A420,0)</f>
        <v>0</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305329640</v>
      </c>
      <c r="D421" s="25" t="n">
        <f aca="false">('Chi phí'!$C$77+'Chi phí'!$D$77*B421+'Chi phí'!$E$77*A421+'Giả định'!$B$15*('Chi phí'!$F$77+'Chi phí'!$G$77*B421+'Chi phí'!$H$77*A421))*(1+'Giả định'!$B$16)</f>
        <v>448274640</v>
      </c>
      <c r="E421" s="25" t="n">
        <f aca="false">A421/'Giả định'!$B$19*'Giả định'!$B$20+A421*'Giả định'!$B$23+'Giả định'!$B$24</f>
        <v>307630252.10084</v>
      </c>
      <c r="F421" s="25" t="n">
        <f aca="false">E421-D421</f>
        <v>-140644387.89916</v>
      </c>
      <c r="G421" s="25" t="n">
        <f aca="false">E421-C421</f>
        <v>2300612.10084039</v>
      </c>
      <c r="H421" s="7" t="str">
        <f aca="false">IF(F421&gt;=0,A421,"")</f>
        <v/>
      </c>
      <c r="I421" s="7" t="n">
        <f aca="false">IF(F421&lt;0,A421,0)</f>
        <v>416</v>
      </c>
      <c r="J421" s="7" t="n">
        <f aca="false">IF(G421&gt;=0,A421,"")</f>
        <v>416</v>
      </c>
      <c r="K421" s="7" t="n">
        <f aca="false">IF(G421&lt;0,A421,0)</f>
        <v>0</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305366380</v>
      </c>
      <c r="D422" s="25" t="n">
        <f aca="false">('Chi phí'!$C$77+'Chi phí'!$D$77*B422+'Chi phí'!$E$77*A422+'Giả định'!$B$15*('Chi phí'!$F$77+'Chi phí'!$G$77*B422+'Chi phí'!$H$77*A422))*(1+'Giả định'!$B$16)</f>
        <v>448311380</v>
      </c>
      <c r="E422" s="25" t="n">
        <f aca="false">A422/'Giả định'!$B$19*'Giả định'!$B$20+A422*'Giả định'!$B$23+'Giả định'!$B$24</f>
        <v>308369747.89916</v>
      </c>
      <c r="F422" s="25" t="n">
        <f aca="false">E422-D422</f>
        <v>-139941632.10084</v>
      </c>
      <c r="G422" s="25" t="n">
        <f aca="false">E422-C422</f>
        <v>3003367.89915967</v>
      </c>
      <c r="H422" s="7" t="str">
        <f aca="false">IF(F422&gt;=0,A422,"")</f>
        <v/>
      </c>
      <c r="I422" s="7" t="n">
        <f aca="false">IF(F422&lt;0,A422,0)</f>
        <v>417</v>
      </c>
      <c r="J422" s="7" t="n">
        <f aca="false">IF(G422&gt;=0,A422,"")</f>
        <v>417</v>
      </c>
      <c r="K422" s="7" t="n">
        <f aca="false">IF(G422&lt;0,A422,0)</f>
        <v>0</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305403120</v>
      </c>
      <c r="D423" s="25" t="n">
        <f aca="false">('Chi phí'!$C$77+'Chi phí'!$D$77*B423+'Chi phí'!$E$77*A423+'Giả định'!$B$15*('Chi phí'!$F$77+'Chi phí'!$G$77*B423+'Chi phí'!$H$77*A423))*(1+'Giả định'!$B$16)</f>
        <v>448348120</v>
      </c>
      <c r="E423" s="25" t="n">
        <f aca="false">A423/'Giả định'!$B$19*'Giả định'!$B$20+A423*'Giả định'!$B$23+'Giả định'!$B$24</f>
        <v>309109243.697479</v>
      </c>
      <c r="F423" s="25" t="n">
        <f aca="false">E423-D423</f>
        <v>-139238876.302521</v>
      </c>
      <c r="G423" s="25" t="n">
        <f aca="false">E423-C423</f>
        <v>3706123.69747901</v>
      </c>
      <c r="H423" s="7" t="str">
        <f aca="false">IF(F423&gt;=0,A423,"")</f>
        <v/>
      </c>
      <c r="I423" s="7" t="n">
        <f aca="false">IF(F423&lt;0,A423,0)</f>
        <v>418</v>
      </c>
      <c r="J423" s="7" t="n">
        <f aca="false">IF(G423&gt;=0,A423,"")</f>
        <v>418</v>
      </c>
      <c r="K423" s="7" t="n">
        <f aca="false">IF(G423&lt;0,A423,0)</f>
        <v>0</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305439860</v>
      </c>
      <c r="D424" s="25" t="n">
        <f aca="false">('Chi phí'!$C$77+'Chi phí'!$D$77*B424+'Chi phí'!$E$77*A424+'Giả định'!$B$15*('Chi phí'!$F$77+'Chi phí'!$G$77*B424+'Chi phí'!$H$77*A424))*(1+'Giả định'!$B$16)</f>
        <v>448384860</v>
      </c>
      <c r="E424" s="25" t="n">
        <f aca="false">A424/'Giả định'!$B$19*'Giả định'!$B$20+A424*'Giả định'!$B$23+'Giả định'!$B$24</f>
        <v>309848739.495798</v>
      </c>
      <c r="F424" s="25" t="n">
        <f aca="false">E424-D424</f>
        <v>-138536120.504202</v>
      </c>
      <c r="G424" s="25" t="n">
        <f aca="false">E424-C424</f>
        <v>4408879.49579829</v>
      </c>
      <c r="H424" s="7" t="str">
        <f aca="false">IF(F424&gt;=0,A424,"")</f>
        <v/>
      </c>
      <c r="I424" s="7" t="n">
        <f aca="false">IF(F424&lt;0,A424,0)</f>
        <v>419</v>
      </c>
      <c r="J424" s="7" t="n">
        <f aca="false">IF(G424&gt;=0,A424,"")</f>
        <v>419</v>
      </c>
      <c r="K424" s="7" t="n">
        <f aca="false">IF(G424&lt;0,A424,0)</f>
        <v>0</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305476600</v>
      </c>
      <c r="D425" s="25" t="n">
        <f aca="false">('Chi phí'!$C$77+'Chi phí'!$D$77*B425+'Chi phí'!$E$77*A425+'Giả định'!$B$15*('Chi phí'!$F$77+'Chi phí'!$G$77*B425+'Chi phí'!$H$77*A425))*(1+'Giả định'!$B$16)</f>
        <v>448421600</v>
      </c>
      <c r="E425" s="25" t="n">
        <f aca="false">A425/'Giả định'!$B$19*'Giả định'!$B$20+A425*'Giả định'!$B$23+'Giả định'!$B$24</f>
        <v>310588235.294118</v>
      </c>
      <c r="F425" s="25" t="n">
        <f aca="false">E425-D425</f>
        <v>-137833364.705882</v>
      </c>
      <c r="G425" s="25" t="n">
        <f aca="false">E425-C425</f>
        <v>5111635.29411763</v>
      </c>
      <c r="H425" s="7" t="str">
        <f aca="false">IF(F425&gt;=0,A425,"")</f>
        <v/>
      </c>
      <c r="I425" s="7" t="n">
        <f aca="false">IF(F425&lt;0,A425,0)</f>
        <v>420</v>
      </c>
      <c r="J425" s="7" t="n">
        <f aca="false">IF(G425&gt;=0,A425,"")</f>
        <v>420</v>
      </c>
      <c r="K425" s="7" t="n">
        <f aca="false">IF(G425&lt;0,A425,0)</f>
        <v>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310898940</v>
      </c>
      <c r="D426" s="25" t="n">
        <f aca="false">('Chi phí'!$C$77+'Chi phí'!$D$77*B426+'Chi phí'!$E$77*A426+'Giả định'!$B$15*('Chi phí'!$F$77+'Chi phí'!$G$77*B426+'Chi phí'!$H$77*A426))*(1+'Giả định'!$B$16)</f>
        <v>453843940</v>
      </c>
      <c r="E426" s="25" t="n">
        <f aca="false">A426/'Giả định'!$B$19*'Giả định'!$B$20+A426*'Giả định'!$B$23+'Giả định'!$B$24</f>
        <v>311327731.092437</v>
      </c>
      <c r="F426" s="25" t="n">
        <f aca="false">E426-D426</f>
        <v>-142516208.907563</v>
      </c>
      <c r="G426" s="25" t="n">
        <f aca="false">E426-C426</f>
        <v>428791.092436969</v>
      </c>
      <c r="H426" s="7" t="str">
        <f aca="false">IF(F426&gt;=0,A426,"")</f>
        <v/>
      </c>
      <c r="I426" s="7" t="n">
        <f aca="false">IF(F426&lt;0,A426,0)</f>
        <v>421</v>
      </c>
      <c r="J426" s="7" t="n">
        <f aca="false">IF(G426&gt;=0,A426,"")</f>
        <v>421</v>
      </c>
      <c r="K426" s="7" t="n">
        <f aca="false">IF(G426&lt;0,A426,0)</f>
        <v>0</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310935680</v>
      </c>
      <c r="D427" s="25" t="n">
        <f aca="false">('Chi phí'!$C$77+'Chi phí'!$D$77*B427+'Chi phí'!$E$77*A427+'Giả định'!$B$15*('Chi phí'!$F$77+'Chi phí'!$G$77*B427+'Chi phí'!$H$77*A427))*(1+'Giả định'!$B$16)</f>
        <v>453880680</v>
      </c>
      <c r="E427" s="25" t="n">
        <f aca="false">A427/'Giả định'!$B$19*'Giả định'!$B$20+A427*'Giả định'!$B$23+'Giả định'!$B$24</f>
        <v>312067226.890756</v>
      </c>
      <c r="F427" s="25" t="n">
        <f aca="false">E427-D427</f>
        <v>-141813453.109244</v>
      </c>
      <c r="G427" s="25" t="n">
        <f aca="false">E427-C427</f>
        <v>1131546.89075637</v>
      </c>
      <c r="H427" s="7" t="str">
        <f aca="false">IF(F427&gt;=0,A427,"")</f>
        <v/>
      </c>
      <c r="I427" s="7" t="n">
        <f aca="false">IF(F427&lt;0,A427,0)</f>
        <v>422</v>
      </c>
      <c r="J427" s="7" t="n">
        <f aca="false">IF(G427&gt;=0,A427,"")</f>
        <v>422</v>
      </c>
      <c r="K427" s="7" t="n">
        <f aca="false">IF(G427&lt;0,A427,0)</f>
        <v>0</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310972420</v>
      </c>
      <c r="D428" s="25" t="n">
        <f aca="false">('Chi phí'!$C$77+'Chi phí'!$D$77*B428+'Chi phí'!$E$77*A428+'Giả định'!$B$15*('Chi phí'!$F$77+'Chi phí'!$G$77*B428+'Chi phí'!$H$77*A428))*(1+'Giả định'!$B$16)</f>
        <v>453917420</v>
      </c>
      <c r="E428" s="25" t="n">
        <f aca="false">A428/'Giả định'!$B$19*'Giả định'!$B$20+A428*'Giả định'!$B$23+'Giả định'!$B$24</f>
        <v>312806722.689076</v>
      </c>
      <c r="F428" s="25" t="n">
        <f aca="false">E428-D428</f>
        <v>-141110697.310924</v>
      </c>
      <c r="G428" s="25" t="n">
        <f aca="false">E428-C428</f>
        <v>1834302.68907571</v>
      </c>
      <c r="H428" s="7" t="str">
        <f aca="false">IF(F428&gt;=0,A428,"")</f>
        <v/>
      </c>
      <c r="I428" s="7" t="n">
        <f aca="false">IF(F428&lt;0,A428,0)</f>
        <v>423</v>
      </c>
      <c r="J428" s="7" t="n">
        <f aca="false">IF(G428&gt;=0,A428,"")</f>
        <v>423</v>
      </c>
      <c r="K428" s="7" t="n">
        <f aca="false">IF(G428&lt;0,A428,0)</f>
        <v>0</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311009160</v>
      </c>
      <c r="D429" s="25" t="n">
        <f aca="false">('Chi phí'!$C$77+'Chi phí'!$D$77*B429+'Chi phí'!$E$77*A429+'Giả định'!$B$15*('Chi phí'!$F$77+'Chi phí'!$G$77*B429+'Chi phí'!$H$77*A429))*(1+'Giả định'!$B$16)</f>
        <v>453954160</v>
      </c>
      <c r="E429" s="25" t="n">
        <f aca="false">A429/'Giả định'!$B$19*'Giả định'!$B$20+A429*'Giả định'!$B$23+'Giả định'!$B$24</f>
        <v>313546218.487395</v>
      </c>
      <c r="F429" s="25" t="n">
        <f aca="false">E429-D429</f>
        <v>-140407941.512605</v>
      </c>
      <c r="G429" s="25" t="n">
        <f aca="false">E429-C429</f>
        <v>2537058.48739499</v>
      </c>
      <c r="H429" s="7" t="str">
        <f aca="false">IF(F429&gt;=0,A429,"")</f>
        <v/>
      </c>
      <c r="I429" s="7" t="n">
        <f aca="false">IF(F429&lt;0,A429,0)</f>
        <v>424</v>
      </c>
      <c r="J429" s="7" t="n">
        <f aca="false">IF(G429&gt;=0,A429,"")</f>
        <v>424</v>
      </c>
      <c r="K429" s="7" t="n">
        <f aca="false">IF(G429&lt;0,A429,0)</f>
        <v>0</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311045900</v>
      </c>
      <c r="D430" s="25" t="n">
        <f aca="false">('Chi phí'!$C$77+'Chi phí'!$D$77*B430+'Chi phí'!$E$77*A430+'Giả định'!$B$15*('Chi phí'!$F$77+'Chi phí'!$G$77*B430+'Chi phí'!$H$77*A430))*(1+'Giả định'!$B$16)</f>
        <v>453990900</v>
      </c>
      <c r="E430" s="25" t="n">
        <f aca="false">A430/'Giả định'!$B$19*'Giả định'!$B$20+A430*'Giả định'!$B$23+'Giả định'!$B$24</f>
        <v>314285714.285714</v>
      </c>
      <c r="F430" s="25" t="n">
        <f aca="false">E430-D430</f>
        <v>-139705185.714286</v>
      </c>
      <c r="G430" s="25" t="n">
        <f aca="false">E430-C430</f>
        <v>3239814.28571433</v>
      </c>
      <c r="H430" s="7" t="str">
        <f aca="false">IF(F430&gt;=0,A430,"")</f>
        <v/>
      </c>
      <c r="I430" s="7" t="n">
        <f aca="false">IF(F430&lt;0,A430,0)</f>
        <v>425</v>
      </c>
      <c r="J430" s="7" t="n">
        <f aca="false">IF(G430&gt;=0,A430,"")</f>
        <v>425</v>
      </c>
      <c r="K430" s="7" t="n">
        <f aca="false">IF(G430&lt;0,A430,0)</f>
        <v>0</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311082640</v>
      </c>
      <c r="D431" s="25" t="n">
        <f aca="false">('Chi phí'!$C$77+'Chi phí'!$D$77*B431+'Chi phí'!$E$77*A431+'Giả định'!$B$15*('Chi phí'!$F$77+'Chi phí'!$G$77*B431+'Chi phí'!$H$77*A431))*(1+'Giả định'!$B$16)</f>
        <v>454027640</v>
      </c>
      <c r="E431" s="25" t="n">
        <f aca="false">A431/'Giả định'!$B$19*'Giả định'!$B$20+A431*'Giả định'!$B$23+'Giả định'!$B$24</f>
        <v>315025210.084034</v>
      </c>
      <c r="F431" s="25" t="n">
        <f aca="false">E431-D431</f>
        <v>-139002429.915966</v>
      </c>
      <c r="G431" s="25" t="n">
        <f aca="false">E431-C431</f>
        <v>3942570.08403361</v>
      </c>
      <c r="H431" s="7" t="str">
        <f aca="false">IF(F431&gt;=0,A431,"")</f>
        <v/>
      </c>
      <c r="I431" s="7" t="n">
        <f aca="false">IF(F431&lt;0,A431,0)</f>
        <v>426</v>
      </c>
      <c r="J431" s="7" t="n">
        <f aca="false">IF(G431&gt;=0,A431,"")</f>
        <v>426</v>
      </c>
      <c r="K431" s="7" t="n">
        <f aca="false">IF(G431&lt;0,A431,0)</f>
        <v>0</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311119380</v>
      </c>
      <c r="D432" s="25" t="n">
        <f aca="false">('Chi phí'!$C$77+'Chi phí'!$D$77*B432+'Chi phí'!$E$77*A432+'Giả định'!$B$15*('Chi phí'!$F$77+'Chi phí'!$G$77*B432+'Chi phí'!$H$77*A432))*(1+'Giả định'!$B$16)</f>
        <v>454064380</v>
      </c>
      <c r="E432" s="25" t="n">
        <f aca="false">A432/'Giả định'!$B$19*'Giả định'!$B$20+A432*'Giả định'!$B$23+'Giả định'!$B$24</f>
        <v>315764705.882353</v>
      </c>
      <c r="F432" s="25" t="n">
        <f aca="false">E432-D432</f>
        <v>-138299674.117647</v>
      </c>
      <c r="G432" s="25" t="n">
        <f aca="false">E432-C432</f>
        <v>4645325.88235295</v>
      </c>
      <c r="H432" s="7" t="str">
        <f aca="false">IF(F432&gt;=0,A432,"")</f>
        <v/>
      </c>
      <c r="I432" s="7" t="n">
        <f aca="false">IF(F432&lt;0,A432,0)</f>
        <v>427</v>
      </c>
      <c r="J432" s="7" t="n">
        <f aca="false">IF(G432&gt;=0,A432,"")</f>
        <v>427</v>
      </c>
      <c r="K432" s="7" t="n">
        <f aca="false">IF(G432&lt;0,A432,0)</f>
        <v>0</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311156120</v>
      </c>
      <c r="D433" s="25" t="n">
        <f aca="false">('Chi phí'!$C$77+'Chi phí'!$D$77*B433+'Chi phí'!$E$77*A433+'Giả định'!$B$15*('Chi phí'!$F$77+'Chi phí'!$G$77*B433+'Chi phí'!$H$77*A433))*(1+'Giả định'!$B$16)</f>
        <v>454101120</v>
      </c>
      <c r="E433" s="25" t="n">
        <f aca="false">A433/'Giả định'!$B$19*'Giả định'!$B$20+A433*'Giả định'!$B$23+'Giả định'!$B$24</f>
        <v>316504201.680672</v>
      </c>
      <c r="F433" s="25" t="n">
        <f aca="false">E433-D433</f>
        <v>-137596918.319328</v>
      </c>
      <c r="G433" s="25" t="n">
        <f aca="false">E433-C433</f>
        <v>5348081.68067229</v>
      </c>
      <c r="H433" s="7" t="str">
        <f aca="false">IF(F433&gt;=0,A433,"")</f>
        <v/>
      </c>
      <c r="I433" s="7" t="n">
        <f aca="false">IF(F433&lt;0,A433,0)</f>
        <v>428</v>
      </c>
      <c r="J433" s="7" t="n">
        <f aca="false">IF(G433&gt;=0,A433,"")</f>
        <v>428</v>
      </c>
      <c r="K433" s="7" t="n">
        <f aca="false">IF(G433&lt;0,A433,0)</f>
        <v>0</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311192860</v>
      </c>
      <c r="D434" s="25" t="n">
        <f aca="false">('Chi phí'!$C$77+'Chi phí'!$D$77*B434+'Chi phí'!$E$77*A434+'Giả định'!$B$15*('Chi phí'!$F$77+'Chi phí'!$G$77*B434+'Chi phí'!$H$77*A434))*(1+'Giả định'!$B$16)</f>
        <v>454137860</v>
      </c>
      <c r="E434" s="25" t="n">
        <f aca="false">A434/'Giả định'!$B$19*'Giả định'!$B$20+A434*'Giả định'!$B$23+'Giả định'!$B$24</f>
        <v>317243697.478992</v>
      </c>
      <c r="F434" s="25" t="n">
        <f aca="false">E434-D434</f>
        <v>-136894162.521008</v>
      </c>
      <c r="G434" s="25" t="n">
        <f aca="false">E434-C434</f>
        <v>6050837.47899163</v>
      </c>
      <c r="H434" s="7" t="str">
        <f aca="false">IF(F434&gt;=0,A434,"")</f>
        <v/>
      </c>
      <c r="I434" s="7" t="n">
        <f aca="false">IF(F434&lt;0,A434,0)</f>
        <v>429</v>
      </c>
      <c r="J434" s="7" t="n">
        <f aca="false">IF(G434&gt;=0,A434,"")</f>
        <v>429</v>
      </c>
      <c r="K434" s="7" t="n">
        <f aca="false">IF(G434&lt;0,A434,0)</f>
        <v>0</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311229600</v>
      </c>
      <c r="D435" s="25" t="n">
        <f aca="false">('Chi phí'!$C$77+'Chi phí'!$D$77*B435+'Chi phí'!$E$77*A435+'Giả định'!$B$15*('Chi phí'!$F$77+'Chi phí'!$G$77*B435+'Chi phí'!$H$77*A435))*(1+'Giả định'!$B$16)</f>
        <v>454174600</v>
      </c>
      <c r="E435" s="25" t="n">
        <f aca="false">A435/'Giả định'!$B$19*'Giả định'!$B$20+A435*'Giả định'!$B$23+'Giả định'!$B$24</f>
        <v>317983193.277311</v>
      </c>
      <c r="F435" s="25" t="n">
        <f aca="false">E435-D435</f>
        <v>-136191406.722689</v>
      </c>
      <c r="G435" s="25" t="n">
        <f aca="false">E435-C435</f>
        <v>6753593.27731097</v>
      </c>
      <c r="H435" s="7" t="str">
        <f aca="false">IF(F435&gt;=0,A435,"")</f>
        <v/>
      </c>
      <c r="I435" s="7" t="n">
        <f aca="false">IF(F435&lt;0,A435,0)</f>
        <v>430</v>
      </c>
      <c r="J435" s="7" t="n">
        <f aca="false">IF(G435&gt;=0,A435,"")</f>
        <v>430</v>
      </c>
      <c r="K435" s="7" t="n">
        <f aca="false">IF(G435&lt;0,A435,0)</f>
        <v>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316651940</v>
      </c>
      <c r="D436" s="25" t="n">
        <f aca="false">('Chi phí'!$C$77+'Chi phí'!$D$77*B436+'Chi phí'!$E$77*A436+'Giả định'!$B$15*('Chi phí'!$F$77+'Chi phí'!$G$77*B436+'Chi phí'!$H$77*A436))*(1+'Giả định'!$B$16)</f>
        <v>459596940</v>
      </c>
      <c r="E436" s="25" t="n">
        <f aca="false">A436/'Giả định'!$B$19*'Giả định'!$B$20+A436*'Giả định'!$B$23+'Giả định'!$B$24</f>
        <v>318722689.07563</v>
      </c>
      <c r="F436" s="25" t="n">
        <f aca="false">E436-D436</f>
        <v>-140874250.92437</v>
      </c>
      <c r="G436" s="25" t="n">
        <f aca="false">E436-C436</f>
        <v>2070749.07563025</v>
      </c>
      <c r="H436" s="7" t="str">
        <f aca="false">IF(F436&gt;=0,A436,"")</f>
        <v/>
      </c>
      <c r="I436" s="7" t="n">
        <f aca="false">IF(F436&lt;0,A436,0)</f>
        <v>431</v>
      </c>
      <c r="J436" s="7" t="n">
        <f aca="false">IF(G436&gt;=0,A436,"")</f>
        <v>431</v>
      </c>
      <c r="K436" s="7" t="n">
        <f aca="false">IF(G436&lt;0,A436,0)</f>
        <v>0</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316688680</v>
      </c>
      <c r="D437" s="25" t="n">
        <f aca="false">('Chi phí'!$C$77+'Chi phí'!$D$77*B437+'Chi phí'!$E$77*A437+'Giả định'!$B$15*('Chi phí'!$F$77+'Chi phí'!$G$77*B437+'Chi phí'!$H$77*A437))*(1+'Giả định'!$B$16)</f>
        <v>459633680</v>
      </c>
      <c r="E437" s="25" t="n">
        <f aca="false">A437/'Giả định'!$B$19*'Giả định'!$B$20+A437*'Giả định'!$B$23+'Giả định'!$B$24</f>
        <v>319462184.87395</v>
      </c>
      <c r="F437" s="25" t="n">
        <f aca="false">E437-D437</f>
        <v>-140171495.12605</v>
      </c>
      <c r="G437" s="25" t="n">
        <f aca="false">E437-C437</f>
        <v>2773504.87394959</v>
      </c>
      <c r="H437" s="7" t="str">
        <f aca="false">IF(F437&gt;=0,A437,"")</f>
        <v/>
      </c>
      <c r="I437" s="7" t="n">
        <f aca="false">IF(F437&lt;0,A437,0)</f>
        <v>432</v>
      </c>
      <c r="J437" s="7" t="n">
        <f aca="false">IF(G437&gt;=0,A437,"")</f>
        <v>432</v>
      </c>
      <c r="K437" s="7" t="n">
        <f aca="false">IF(G437&lt;0,A437,0)</f>
        <v>0</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316725420</v>
      </c>
      <c r="D438" s="25" t="n">
        <f aca="false">('Chi phí'!$C$77+'Chi phí'!$D$77*B438+'Chi phí'!$E$77*A438+'Giả định'!$B$15*('Chi phí'!$F$77+'Chi phí'!$G$77*B438+'Chi phí'!$H$77*A438))*(1+'Giả định'!$B$16)</f>
        <v>459670420</v>
      </c>
      <c r="E438" s="25" t="n">
        <f aca="false">A438/'Giả định'!$B$19*'Giả định'!$B$20+A438*'Giả định'!$B$23+'Giả định'!$B$24</f>
        <v>320201680.672269</v>
      </c>
      <c r="F438" s="25" t="n">
        <f aca="false">E438-D438</f>
        <v>-139468739.327731</v>
      </c>
      <c r="G438" s="25" t="n">
        <f aca="false">E438-C438</f>
        <v>3476260.67226887</v>
      </c>
      <c r="H438" s="7" t="str">
        <f aca="false">IF(F438&gt;=0,A438,"")</f>
        <v/>
      </c>
      <c r="I438" s="7" t="n">
        <f aca="false">IF(F438&lt;0,A438,0)</f>
        <v>433</v>
      </c>
      <c r="J438" s="7" t="n">
        <f aca="false">IF(G438&gt;=0,A438,"")</f>
        <v>433</v>
      </c>
      <c r="K438" s="7" t="n">
        <f aca="false">IF(G438&lt;0,A438,0)</f>
        <v>0</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316762160</v>
      </c>
      <c r="D439" s="25" t="n">
        <f aca="false">('Chi phí'!$C$77+'Chi phí'!$D$77*B439+'Chi phí'!$E$77*A439+'Giả định'!$B$15*('Chi phí'!$F$77+'Chi phí'!$G$77*B439+'Chi phí'!$H$77*A439))*(1+'Giả định'!$B$16)</f>
        <v>459707160</v>
      </c>
      <c r="E439" s="25" t="n">
        <f aca="false">A439/'Giả định'!$B$19*'Giả định'!$B$20+A439*'Giả định'!$B$23+'Giả định'!$B$24</f>
        <v>320941176.470588</v>
      </c>
      <c r="F439" s="25" t="n">
        <f aca="false">E439-D439</f>
        <v>-138765983.529412</v>
      </c>
      <c r="G439" s="25" t="n">
        <f aca="false">E439-C439</f>
        <v>4179016.47058827</v>
      </c>
      <c r="H439" s="7" t="str">
        <f aca="false">IF(F439&gt;=0,A439,"")</f>
        <v/>
      </c>
      <c r="I439" s="7" t="n">
        <f aca="false">IF(F439&lt;0,A439,0)</f>
        <v>434</v>
      </c>
      <c r="J439" s="7" t="n">
        <f aca="false">IF(G439&gt;=0,A439,"")</f>
        <v>434</v>
      </c>
      <c r="K439" s="7" t="n">
        <f aca="false">IF(G439&lt;0,A439,0)</f>
        <v>0</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316798900</v>
      </c>
      <c r="D440" s="25" t="n">
        <f aca="false">('Chi phí'!$C$77+'Chi phí'!$D$77*B440+'Chi phí'!$E$77*A440+'Giả định'!$B$15*('Chi phí'!$F$77+'Chi phí'!$G$77*B440+'Chi phí'!$H$77*A440))*(1+'Giả định'!$B$16)</f>
        <v>459743900</v>
      </c>
      <c r="E440" s="25" t="n">
        <f aca="false">A440/'Giả định'!$B$19*'Giả định'!$B$20+A440*'Giả định'!$B$23+'Giả định'!$B$24</f>
        <v>321680672.268908</v>
      </c>
      <c r="F440" s="25" t="n">
        <f aca="false">E440-D440</f>
        <v>-138063227.731092</v>
      </c>
      <c r="G440" s="25" t="n">
        <f aca="false">E440-C440</f>
        <v>4881772.26890761</v>
      </c>
      <c r="H440" s="7" t="str">
        <f aca="false">IF(F440&gt;=0,A440,"")</f>
        <v/>
      </c>
      <c r="I440" s="7" t="n">
        <f aca="false">IF(F440&lt;0,A440,0)</f>
        <v>435</v>
      </c>
      <c r="J440" s="7" t="n">
        <f aca="false">IF(G440&gt;=0,A440,"")</f>
        <v>435</v>
      </c>
      <c r="K440" s="7" t="n">
        <f aca="false">IF(G440&lt;0,A440,0)</f>
        <v>0</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316835640</v>
      </c>
      <c r="D441" s="25" t="n">
        <f aca="false">('Chi phí'!$C$77+'Chi phí'!$D$77*B441+'Chi phí'!$E$77*A441+'Giả định'!$B$15*('Chi phí'!$F$77+'Chi phí'!$G$77*B441+'Chi phí'!$H$77*A441))*(1+'Giả định'!$B$16)</f>
        <v>459780640</v>
      </c>
      <c r="E441" s="25" t="n">
        <f aca="false">A441/'Giả định'!$B$19*'Giả định'!$B$20+A441*'Giả định'!$B$23+'Giả định'!$B$24</f>
        <v>322420168.067227</v>
      </c>
      <c r="F441" s="25" t="n">
        <f aca="false">E441-D441</f>
        <v>-137360471.932773</v>
      </c>
      <c r="G441" s="25" t="n">
        <f aca="false">E441-C441</f>
        <v>5584528.06722695</v>
      </c>
      <c r="H441" s="7" t="str">
        <f aca="false">IF(F441&gt;=0,A441,"")</f>
        <v/>
      </c>
      <c r="I441" s="7" t="n">
        <f aca="false">IF(F441&lt;0,A441,0)</f>
        <v>436</v>
      </c>
      <c r="J441" s="7" t="n">
        <f aca="false">IF(G441&gt;=0,A441,"")</f>
        <v>436</v>
      </c>
      <c r="K441" s="7" t="n">
        <f aca="false">IF(G441&lt;0,A441,0)</f>
        <v>0</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316872380</v>
      </c>
      <c r="D442" s="25" t="n">
        <f aca="false">('Chi phí'!$C$77+'Chi phí'!$D$77*B442+'Chi phí'!$E$77*A442+'Giả định'!$B$15*('Chi phí'!$F$77+'Chi phí'!$G$77*B442+'Chi phí'!$H$77*A442))*(1+'Giả định'!$B$16)</f>
        <v>459817380</v>
      </c>
      <c r="E442" s="25" t="n">
        <f aca="false">A442/'Giả định'!$B$19*'Giả định'!$B$20+A442*'Giả định'!$B$23+'Giả định'!$B$24</f>
        <v>323159663.865546</v>
      </c>
      <c r="F442" s="25" t="n">
        <f aca="false">E442-D442</f>
        <v>-136657716.134454</v>
      </c>
      <c r="G442" s="25" t="n">
        <f aca="false">E442-C442</f>
        <v>6287283.86554629</v>
      </c>
      <c r="H442" s="7" t="str">
        <f aca="false">IF(F442&gt;=0,A442,"")</f>
        <v/>
      </c>
      <c r="I442" s="7" t="n">
        <f aca="false">IF(F442&lt;0,A442,0)</f>
        <v>437</v>
      </c>
      <c r="J442" s="7" t="n">
        <f aca="false">IF(G442&gt;=0,A442,"")</f>
        <v>437</v>
      </c>
      <c r="K442" s="7" t="n">
        <f aca="false">IF(G442&lt;0,A442,0)</f>
        <v>0</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316909120</v>
      </c>
      <c r="D443" s="25" t="n">
        <f aca="false">('Chi phí'!$C$77+'Chi phí'!$D$77*B443+'Chi phí'!$E$77*A443+'Giả định'!$B$15*('Chi phí'!$F$77+'Chi phí'!$G$77*B443+'Chi phí'!$H$77*A443))*(1+'Giả định'!$B$16)</f>
        <v>459854120</v>
      </c>
      <c r="E443" s="25" t="n">
        <f aca="false">A443/'Giả định'!$B$19*'Giả định'!$B$20+A443*'Giả định'!$B$23+'Giả định'!$B$24</f>
        <v>323899159.663866</v>
      </c>
      <c r="F443" s="25" t="n">
        <f aca="false">E443-D443</f>
        <v>-135954960.336135</v>
      </c>
      <c r="G443" s="25" t="n">
        <f aca="false">E443-C443</f>
        <v>6990039.66386557</v>
      </c>
      <c r="H443" s="7" t="str">
        <f aca="false">IF(F443&gt;=0,A443,"")</f>
        <v/>
      </c>
      <c r="I443" s="7" t="n">
        <f aca="false">IF(F443&lt;0,A443,0)</f>
        <v>438</v>
      </c>
      <c r="J443" s="7" t="n">
        <f aca="false">IF(G443&gt;=0,A443,"")</f>
        <v>438</v>
      </c>
      <c r="K443" s="7" t="n">
        <f aca="false">IF(G443&lt;0,A443,0)</f>
        <v>0</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316945860</v>
      </c>
      <c r="D444" s="25" t="n">
        <f aca="false">('Chi phí'!$C$77+'Chi phí'!$D$77*B444+'Chi phí'!$E$77*A444+'Giả định'!$B$15*('Chi phí'!$F$77+'Chi phí'!$G$77*B444+'Chi phí'!$H$77*A444))*(1+'Giả định'!$B$16)</f>
        <v>459890860</v>
      </c>
      <c r="E444" s="25" t="n">
        <f aca="false">A444/'Giả định'!$B$19*'Giả định'!$B$20+A444*'Giả định'!$B$23+'Giả định'!$B$24</f>
        <v>324638655.462185</v>
      </c>
      <c r="F444" s="25" t="n">
        <f aca="false">E444-D444</f>
        <v>-135252204.537815</v>
      </c>
      <c r="G444" s="25" t="n">
        <f aca="false">E444-C444</f>
        <v>7692795.46218491</v>
      </c>
      <c r="H444" s="7" t="str">
        <f aca="false">IF(F444&gt;=0,A444,"")</f>
        <v/>
      </c>
      <c r="I444" s="7" t="n">
        <f aca="false">IF(F444&lt;0,A444,0)</f>
        <v>439</v>
      </c>
      <c r="J444" s="7" t="n">
        <f aca="false">IF(G444&gt;=0,A444,"")</f>
        <v>439</v>
      </c>
      <c r="K444" s="7" t="n">
        <f aca="false">IF(G444&lt;0,A444,0)</f>
        <v>0</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316982600</v>
      </c>
      <c r="D445" s="25" t="n">
        <f aca="false">('Chi phí'!$C$77+'Chi phí'!$D$77*B445+'Chi phí'!$E$77*A445+'Giả định'!$B$15*('Chi phí'!$F$77+'Chi phí'!$G$77*B445+'Chi phí'!$H$77*A445))*(1+'Giả định'!$B$16)</f>
        <v>459927600</v>
      </c>
      <c r="E445" s="25" t="n">
        <f aca="false">A445/'Giả định'!$B$19*'Giả định'!$B$20+A445*'Giả định'!$B$23+'Giả định'!$B$24</f>
        <v>325378151.260504</v>
      </c>
      <c r="F445" s="25" t="n">
        <f aca="false">E445-D445</f>
        <v>-134549448.739496</v>
      </c>
      <c r="G445" s="25" t="n">
        <f aca="false">E445-C445</f>
        <v>8395551.26050419</v>
      </c>
      <c r="H445" s="7" t="str">
        <f aca="false">IF(F445&gt;=0,A445,"")</f>
        <v/>
      </c>
      <c r="I445" s="7" t="n">
        <f aca="false">IF(F445&lt;0,A445,0)</f>
        <v>440</v>
      </c>
      <c r="J445" s="7" t="n">
        <f aca="false">IF(G445&gt;=0,A445,"")</f>
        <v>440</v>
      </c>
      <c r="K445" s="7" t="n">
        <f aca="false">IF(G445&lt;0,A445,0)</f>
        <v>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322404940</v>
      </c>
      <c r="D446" s="25" t="n">
        <f aca="false">('Chi phí'!$C$77+'Chi phí'!$D$77*B446+'Chi phí'!$E$77*A446+'Giả định'!$B$15*('Chi phí'!$F$77+'Chi phí'!$G$77*B446+'Chi phí'!$H$77*A446))*(1+'Giả định'!$B$16)</f>
        <v>465349940</v>
      </c>
      <c r="E446" s="25" t="n">
        <f aca="false">A446/'Giả định'!$B$19*'Giả định'!$B$20+A446*'Giả định'!$B$23+'Giả định'!$B$24</f>
        <v>326117647.058824</v>
      </c>
      <c r="F446" s="25" t="n">
        <f aca="false">E446-D446</f>
        <v>-139232292.941177</v>
      </c>
      <c r="G446" s="25" t="n">
        <f aca="false">E446-C446</f>
        <v>3712707.05882353</v>
      </c>
      <c r="H446" s="7" t="str">
        <f aca="false">IF(F446&gt;=0,A446,"")</f>
        <v/>
      </c>
      <c r="I446" s="7" t="n">
        <f aca="false">IF(F446&lt;0,A446,0)</f>
        <v>441</v>
      </c>
      <c r="J446" s="7" t="n">
        <f aca="false">IF(G446&gt;=0,A446,"")</f>
        <v>441</v>
      </c>
      <c r="K446" s="7" t="n">
        <f aca="false">IF(G446&lt;0,A446,0)</f>
        <v>0</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322441680</v>
      </c>
      <c r="D447" s="25" t="n">
        <f aca="false">('Chi phí'!$C$77+'Chi phí'!$D$77*B447+'Chi phí'!$E$77*A447+'Giả định'!$B$15*('Chi phí'!$F$77+'Chi phí'!$G$77*B447+'Chi phí'!$H$77*A447))*(1+'Giả định'!$B$16)</f>
        <v>465386680</v>
      </c>
      <c r="E447" s="25" t="n">
        <f aca="false">A447/'Giả định'!$B$19*'Giả định'!$B$20+A447*'Giả định'!$B$23+'Giả định'!$B$24</f>
        <v>326857142.857143</v>
      </c>
      <c r="F447" s="25" t="n">
        <f aca="false">E447-D447</f>
        <v>-138529537.142857</v>
      </c>
      <c r="G447" s="25" t="n">
        <f aca="false">E447-C447</f>
        <v>4415462.85714287</v>
      </c>
      <c r="H447" s="7" t="str">
        <f aca="false">IF(F447&gt;=0,A447,"")</f>
        <v/>
      </c>
      <c r="I447" s="7" t="n">
        <f aca="false">IF(F447&lt;0,A447,0)</f>
        <v>442</v>
      </c>
      <c r="J447" s="7" t="n">
        <f aca="false">IF(G447&gt;=0,A447,"")</f>
        <v>442</v>
      </c>
      <c r="K447" s="7" t="n">
        <f aca="false">IF(G447&lt;0,A447,0)</f>
        <v>0</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322478420</v>
      </c>
      <c r="D448" s="25" t="n">
        <f aca="false">('Chi phí'!$C$77+'Chi phí'!$D$77*B448+'Chi phí'!$E$77*A448+'Giả định'!$B$15*('Chi phí'!$F$77+'Chi phí'!$G$77*B448+'Chi phí'!$H$77*A448))*(1+'Giả định'!$B$16)</f>
        <v>465423420</v>
      </c>
      <c r="E448" s="25" t="n">
        <f aca="false">A448/'Giả định'!$B$19*'Giả định'!$B$20+A448*'Giả định'!$B$23+'Giả định'!$B$24</f>
        <v>327596638.655462</v>
      </c>
      <c r="F448" s="25" t="n">
        <f aca="false">E448-D448</f>
        <v>-137826781.344538</v>
      </c>
      <c r="G448" s="25" t="n">
        <f aca="false">E448-C448</f>
        <v>5118218.65546221</v>
      </c>
      <c r="H448" s="7" t="str">
        <f aca="false">IF(F448&gt;=0,A448,"")</f>
        <v/>
      </c>
      <c r="I448" s="7" t="n">
        <f aca="false">IF(F448&lt;0,A448,0)</f>
        <v>443</v>
      </c>
      <c r="J448" s="7" t="n">
        <f aca="false">IF(G448&gt;=0,A448,"")</f>
        <v>443</v>
      </c>
      <c r="K448" s="7" t="n">
        <f aca="false">IF(G448&lt;0,A448,0)</f>
        <v>0</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322515160</v>
      </c>
      <c r="D449" s="25" t="n">
        <f aca="false">('Chi phí'!$C$77+'Chi phí'!$D$77*B449+'Chi phí'!$E$77*A449+'Giả định'!$B$15*('Chi phí'!$F$77+'Chi phí'!$G$77*B449+'Chi phí'!$H$77*A449))*(1+'Giả định'!$B$16)</f>
        <v>465460160</v>
      </c>
      <c r="E449" s="25" t="n">
        <f aca="false">A449/'Giả định'!$B$19*'Giả định'!$B$20+A449*'Giả định'!$B$23+'Giả định'!$B$24</f>
        <v>328336134.453782</v>
      </c>
      <c r="F449" s="25" t="n">
        <f aca="false">E449-D449</f>
        <v>-137124025.546219</v>
      </c>
      <c r="G449" s="25" t="n">
        <f aca="false">E449-C449</f>
        <v>5820974.45378155</v>
      </c>
      <c r="H449" s="7" t="str">
        <f aca="false">IF(F449&gt;=0,A449,"")</f>
        <v/>
      </c>
      <c r="I449" s="7" t="n">
        <f aca="false">IF(F449&lt;0,A449,0)</f>
        <v>444</v>
      </c>
      <c r="J449" s="7" t="n">
        <f aca="false">IF(G449&gt;=0,A449,"")</f>
        <v>444</v>
      </c>
      <c r="K449" s="7" t="n">
        <f aca="false">IF(G449&lt;0,A449,0)</f>
        <v>0</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322551900</v>
      </c>
      <c r="D450" s="25" t="n">
        <f aca="false">('Chi phí'!$C$77+'Chi phí'!$D$77*B450+'Chi phí'!$E$77*A450+'Giả định'!$B$15*('Chi phí'!$F$77+'Chi phí'!$G$77*B450+'Chi phí'!$H$77*A450))*(1+'Giả định'!$B$16)</f>
        <v>465496900</v>
      </c>
      <c r="E450" s="25" t="n">
        <f aca="false">A450/'Giả định'!$B$19*'Giả định'!$B$20+A450*'Giả định'!$B$23+'Giả định'!$B$24</f>
        <v>329075630.252101</v>
      </c>
      <c r="F450" s="25" t="n">
        <f aca="false">E450-D450</f>
        <v>-136421269.747899</v>
      </c>
      <c r="G450" s="25" t="n">
        <f aca="false">E450-C450</f>
        <v>6523730.25210083</v>
      </c>
      <c r="H450" s="7" t="str">
        <f aca="false">IF(F450&gt;=0,A450,"")</f>
        <v/>
      </c>
      <c r="I450" s="7" t="n">
        <f aca="false">IF(F450&lt;0,A450,0)</f>
        <v>445</v>
      </c>
      <c r="J450" s="7" t="n">
        <f aca="false">IF(G450&gt;=0,A450,"")</f>
        <v>445</v>
      </c>
      <c r="K450" s="7" t="n">
        <f aca="false">IF(G450&lt;0,A450,0)</f>
        <v>0</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322588640</v>
      </c>
      <c r="D451" s="25" t="n">
        <f aca="false">('Chi phí'!$C$77+'Chi phí'!$D$77*B451+'Chi phí'!$E$77*A451+'Giả định'!$B$15*('Chi phí'!$F$77+'Chi phí'!$G$77*B451+'Chi phí'!$H$77*A451))*(1+'Giả định'!$B$16)</f>
        <v>465533640</v>
      </c>
      <c r="E451" s="25" t="n">
        <f aca="false">A451/'Giả định'!$B$19*'Giả định'!$B$20+A451*'Giả định'!$B$23+'Giả định'!$B$24</f>
        <v>329815126.05042</v>
      </c>
      <c r="F451" s="25" t="n">
        <f aca="false">E451-D451</f>
        <v>-135718513.94958</v>
      </c>
      <c r="G451" s="25" t="n">
        <f aca="false">E451-C451</f>
        <v>7226486.05042023</v>
      </c>
      <c r="H451" s="7" t="str">
        <f aca="false">IF(F451&gt;=0,A451,"")</f>
        <v/>
      </c>
      <c r="I451" s="7" t="n">
        <f aca="false">IF(F451&lt;0,A451,0)</f>
        <v>446</v>
      </c>
      <c r="J451" s="7" t="n">
        <f aca="false">IF(G451&gt;=0,A451,"")</f>
        <v>446</v>
      </c>
      <c r="K451" s="7" t="n">
        <f aca="false">IF(G451&lt;0,A451,0)</f>
        <v>0</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322625380</v>
      </c>
      <c r="D452" s="25" t="n">
        <f aca="false">('Chi phí'!$C$77+'Chi phí'!$D$77*B452+'Chi phí'!$E$77*A452+'Giả định'!$B$15*('Chi phí'!$F$77+'Chi phí'!$G$77*B452+'Chi phí'!$H$77*A452))*(1+'Giả định'!$B$16)</f>
        <v>465570380</v>
      </c>
      <c r="E452" s="25" t="n">
        <f aca="false">A452/'Giả định'!$B$19*'Giả định'!$B$20+A452*'Giả định'!$B$23+'Giả định'!$B$24</f>
        <v>330554621.84874</v>
      </c>
      <c r="F452" s="25" t="n">
        <f aca="false">E452-D452</f>
        <v>-135015758.151261</v>
      </c>
      <c r="G452" s="25" t="n">
        <f aca="false">E452-C452</f>
        <v>7929241.84873951</v>
      </c>
      <c r="H452" s="7" t="str">
        <f aca="false">IF(F452&gt;=0,A452,"")</f>
        <v/>
      </c>
      <c r="I452" s="7" t="n">
        <f aca="false">IF(F452&lt;0,A452,0)</f>
        <v>447</v>
      </c>
      <c r="J452" s="7" t="n">
        <f aca="false">IF(G452&gt;=0,A452,"")</f>
        <v>447</v>
      </c>
      <c r="K452" s="7" t="n">
        <f aca="false">IF(G452&lt;0,A452,0)</f>
        <v>0</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322662120</v>
      </c>
      <c r="D453" s="25" t="n">
        <f aca="false">('Chi phí'!$C$77+'Chi phí'!$D$77*B453+'Chi phí'!$E$77*A453+'Giả định'!$B$15*('Chi phí'!$F$77+'Chi phí'!$G$77*B453+'Chi phí'!$H$77*A453))*(1+'Giả định'!$B$16)</f>
        <v>465607120</v>
      </c>
      <c r="E453" s="25" t="n">
        <f aca="false">A453/'Giả định'!$B$19*'Giả định'!$B$20+A453*'Giả định'!$B$23+'Giả định'!$B$24</f>
        <v>331294117.647059</v>
      </c>
      <c r="F453" s="25" t="n">
        <f aca="false">E453-D453</f>
        <v>-134313002.352941</v>
      </c>
      <c r="G453" s="25" t="n">
        <f aca="false">E453-C453</f>
        <v>8631997.64705885</v>
      </c>
      <c r="H453" s="7" t="str">
        <f aca="false">IF(F453&gt;=0,A453,"")</f>
        <v/>
      </c>
      <c r="I453" s="7" t="n">
        <f aca="false">IF(F453&lt;0,A453,0)</f>
        <v>448</v>
      </c>
      <c r="J453" s="7" t="n">
        <f aca="false">IF(G453&gt;=0,A453,"")</f>
        <v>448</v>
      </c>
      <c r="K453" s="7" t="n">
        <f aca="false">IF(G453&lt;0,A453,0)</f>
        <v>0</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322698860</v>
      </c>
      <c r="D454" s="25" t="n">
        <f aca="false">('Chi phí'!$C$77+'Chi phí'!$D$77*B454+'Chi phí'!$E$77*A454+'Giả định'!$B$15*('Chi phí'!$F$77+'Chi phí'!$G$77*B454+'Chi phí'!$H$77*A454))*(1+'Giả định'!$B$16)</f>
        <v>465643860</v>
      </c>
      <c r="E454" s="25" t="n">
        <f aca="false">A454/'Giả định'!$B$19*'Giả định'!$B$20+A454*'Giả định'!$B$23+'Giả định'!$B$24</f>
        <v>332033613.445378</v>
      </c>
      <c r="F454" s="25" t="n">
        <f aca="false">E454-D454</f>
        <v>-133610246.554622</v>
      </c>
      <c r="G454" s="25" t="n">
        <f aca="false">E454-C454</f>
        <v>9334753.44537818</v>
      </c>
      <c r="H454" s="7" t="str">
        <f aca="false">IF(F454&gt;=0,A454,"")</f>
        <v/>
      </c>
      <c r="I454" s="7" t="n">
        <f aca="false">IF(F454&lt;0,A454,0)</f>
        <v>449</v>
      </c>
      <c r="J454" s="7" t="n">
        <f aca="false">IF(G454&gt;=0,A454,"")</f>
        <v>449</v>
      </c>
      <c r="K454" s="7" t="n">
        <f aca="false">IF(G454&lt;0,A454,0)</f>
        <v>0</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322735600</v>
      </c>
      <c r="D455" s="25" t="n">
        <f aca="false">('Chi phí'!$C$77+'Chi phí'!$D$77*B455+'Chi phí'!$E$77*A455+'Giả định'!$B$15*('Chi phí'!$F$77+'Chi phí'!$G$77*B455+'Chi phí'!$H$77*A455))*(1+'Giả định'!$B$16)</f>
        <v>465680600</v>
      </c>
      <c r="E455" s="25" t="n">
        <f aca="false">A455/'Giả định'!$B$19*'Giả định'!$B$20+A455*'Giả định'!$B$23+'Giả định'!$B$24</f>
        <v>332773109.243698</v>
      </c>
      <c r="F455" s="25" t="n">
        <f aca="false">E455-D455</f>
        <v>-132907490.756303</v>
      </c>
      <c r="G455" s="25" t="n">
        <f aca="false">E455-C455</f>
        <v>10037509.2436975</v>
      </c>
      <c r="H455" s="7" t="str">
        <f aca="false">IF(F455&gt;=0,A455,"")</f>
        <v/>
      </c>
      <c r="I455" s="7" t="n">
        <f aca="false">IF(F455&lt;0,A455,0)</f>
        <v>450</v>
      </c>
      <c r="J455" s="7" t="n">
        <f aca="false">IF(G455&gt;=0,A455,"")</f>
        <v>450</v>
      </c>
      <c r="K455" s="7" t="n">
        <f aca="false">IF(G455&lt;0,A455,0)</f>
        <v>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328157940</v>
      </c>
      <c r="D456" s="25" t="n">
        <f aca="false">('Chi phí'!$C$77+'Chi phí'!$D$77*B456+'Chi phí'!$E$77*A456+'Giả định'!$B$15*('Chi phí'!$F$77+'Chi phí'!$G$77*B456+'Chi phí'!$H$77*A456))*(1+'Giả định'!$B$16)</f>
        <v>471102940</v>
      </c>
      <c r="E456" s="25" t="n">
        <f aca="false">A456/'Giả định'!$B$19*'Giả định'!$B$20+A456*'Giả định'!$B$23+'Giả định'!$B$24</f>
        <v>333512605.042017</v>
      </c>
      <c r="F456" s="25" t="n">
        <f aca="false">E456-D456</f>
        <v>-137590334.957983</v>
      </c>
      <c r="G456" s="25" t="n">
        <f aca="false">E456-C456</f>
        <v>5354665.04201686</v>
      </c>
      <c r="H456" s="7" t="str">
        <f aca="false">IF(F456&gt;=0,A456,"")</f>
        <v/>
      </c>
      <c r="I456" s="7" t="n">
        <f aca="false">IF(F456&lt;0,A456,0)</f>
        <v>451</v>
      </c>
      <c r="J456" s="7" t="n">
        <f aca="false">IF(G456&gt;=0,A456,"")</f>
        <v>451</v>
      </c>
      <c r="K456" s="7" t="n">
        <f aca="false">IF(G456&lt;0,A456,0)</f>
        <v>0</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328194680</v>
      </c>
      <c r="D457" s="25" t="n">
        <f aca="false">('Chi phí'!$C$77+'Chi phí'!$D$77*B457+'Chi phí'!$E$77*A457+'Giả định'!$B$15*('Chi phí'!$F$77+'Chi phí'!$G$77*B457+'Chi phí'!$H$77*A457))*(1+'Giả định'!$B$16)</f>
        <v>471139680</v>
      </c>
      <c r="E457" s="25" t="n">
        <f aca="false">A457/'Giả định'!$B$19*'Giả định'!$B$20+A457*'Giả định'!$B$23+'Giả định'!$B$24</f>
        <v>334252100.840336</v>
      </c>
      <c r="F457" s="25" t="n">
        <f aca="false">E457-D457</f>
        <v>-136887579.159664</v>
      </c>
      <c r="G457" s="25" t="n">
        <f aca="false">E457-C457</f>
        <v>6057420.84033614</v>
      </c>
      <c r="H457" s="7" t="str">
        <f aca="false">IF(F457&gt;=0,A457,"")</f>
        <v/>
      </c>
      <c r="I457" s="7" t="n">
        <f aca="false">IF(F457&lt;0,A457,0)</f>
        <v>452</v>
      </c>
      <c r="J457" s="7" t="n">
        <f aca="false">IF(G457&gt;=0,A457,"")</f>
        <v>452</v>
      </c>
      <c r="K457" s="7" t="n">
        <f aca="false">IF(G457&lt;0,A457,0)</f>
        <v>0</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328231420</v>
      </c>
      <c r="D458" s="25" t="n">
        <f aca="false">('Chi phí'!$C$77+'Chi phí'!$D$77*B458+'Chi phí'!$E$77*A458+'Giả định'!$B$15*('Chi phí'!$F$77+'Chi phí'!$G$77*B458+'Chi phí'!$H$77*A458))*(1+'Giả định'!$B$16)</f>
        <v>471176420</v>
      </c>
      <c r="E458" s="25" t="n">
        <f aca="false">A458/'Giả định'!$B$19*'Giả định'!$B$20+A458*'Giả định'!$B$23+'Giả định'!$B$24</f>
        <v>334991596.638656</v>
      </c>
      <c r="F458" s="25" t="n">
        <f aca="false">E458-D458</f>
        <v>-136184823.361345</v>
      </c>
      <c r="G458" s="25" t="n">
        <f aca="false">E458-C458</f>
        <v>6760176.63865548</v>
      </c>
      <c r="H458" s="7" t="str">
        <f aca="false">IF(F458&gt;=0,A458,"")</f>
        <v/>
      </c>
      <c r="I458" s="7" t="n">
        <f aca="false">IF(F458&lt;0,A458,0)</f>
        <v>453</v>
      </c>
      <c r="J458" s="7" t="n">
        <f aca="false">IF(G458&gt;=0,A458,"")</f>
        <v>453</v>
      </c>
      <c r="K458" s="7" t="n">
        <f aca="false">IF(G458&lt;0,A458,0)</f>
        <v>0</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328268160</v>
      </c>
      <c r="D459" s="25" t="n">
        <f aca="false">('Chi phí'!$C$77+'Chi phí'!$D$77*B459+'Chi phí'!$E$77*A459+'Giả định'!$B$15*('Chi phí'!$F$77+'Chi phí'!$G$77*B459+'Chi phí'!$H$77*A459))*(1+'Giả định'!$B$16)</f>
        <v>471213160</v>
      </c>
      <c r="E459" s="25" t="n">
        <f aca="false">A459/'Giả định'!$B$19*'Giả định'!$B$20+A459*'Giả định'!$B$23+'Giả định'!$B$24</f>
        <v>335731092.436975</v>
      </c>
      <c r="F459" s="25" t="n">
        <f aca="false">E459-D459</f>
        <v>-135482067.563025</v>
      </c>
      <c r="G459" s="25" t="n">
        <f aca="false">E459-C459</f>
        <v>7462932.43697482</v>
      </c>
      <c r="H459" s="7" t="str">
        <f aca="false">IF(F459&gt;=0,A459,"")</f>
        <v/>
      </c>
      <c r="I459" s="7" t="n">
        <f aca="false">IF(F459&lt;0,A459,0)</f>
        <v>454</v>
      </c>
      <c r="J459" s="7" t="n">
        <f aca="false">IF(G459&gt;=0,A459,"")</f>
        <v>454</v>
      </c>
      <c r="K459" s="7" t="n">
        <f aca="false">IF(G459&lt;0,A459,0)</f>
        <v>0</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328304900</v>
      </c>
      <c r="D460" s="25" t="n">
        <f aca="false">('Chi phí'!$C$77+'Chi phí'!$D$77*B460+'Chi phí'!$E$77*A460+'Giả định'!$B$15*('Chi phí'!$F$77+'Chi phí'!$G$77*B460+'Chi phí'!$H$77*A460))*(1+'Giả định'!$B$16)</f>
        <v>471249900</v>
      </c>
      <c r="E460" s="25" t="n">
        <f aca="false">A460/'Giả định'!$B$19*'Giả định'!$B$20+A460*'Giả định'!$B$23+'Giả định'!$B$24</f>
        <v>336470588.235294</v>
      </c>
      <c r="F460" s="25" t="n">
        <f aca="false">E460-D460</f>
        <v>-134779311.764706</v>
      </c>
      <c r="G460" s="25" t="n">
        <f aca="false">E460-C460</f>
        <v>8165688.2352941</v>
      </c>
      <c r="H460" s="7" t="str">
        <f aca="false">IF(F460&gt;=0,A460,"")</f>
        <v/>
      </c>
      <c r="I460" s="7" t="n">
        <f aca="false">IF(F460&lt;0,A460,0)</f>
        <v>455</v>
      </c>
      <c r="J460" s="7" t="n">
        <f aca="false">IF(G460&gt;=0,A460,"")</f>
        <v>455</v>
      </c>
      <c r="K460" s="7" t="n">
        <f aca="false">IF(G460&lt;0,A460,0)</f>
        <v>0</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328341640</v>
      </c>
      <c r="D461" s="25" t="n">
        <f aca="false">('Chi phí'!$C$77+'Chi phí'!$D$77*B461+'Chi phí'!$E$77*A461+'Giả định'!$B$15*('Chi phí'!$F$77+'Chi phí'!$G$77*B461+'Chi phí'!$H$77*A461))*(1+'Giả định'!$B$16)</f>
        <v>471286640</v>
      </c>
      <c r="E461" s="25" t="n">
        <f aca="false">A461/'Giả định'!$B$19*'Giả định'!$B$20+A461*'Giả định'!$B$23+'Giả định'!$B$24</f>
        <v>337210084.033613</v>
      </c>
      <c r="F461" s="25" t="n">
        <f aca="false">E461-D461</f>
        <v>-134076555.966387</v>
      </c>
      <c r="G461" s="25" t="n">
        <f aca="false">E461-C461</f>
        <v>8868444.03361344</v>
      </c>
      <c r="H461" s="7" t="str">
        <f aca="false">IF(F461&gt;=0,A461,"")</f>
        <v/>
      </c>
      <c r="I461" s="7" t="n">
        <f aca="false">IF(F461&lt;0,A461,0)</f>
        <v>456</v>
      </c>
      <c r="J461" s="7" t="n">
        <f aca="false">IF(G461&gt;=0,A461,"")</f>
        <v>456</v>
      </c>
      <c r="K461" s="7" t="n">
        <f aca="false">IF(G461&lt;0,A461,0)</f>
        <v>0</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328378380</v>
      </c>
      <c r="D462" s="25" t="n">
        <f aca="false">('Chi phí'!$C$77+'Chi phí'!$D$77*B462+'Chi phí'!$E$77*A462+'Giả định'!$B$15*('Chi phí'!$F$77+'Chi phí'!$G$77*B462+'Chi phí'!$H$77*A462))*(1+'Giả định'!$B$16)</f>
        <v>471323380</v>
      </c>
      <c r="E462" s="25" t="n">
        <f aca="false">A462/'Giả định'!$B$19*'Giả định'!$B$20+A462*'Giả định'!$B$23+'Giả định'!$B$24</f>
        <v>337949579.831933</v>
      </c>
      <c r="F462" s="25" t="n">
        <f aca="false">E462-D462</f>
        <v>-133373800.168067</v>
      </c>
      <c r="G462" s="25" t="n">
        <f aca="false">E462-C462</f>
        <v>9571199.83193278</v>
      </c>
      <c r="H462" s="7" t="str">
        <f aca="false">IF(F462&gt;=0,A462,"")</f>
        <v/>
      </c>
      <c r="I462" s="7" t="n">
        <f aca="false">IF(F462&lt;0,A462,0)</f>
        <v>457</v>
      </c>
      <c r="J462" s="7" t="n">
        <f aca="false">IF(G462&gt;=0,A462,"")</f>
        <v>457</v>
      </c>
      <c r="K462" s="7" t="n">
        <f aca="false">IF(G462&lt;0,A462,0)</f>
        <v>0</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328415120</v>
      </c>
      <c r="D463" s="25" t="n">
        <f aca="false">('Chi phí'!$C$77+'Chi phí'!$D$77*B463+'Chi phí'!$E$77*A463+'Giả định'!$B$15*('Chi phí'!$F$77+'Chi phí'!$G$77*B463+'Chi phí'!$H$77*A463))*(1+'Giả định'!$B$16)</f>
        <v>471360120</v>
      </c>
      <c r="E463" s="25" t="n">
        <f aca="false">A463/'Giả định'!$B$19*'Giả định'!$B$20+A463*'Giả định'!$B$23+'Giả định'!$B$24</f>
        <v>338689075.630252</v>
      </c>
      <c r="F463" s="25" t="n">
        <f aca="false">E463-D463</f>
        <v>-132671044.369748</v>
      </c>
      <c r="G463" s="25" t="n">
        <f aca="false">E463-C463</f>
        <v>10273955.6302522</v>
      </c>
      <c r="H463" s="7" t="str">
        <f aca="false">IF(F463&gt;=0,A463,"")</f>
        <v/>
      </c>
      <c r="I463" s="7" t="n">
        <f aca="false">IF(F463&lt;0,A463,0)</f>
        <v>458</v>
      </c>
      <c r="J463" s="7" t="n">
        <f aca="false">IF(G463&gt;=0,A463,"")</f>
        <v>458</v>
      </c>
      <c r="K463" s="7" t="n">
        <f aca="false">IF(G463&lt;0,A463,0)</f>
        <v>0</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328451860</v>
      </c>
      <c r="D464" s="25" t="n">
        <f aca="false">('Chi phí'!$C$77+'Chi phí'!$D$77*B464+'Chi phí'!$E$77*A464+'Giả định'!$B$15*('Chi phí'!$F$77+'Chi phí'!$G$77*B464+'Chi phí'!$H$77*A464))*(1+'Giả định'!$B$16)</f>
        <v>471396860</v>
      </c>
      <c r="E464" s="25" t="n">
        <f aca="false">A464/'Giả định'!$B$19*'Giả định'!$B$20+A464*'Giả định'!$B$23+'Giả định'!$B$24</f>
        <v>339428571.428571</v>
      </c>
      <c r="F464" s="25" t="n">
        <f aca="false">E464-D464</f>
        <v>-131968288.571429</v>
      </c>
      <c r="G464" s="25" t="n">
        <f aca="false">E464-C464</f>
        <v>10976711.4285715</v>
      </c>
      <c r="H464" s="7" t="str">
        <f aca="false">IF(F464&gt;=0,A464,"")</f>
        <v/>
      </c>
      <c r="I464" s="7" t="n">
        <f aca="false">IF(F464&lt;0,A464,0)</f>
        <v>459</v>
      </c>
      <c r="J464" s="7" t="n">
        <f aca="false">IF(G464&gt;=0,A464,"")</f>
        <v>459</v>
      </c>
      <c r="K464" s="7" t="n">
        <f aca="false">IF(G464&lt;0,A464,0)</f>
        <v>0</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328488600</v>
      </c>
      <c r="D465" s="25" t="n">
        <f aca="false">('Chi phí'!$C$77+'Chi phí'!$D$77*B465+'Chi phí'!$E$77*A465+'Giả định'!$B$15*('Chi phí'!$F$77+'Chi phí'!$G$77*B465+'Chi phí'!$H$77*A465))*(1+'Giả định'!$B$16)</f>
        <v>471433600</v>
      </c>
      <c r="E465" s="25" t="n">
        <f aca="false">A465/'Giả định'!$B$19*'Giả định'!$B$20+A465*'Giả định'!$B$23+'Giả định'!$B$24</f>
        <v>340168067.226891</v>
      </c>
      <c r="F465" s="25" t="n">
        <f aca="false">E465-D465</f>
        <v>-131265532.773109</v>
      </c>
      <c r="G465" s="25" t="n">
        <f aca="false">E465-C465</f>
        <v>11679467.2268908</v>
      </c>
      <c r="H465" s="7" t="str">
        <f aca="false">IF(F465&gt;=0,A465,"")</f>
        <v/>
      </c>
      <c r="I465" s="7" t="n">
        <f aca="false">IF(F465&lt;0,A465,0)</f>
        <v>460</v>
      </c>
      <c r="J465" s="7" t="n">
        <f aca="false">IF(G465&gt;=0,A465,"")</f>
        <v>460</v>
      </c>
      <c r="K465" s="7" t="n">
        <f aca="false">IF(G465&lt;0,A465,0)</f>
        <v>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333910940</v>
      </c>
      <c r="D466" s="25" t="n">
        <f aca="false">('Chi phí'!$C$77+'Chi phí'!$D$77*B466+'Chi phí'!$E$77*A466+'Giả định'!$B$15*('Chi phí'!$F$77+'Chi phí'!$G$77*B466+'Chi phí'!$H$77*A466))*(1+'Giả định'!$B$16)</f>
        <v>476855940</v>
      </c>
      <c r="E466" s="25" t="n">
        <f aca="false">A466/'Giả định'!$B$19*'Giả định'!$B$20+A466*'Giả định'!$B$23+'Giả định'!$B$24</f>
        <v>340907563.02521</v>
      </c>
      <c r="F466" s="25" t="n">
        <f aca="false">E466-D466</f>
        <v>-135948376.97479</v>
      </c>
      <c r="G466" s="25" t="n">
        <f aca="false">E466-C466</f>
        <v>6996623.02521014</v>
      </c>
      <c r="H466" s="7" t="str">
        <f aca="false">IF(F466&gt;=0,A466,"")</f>
        <v/>
      </c>
      <c r="I466" s="7" t="n">
        <f aca="false">IF(F466&lt;0,A466,0)</f>
        <v>461</v>
      </c>
      <c r="J466" s="7" t="n">
        <f aca="false">IF(G466&gt;=0,A466,"")</f>
        <v>461</v>
      </c>
      <c r="K466" s="7" t="n">
        <f aca="false">IF(G466&lt;0,A466,0)</f>
        <v>0</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333947680</v>
      </c>
      <c r="D467" s="25" t="n">
        <f aca="false">('Chi phí'!$C$77+'Chi phí'!$D$77*B467+'Chi phí'!$E$77*A467+'Giả định'!$B$15*('Chi phí'!$F$77+'Chi phí'!$G$77*B467+'Chi phí'!$H$77*A467))*(1+'Giả định'!$B$16)</f>
        <v>476892680</v>
      </c>
      <c r="E467" s="25" t="n">
        <f aca="false">A467/'Giả định'!$B$19*'Giả định'!$B$20+A467*'Giả định'!$B$23+'Giả định'!$B$24</f>
        <v>341647058.823529</v>
      </c>
      <c r="F467" s="25" t="n">
        <f aca="false">E467-D467</f>
        <v>-135245621.176471</v>
      </c>
      <c r="G467" s="25" t="n">
        <f aca="false">E467-C467</f>
        <v>7699378.82352942</v>
      </c>
      <c r="H467" s="7" t="str">
        <f aca="false">IF(F467&gt;=0,A467,"")</f>
        <v/>
      </c>
      <c r="I467" s="7" t="n">
        <f aca="false">IF(F467&lt;0,A467,0)</f>
        <v>462</v>
      </c>
      <c r="J467" s="7" t="n">
        <f aca="false">IF(G467&gt;=0,A467,"")</f>
        <v>462</v>
      </c>
      <c r="K467" s="7" t="n">
        <f aca="false">IF(G467&lt;0,A467,0)</f>
        <v>0</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333984420</v>
      </c>
      <c r="D468" s="25" t="n">
        <f aca="false">('Chi phí'!$C$77+'Chi phí'!$D$77*B468+'Chi phí'!$E$77*A468+'Giả định'!$B$15*('Chi phí'!$F$77+'Chi phí'!$G$77*B468+'Chi phí'!$H$77*A468))*(1+'Giả định'!$B$16)</f>
        <v>476929420</v>
      </c>
      <c r="E468" s="25" t="n">
        <f aca="false">A468/'Giả định'!$B$19*'Giả định'!$B$20+A468*'Giả định'!$B$23+'Giả định'!$B$24</f>
        <v>342386554.621849</v>
      </c>
      <c r="F468" s="25" t="n">
        <f aca="false">E468-D468</f>
        <v>-134542865.378151</v>
      </c>
      <c r="G468" s="25" t="n">
        <f aca="false">E468-C468</f>
        <v>8402134.62184876</v>
      </c>
      <c r="H468" s="7" t="str">
        <f aca="false">IF(F468&gt;=0,A468,"")</f>
        <v/>
      </c>
      <c r="I468" s="7" t="n">
        <f aca="false">IF(F468&lt;0,A468,0)</f>
        <v>463</v>
      </c>
      <c r="J468" s="7" t="n">
        <f aca="false">IF(G468&gt;=0,A468,"")</f>
        <v>463</v>
      </c>
      <c r="K468" s="7" t="n">
        <f aca="false">IF(G468&lt;0,A468,0)</f>
        <v>0</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334021160</v>
      </c>
      <c r="D469" s="25" t="n">
        <f aca="false">('Chi phí'!$C$77+'Chi phí'!$D$77*B469+'Chi phí'!$E$77*A469+'Giả định'!$B$15*('Chi phí'!$F$77+'Chi phí'!$G$77*B469+'Chi phí'!$H$77*A469))*(1+'Giả định'!$B$16)</f>
        <v>476966160</v>
      </c>
      <c r="E469" s="25" t="n">
        <f aca="false">A469/'Giả định'!$B$19*'Giả định'!$B$20+A469*'Giả định'!$B$23+'Giả định'!$B$24</f>
        <v>343126050.420168</v>
      </c>
      <c r="F469" s="25" t="n">
        <f aca="false">E469-D469</f>
        <v>-133840109.579832</v>
      </c>
      <c r="G469" s="25" t="n">
        <f aca="false">E469-C469</f>
        <v>9104890.4201681</v>
      </c>
      <c r="H469" s="7" t="str">
        <f aca="false">IF(F469&gt;=0,A469,"")</f>
        <v/>
      </c>
      <c r="I469" s="7" t="n">
        <f aca="false">IF(F469&lt;0,A469,0)</f>
        <v>464</v>
      </c>
      <c r="J469" s="7" t="n">
        <f aca="false">IF(G469&gt;=0,A469,"")</f>
        <v>464</v>
      </c>
      <c r="K469" s="7" t="n">
        <f aca="false">IF(G469&lt;0,A469,0)</f>
        <v>0</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334057900</v>
      </c>
      <c r="D470" s="25" t="n">
        <f aca="false">('Chi phí'!$C$77+'Chi phí'!$D$77*B470+'Chi phí'!$E$77*A470+'Giả định'!$B$15*('Chi phí'!$F$77+'Chi phí'!$G$77*B470+'Chi phí'!$H$77*A470))*(1+'Giả định'!$B$16)</f>
        <v>477002900</v>
      </c>
      <c r="E470" s="25" t="n">
        <f aca="false">A470/'Giả định'!$B$19*'Giả định'!$B$20+A470*'Giả định'!$B$23+'Giả định'!$B$24</f>
        <v>343865546.218487</v>
      </c>
      <c r="F470" s="25" t="n">
        <f aca="false">E470-D470</f>
        <v>-133137353.781513</v>
      </c>
      <c r="G470" s="25" t="n">
        <f aca="false">E470-C470</f>
        <v>9807646.21848744</v>
      </c>
      <c r="H470" s="7" t="str">
        <f aca="false">IF(F470&gt;=0,A470,"")</f>
        <v/>
      </c>
      <c r="I470" s="7" t="n">
        <f aca="false">IF(F470&lt;0,A470,0)</f>
        <v>465</v>
      </c>
      <c r="J470" s="7" t="n">
        <f aca="false">IF(G470&gt;=0,A470,"")</f>
        <v>465</v>
      </c>
      <c r="K470" s="7" t="n">
        <f aca="false">IF(G470&lt;0,A470,0)</f>
        <v>0</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334094640</v>
      </c>
      <c r="D471" s="25" t="n">
        <f aca="false">('Chi phí'!$C$77+'Chi phí'!$D$77*B471+'Chi phí'!$E$77*A471+'Giả định'!$B$15*('Chi phí'!$F$77+'Chi phí'!$G$77*B471+'Chi phí'!$H$77*A471))*(1+'Giả định'!$B$16)</f>
        <v>477039640</v>
      </c>
      <c r="E471" s="25" t="n">
        <f aca="false">A471/'Giả định'!$B$19*'Giả định'!$B$20+A471*'Giả định'!$B$23+'Giả định'!$B$24</f>
        <v>344605042.016807</v>
      </c>
      <c r="F471" s="25" t="n">
        <f aca="false">E471-D471</f>
        <v>-132434597.983193</v>
      </c>
      <c r="G471" s="25" t="n">
        <f aca="false">E471-C471</f>
        <v>10510402.0168067</v>
      </c>
      <c r="H471" s="7" t="str">
        <f aca="false">IF(F471&gt;=0,A471,"")</f>
        <v/>
      </c>
      <c r="I471" s="7" t="n">
        <f aca="false">IF(F471&lt;0,A471,0)</f>
        <v>466</v>
      </c>
      <c r="J471" s="7" t="n">
        <f aca="false">IF(G471&gt;=0,A471,"")</f>
        <v>466</v>
      </c>
      <c r="K471" s="7" t="n">
        <f aca="false">IF(G471&lt;0,A471,0)</f>
        <v>0</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334131380</v>
      </c>
      <c r="D472" s="25" t="n">
        <f aca="false">('Chi phí'!$C$77+'Chi phí'!$D$77*B472+'Chi phí'!$E$77*A472+'Giả định'!$B$15*('Chi phí'!$F$77+'Chi phí'!$G$77*B472+'Chi phí'!$H$77*A472))*(1+'Giả định'!$B$16)</f>
        <v>477076380</v>
      </c>
      <c r="E472" s="25" t="n">
        <f aca="false">A472/'Giả định'!$B$19*'Giả định'!$B$20+A472*'Giả định'!$B$23+'Giả định'!$B$24</f>
        <v>345344537.815126</v>
      </c>
      <c r="F472" s="25" t="n">
        <f aca="false">E472-D472</f>
        <v>-131731842.184874</v>
      </c>
      <c r="G472" s="25" t="n">
        <f aca="false">E472-C472</f>
        <v>11213157.8151261</v>
      </c>
      <c r="H472" s="7" t="str">
        <f aca="false">IF(F472&gt;=0,A472,"")</f>
        <v/>
      </c>
      <c r="I472" s="7" t="n">
        <f aca="false">IF(F472&lt;0,A472,0)</f>
        <v>467</v>
      </c>
      <c r="J472" s="7" t="n">
        <f aca="false">IF(G472&gt;=0,A472,"")</f>
        <v>467</v>
      </c>
      <c r="K472" s="7" t="n">
        <f aca="false">IF(G472&lt;0,A472,0)</f>
        <v>0</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334168120</v>
      </c>
      <c r="D473" s="25" t="n">
        <f aca="false">('Chi phí'!$C$77+'Chi phí'!$D$77*B473+'Chi phí'!$E$77*A473+'Giả định'!$B$15*('Chi phí'!$F$77+'Chi phí'!$G$77*B473+'Chi phí'!$H$77*A473))*(1+'Giả định'!$B$16)</f>
        <v>477113120</v>
      </c>
      <c r="E473" s="25" t="n">
        <f aca="false">A473/'Giả định'!$B$19*'Giả định'!$B$20+A473*'Giả định'!$B$23+'Giả định'!$B$24</f>
        <v>346084033.613445</v>
      </c>
      <c r="F473" s="25" t="n">
        <f aca="false">E473-D473</f>
        <v>-131029086.386555</v>
      </c>
      <c r="G473" s="25" t="n">
        <f aca="false">E473-C473</f>
        <v>11915913.6134454</v>
      </c>
      <c r="H473" s="7" t="str">
        <f aca="false">IF(F473&gt;=0,A473,"")</f>
        <v/>
      </c>
      <c r="I473" s="7" t="n">
        <f aca="false">IF(F473&lt;0,A473,0)</f>
        <v>468</v>
      </c>
      <c r="J473" s="7" t="n">
        <f aca="false">IF(G473&gt;=0,A473,"")</f>
        <v>468</v>
      </c>
      <c r="K473" s="7" t="n">
        <f aca="false">IF(G473&lt;0,A473,0)</f>
        <v>0</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334204860</v>
      </c>
      <c r="D474" s="25" t="n">
        <f aca="false">('Chi phí'!$C$77+'Chi phí'!$D$77*B474+'Chi phí'!$E$77*A474+'Giả định'!$B$15*('Chi phí'!$F$77+'Chi phí'!$G$77*B474+'Chi phí'!$H$77*A474))*(1+'Giả định'!$B$16)</f>
        <v>477149860</v>
      </c>
      <c r="E474" s="25" t="n">
        <f aca="false">A474/'Giả định'!$B$19*'Giả định'!$B$20+A474*'Giả định'!$B$23+'Giả định'!$B$24</f>
        <v>346823529.411765</v>
      </c>
      <c r="F474" s="25" t="n">
        <f aca="false">E474-D474</f>
        <v>-130326330.588235</v>
      </c>
      <c r="G474" s="25" t="n">
        <f aca="false">E474-C474</f>
        <v>12618669.4117647</v>
      </c>
      <c r="H474" s="7" t="str">
        <f aca="false">IF(F474&gt;=0,A474,"")</f>
        <v/>
      </c>
      <c r="I474" s="7" t="n">
        <f aca="false">IF(F474&lt;0,A474,0)</f>
        <v>469</v>
      </c>
      <c r="J474" s="7" t="n">
        <f aca="false">IF(G474&gt;=0,A474,"")</f>
        <v>469</v>
      </c>
      <c r="K474" s="7" t="n">
        <f aca="false">IF(G474&lt;0,A474,0)</f>
        <v>0</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334241600</v>
      </c>
      <c r="D475" s="25" t="n">
        <f aca="false">('Chi phí'!$C$77+'Chi phí'!$D$77*B475+'Chi phí'!$E$77*A475+'Giả định'!$B$15*('Chi phí'!$F$77+'Chi phí'!$G$77*B475+'Chi phí'!$H$77*A475))*(1+'Giả định'!$B$16)</f>
        <v>477186600</v>
      </c>
      <c r="E475" s="25" t="n">
        <f aca="false">A475/'Giả định'!$B$19*'Giả định'!$B$20+A475*'Giả định'!$B$23+'Giả định'!$B$24</f>
        <v>347563025.210084</v>
      </c>
      <c r="F475" s="25" t="n">
        <f aca="false">E475-D475</f>
        <v>-129623574.789916</v>
      </c>
      <c r="G475" s="25" t="n">
        <f aca="false">E475-C475</f>
        <v>13321425.2100841</v>
      </c>
      <c r="H475" s="7" t="str">
        <f aca="false">IF(F475&gt;=0,A475,"")</f>
        <v/>
      </c>
      <c r="I475" s="7" t="n">
        <f aca="false">IF(F475&lt;0,A475,0)</f>
        <v>470</v>
      </c>
      <c r="J475" s="7" t="n">
        <f aca="false">IF(G475&gt;=0,A475,"")</f>
        <v>470</v>
      </c>
      <c r="K475" s="7" t="n">
        <f aca="false">IF(G475&lt;0,A475,0)</f>
        <v>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339663940</v>
      </c>
      <c r="D476" s="25" t="n">
        <f aca="false">('Chi phí'!$C$77+'Chi phí'!$D$77*B476+'Chi phí'!$E$77*A476+'Giả định'!$B$15*('Chi phí'!$F$77+'Chi phí'!$G$77*B476+'Chi phí'!$H$77*A476))*(1+'Giả định'!$B$16)</f>
        <v>482608940</v>
      </c>
      <c r="E476" s="25" t="n">
        <f aca="false">A476/'Giả định'!$B$19*'Giả định'!$B$20+A476*'Giả định'!$B$23+'Giả định'!$B$24</f>
        <v>348302521.008403</v>
      </c>
      <c r="F476" s="25" t="n">
        <f aca="false">E476-D476</f>
        <v>-134306418.991597</v>
      </c>
      <c r="G476" s="25" t="n">
        <f aca="false">E476-C476</f>
        <v>8638581.00840342</v>
      </c>
      <c r="H476" s="7" t="str">
        <f aca="false">IF(F476&gt;=0,A476,"")</f>
        <v/>
      </c>
      <c r="I476" s="7" t="n">
        <f aca="false">IF(F476&lt;0,A476,0)</f>
        <v>471</v>
      </c>
      <c r="J476" s="7" t="n">
        <f aca="false">IF(G476&gt;=0,A476,"")</f>
        <v>471</v>
      </c>
      <c r="K476" s="7" t="n">
        <f aca="false">IF(G476&lt;0,A476,0)</f>
        <v>0</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339700680</v>
      </c>
      <c r="D477" s="25" t="n">
        <f aca="false">('Chi phí'!$C$77+'Chi phí'!$D$77*B477+'Chi phí'!$E$77*A477+'Giả định'!$B$15*('Chi phí'!$F$77+'Chi phí'!$G$77*B477+'Chi phí'!$H$77*A477))*(1+'Giả định'!$B$16)</f>
        <v>482645680</v>
      </c>
      <c r="E477" s="25" t="n">
        <f aca="false">A477/'Giả định'!$B$19*'Giả định'!$B$20+A477*'Giả định'!$B$23+'Giả định'!$B$24</f>
        <v>349042016.806723</v>
      </c>
      <c r="F477" s="25" t="n">
        <f aca="false">E477-D477</f>
        <v>-133603663.193277</v>
      </c>
      <c r="G477" s="25" t="n">
        <f aca="false">E477-C477</f>
        <v>9341336.80672276</v>
      </c>
      <c r="H477" s="7" t="str">
        <f aca="false">IF(F477&gt;=0,A477,"")</f>
        <v/>
      </c>
      <c r="I477" s="7" t="n">
        <f aca="false">IF(F477&lt;0,A477,0)</f>
        <v>472</v>
      </c>
      <c r="J477" s="7" t="n">
        <f aca="false">IF(G477&gt;=0,A477,"")</f>
        <v>472</v>
      </c>
      <c r="K477" s="7" t="n">
        <f aca="false">IF(G477&lt;0,A477,0)</f>
        <v>0</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339737420</v>
      </c>
      <c r="D478" s="25" t="n">
        <f aca="false">('Chi phí'!$C$77+'Chi phí'!$D$77*B478+'Chi phí'!$E$77*A478+'Giả định'!$B$15*('Chi phí'!$F$77+'Chi phí'!$G$77*B478+'Chi phí'!$H$77*A478))*(1+'Giả định'!$B$16)</f>
        <v>482682420</v>
      </c>
      <c r="E478" s="25" t="n">
        <f aca="false">A478/'Giả định'!$B$19*'Giả định'!$B$20+A478*'Giả định'!$B$23+'Giả định'!$B$24</f>
        <v>349781512.605042</v>
      </c>
      <c r="F478" s="25" t="n">
        <f aca="false">E478-D478</f>
        <v>-132900907.394958</v>
      </c>
      <c r="G478" s="25" t="n">
        <f aca="false">E478-C478</f>
        <v>10044092.605042</v>
      </c>
      <c r="H478" s="7" t="str">
        <f aca="false">IF(F478&gt;=0,A478,"")</f>
        <v/>
      </c>
      <c r="I478" s="7" t="n">
        <f aca="false">IF(F478&lt;0,A478,0)</f>
        <v>473</v>
      </c>
      <c r="J478" s="7" t="n">
        <f aca="false">IF(G478&gt;=0,A478,"")</f>
        <v>473</v>
      </c>
      <c r="K478" s="7" t="n">
        <f aca="false">IF(G478&lt;0,A478,0)</f>
        <v>0</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339774160</v>
      </c>
      <c r="D479" s="25" t="n">
        <f aca="false">('Chi phí'!$C$77+'Chi phí'!$D$77*B479+'Chi phí'!$E$77*A479+'Giả định'!$B$15*('Chi phí'!$F$77+'Chi phí'!$G$77*B479+'Chi phí'!$H$77*A479))*(1+'Giả định'!$B$16)</f>
        <v>482719160</v>
      </c>
      <c r="E479" s="25" t="n">
        <f aca="false">A479/'Giả định'!$B$19*'Giả định'!$B$20+A479*'Giả định'!$B$23+'Giả định'!$B$24</f>
        <v>350521008.403361</v>
      </c>
      <c r="F479" s="25" t="n">
        <f aca="false">E479-D479</f>
        <v>-132198151.596639</v>
      </c>
      <c r="G479" s="25" t="n">
        <f aca="false">E479-C479</f>
        <v>10746848.4033614</v>
      </c>
      <c r="H479" s="7" t="str">
        <f aca="false">IF(F479&gt;=0,A479,"")</f>
        <v/>
      </c>
      <c r="I479" s="7" t="n">
        <f aca="false">IF(F479&lt;0,A479,0)</f>
        <v>474</v>
      </c>
      <c r="J479" s="7" t="n">
        <f aca="false">IF(G479&gt;=0,A479,"")</f>
        <v>474</v>
      </c>
      <c r="K479" s="7" t="n">
        <f aca="false">IF(G479&lt;0,A479,0)</f>
        <v>0</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339810900</v>
      </c>
      <c r="D480" s="25" t="n">
        <f aca="false">('Chi phí'!$C$77+'Chi phí'!$D$77*B480+'Chi phí'!$E$77*A480+'Giả định'!$B$15*('Chi phí'!$F$77+'Chi phí'!$G$77*B480+'Chi phí'!$H$77*A480))*(1+'Giả định'!$B$16)</f>
        <v>482755900</v>
      </c>
      <c r="E480" s="25" t="n">
        <f aca="false">A480/'Giả định'!$B$19*'Giả định'!$B$20+A480*'Giả định'!$B$23+'Giả định'!$B$24</f>
        <v>351260504.201681</v>
      </c>
      <c r="F480" s="25" t="n">
        <f aca="false">E480-D480</f>
        <v>-131495395.798319</v>
      </c>
      <c r="G480" s="25" t="n">
        <f aca="false">E480-C480</f>
        <v>11449604.2016807</v>
      </c>
      <c r="H480" s="7" t="str">
        <f aca="false">IF(F480&gt;=0,A480,"")</f>
        <v/>
      </c>
      <c r="I480" s="7" t="n">
        <f aca="false">IF(F480&lt;0,A480,0)</f>
        <v>475</v>
      </c>
      <c r="J480" s="7" t="n">
        <f aca="false">IF(G480&gt;=0,A480,"")</f>
        <v>475</v>
      </c>
      <c r="K480" s="7" t="n">
        <f aca="false">IF(G480&lt;0,A480,0)</f>
        <v>0</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339847640</v>
      </c>
      <c r="D481" s="25" t="n">
        <f aca="false">('Chi phí'!$C$77+'Chi phí'!$D$77*B481+'Chi phí'!$E$77*A481+'Giả định'!$B$15*('Chi phí'!$F$77+'Chi phí'!$G$77*B481+'Chi phí'!$H$77*A481))*(1+'Giả định'!$B$16)</f>
        <v>482792640</v>
      </c>
      <c r="E481" s="25" t="n">
        <f aca="false">A481/'Giả định'!$B$19*'Giả định'!$B$20+A481*'Giả định'!$B$23+'Giả định'!$B$24</f>
        <v>352000000</v>
      </c>
      <c r="F481" s="25" t="n">
        <f aca="false">E481-D481</f>
        <v>-130792640</v>
      </c>
      <c r="G481" s="25" t="n">
        <f aca="false">E481-C481</f>
        <v>12152360</v>
      </c>
      <c r="H481" s="7" t="str">
        <f aca="false">IF(F481&gt;=0,A481,"")</f>
        <v/>
      </c>
      <c r="I481" s="7" t="n">
        <f aca="false">IF(F481&lt;0,A481,0)</f>
        <v>476</v>
      </c>
      <c r="J481" s="7" t="n">
        <f aca="false">IF(G481&gt;=0,A481,"")</f>
        <v>476</v>
      </c>
      <c r="K481" s="7" t="n">
        <f aca="false">IF(G481&lt;0,A481,0)</f>
        <v>0</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339884380</v>
      </c>
      <c r="D482" s="25" t="n">
        <f aca="false">('Chi phí'!$C$77+'Chi phí'!$D$77*B482+'Chi phí'!$E$77*A482+'Giả định'!$B$15*('Chi phí'!$F$77+'Chi phí'!$G$77*B482+'Chi phí'!$H$77*A482))*(1+'Giả định'!$B$16)</f>
        <v>482829380</v>
      </c>
      <c r="E482" s="25" t="n">
        <f aca="false">A482/'Giả định'!$B$19*'Giả định'!$B$20+A482*'Giả định'!$B$23+'Giả định'!$B$24</f>
        <v>352739495.798319</v>
      </c>
      <c r="F482" s="25" t="n">
        <f aca="false">E482-D482</f>
        <v>-130089884.201681</v>
      </c>
      <c r="G482" s="25" t="n">
        <f aca="false">E482-C482</f>
        <v>12855115.7983193</v>
      </c>
      <c r="H482" s="7" t="str">
        <f aca="false">IF(F482&gt;=0,A482,"")</f>
        <v/>
      </c>
      <c r="I482" s="7" t="n">
        <f aca="false">IF(F482&lt;0,A482,0)</f>
        <v>477</v>
      </c>
      <c r="J482" s="7" t="n">
        <f aca="false">IF(G482&gt;=0,A482,"")</f>
        <v>477</v>
      </c>
      <c r="K482" s="7" t="n">
        <f aca="false">IF(G482&lt;0,A482,0)</f>
        <v>0</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339921120</v>
      </c>
      <c r="D483" s="25" t="n">
        <f aca="false">('Chi phí'!$C$77+'Chi phí'!$D$77*B483+'Chi phí'!$E$77*A483+'Giả định'!$B$15*('Chi phí'!$F$77+'Chi phí'!$G$77*B483+'Chi phí'!$H$77*A483))*(1+'Giả định'!$B$16)</f>
        <v>482866120</v>
      </c>
      <c r="E483" s="25" t="n">
        <f aca="false">A483/'Giả định'!$B$19*'Giả định'!$B$20+A483*'Giả định'!$B$23+'Giả định'!$B$24</f>
        <v>353478991.596639</v>
      </c>
      <c r="F483" s="25" t="n">
        <f aca="false">E483-D483</f>
        <v>-129387128.403361</v>
      </c>
      <c r="G483" s="25" t="n">
        <f aca="false">E483-C483</f>
        <v>13557871.5966387</v>
      </c>
      <c r="H483" s="7" t="str">
        <f aca="false">IF(F483&gt;=0,A483,"")</f>
        <v/>
      </c>
      <c r="I483" s="7" t="n">
        <f aca="false">IF(F483&lt;0,A483,0)</f>
        <v>478</v>
      </c>
      <c r="J483" s="7" t="n">
        <f aca="false">IF(G483&gt;=0,A483,"")</f>
        <v>478</v>
      </c>
      <c r="K483" s="7" t="n">
        <f aca="false">IF(G483&lt;0,A483,0)</f>
        <v>0</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339957860</v>
      </c>
      <c r="D484" s="25" t="n">
        <f aca="false">('Chi phí'!$C$77+'Chi phí'!$D$77*B484+'Chi phí'!$E$77*A484+'Giả định'!$B$15*('Chi phí'!$F$77+'Chi phí'!$G$77*B484+'Chi phí'!$H$77*A484))*(1+'Giả định'!$B$16)</f>
        <v>482902860</v>
      </c>
      <c r="E484" s="25" t="n">
        <f aca="false">A484/'Giả định'!$B$19*'Giả định'!$B$20+A484*'Giả định'!$B$23+'Giả định'!$B$24</f>
        <v>354218487.394958</v>
      </c>
      <c r="F484" s="25" t="n">
        <f aca="false">E484-D484</f>
        <v>-128684372.605042</v>
      </c>
      <c r="G484" s="25" t="n">
        <f aca="false">E484-C484</f>
        <v>14260627.394958</v>
      </c>
      <c r="H484" s="7" t="str">
        <f aca="false">IF(F484&gt;=0,A484,"")</f>
        <v/>
      </c>
      <c r="I484" s="7" t="n">
        <f aca="false">IF(F484&lt;0,A484,0)</f>
        <v>479</v>
      </c>
      <c r="J484" s="7" t="n">
        <f aca="false">IF(G484&gt;=0,A484,"")</f>
        <v>479</v>
      </c>
      <c r="K484" s="7" t="n">
        <f aca="false">IF(G484&lt;0,A484,0)</f>
        <v>0</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339994600</v>
      </c>
      <c r="D485" s="25" t="n">
        <f aca="false">('Chi phí'!$C$77+'Chi phí'!$D$77*B485+'Chi phí'!$E$77*A485+'Giả định'!$B$15*('Chi phí'!$F$77+'Chi phí'!$G$77*B485+'Chi phí'!$H$77*A485))*(1+'Giả định'!$B$16)</f>
        <v>482939600</v>
      </c>
      <c r="E485" s="25" t="n">
        <f aca="false">A485/'Giả định'!$B$19*'Giả định'!$B$20+A485*'Giả định'!$B$23+'Giả định'!$B$24</f>
        <v>354957983.193277</v>
      </c>
      <c r="F485" s="25" t="n">
        <f aca="false">E485-D485</f>
        <v>-127981616.806723</v>
      </c>
      <c r="G485" s="25" t="n">
        <f aca="false">E485-C485</f>
        <v>14963383.1932773</v>
      </c>
      <c r="H485" s="7" t="str">
        <f aca="false">IF(F485&gt;=0,A485,"")</f>
        <v/>
      </c>
      <c r="I485" s="7" t="n">
        <f aca="false">IF(F485&lt;0,A485,0)</f>
        <v>480</v>
      </c>
      <c r="J485" s="7" t="n">
        <f aca="false">IF(G485&gt;=0,A485,"")</f>
        <v>480</v>
      </c>
      <c r="K485" s="7" t="n">
        <f aca="false">IF(G485&lt;0,A485,0)</f>
        <v>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345416940</v>
      </c>
      <c r="D486" s="25" t="n">
        <f aca="false">('Chi phí'!$C$77+'Chi phí'!$D$77*B486+'Chi phí'!$E$77*A486+'Giả định'!$B$15*('Chi phí'!$F$77+'Chi phí'!$G$77*B486+'Chi phí'!$H$77*A486))*(1+'Giả định'!$B$16)</f>
        <v>488361940</v>
      </c>
      <c r="E486" s="25" t="n">
        <f aca="false">A486/'Giả định'!$B$19*'Giả định'!$B$20+A486*'Giả định'!$B$23+'Giả định'!$B$24</f>
        <v>355697478.991597</v>
      </c>
      <c r="F486" s="25" t="n">
        <f aca="false">E486-D486</f>
        <v>-132664461.008403</v>
      </c>
      <c r="G486" s="25" t="n">
        <f aca="false">E486-C486</f>
        <v>10280538.9915967</v>
      </c>
      <c r="H486" s="7" t="str">
        <f aca="false">IF(F486&gt;=0,A486,"")</f>
        <v/>
      </c>
      <c r="I486" s="7" t="n">
        <f aca="false">IF(F486&lt;0,A486,0)</f>
        <v>481</v>
      </c>
      <c r="J486" s="7" t="n">
        <f aca="false">IF(G486&gt;=0,A486,"")</f>
        <v>481</v>
      </c>
      <c r="K486" s="7" t="n">
        <f aca="false">IF(G486&lt;0,A486,0)</f>
        <v>0</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345453680</v>
      </c>
      <c r="D487" s="25" t="n">
        <f aca="false">('Chi phí'!$C$77+'Chi phí'!$D$77*B487+'Chi phí'!$E$77*A487+'Giả định'!$B$15*('Chi phí'!$F$77+'Chi phí'!$G$77*B487+'Chi phí'!$H$77*A487))*(1+'Giả định'!$B$16)</f>
        <v>488398680</v>
      </c>
      <c r="E487" s="25" t="n">
        <f aca="false">A487/'Giả định'!$B$19*'Giả định'!$B$20+A487*'Giả định'!$B$23+'Giả định'!$B$24</f>
        <v>356436974.789916</v>
      </c>
      <c r="F487" s="25" t="n">
        <f aca="false">E487-D487</f>
        <v>-131961705.210084</v>
      </c>
      <c r="G487" s="25" t="n">
        <f aca="false">E487-C487</f>
        <v>10983294.789916</v>
      </c>
      <c r="H487" s="7" t="str">
        <f aca="false">IF(F487&gt;=0,A487,"")</f>
        <v/>
      </c>
      <c r="I487" s="7" t="n">
        <f aca="false">IF(F487&lt;0,A487,0)</f>
        <v>482</v>
      </c>
      <c r="J487" s="7" t="n">
        <f aca="false">IF(G487&gt;=0,A487,"")</f>
        <v>482</v>
      </c>
      <c r="K487" s="7" t="n">
        <f aca="false">IF(G487&lt;0,A487,0)</f>
        <v>0</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345490420</v>
      </c>
      <c r="D488" s="25" t="n">
        <f aca="false">('Chi phí'!$C$77+'Chi phí'!$D$77*B488+'Chi phí'!$E$77*A488+'Giả định'!$B$15*('Chi phí'!$F$77+'Chi phí'!$G$77*B488+'Chi phí'!$H$77*A488))*(1+'Giả định'!$B$16)</f>
        <v>488435420</v>
      </c>
      <c r="E488" s="25" t="n">
        <f aca="false">A488/'Giả định'!$B$19*'Giả định'!$B$20+A488*'Giả định'!$B$23+'Giả định'!$B$24</f>
        <v>357176470.588235</v>
      </c>
      <c r="F488" s="25" t="n">
        <f aca="false">E488-D488</f>
        <v>-131258949.411765</v>
      </c>
      <c r="G488" s="25" t="n">
        <f aca="false">E488-C488</f>
        <v>11686050.5882353</v>
      </c>
      <c r="H488" s="7" t="str">
        <f aca="false">IF(F488&gt;=0,A488,"")</f>
        <v/>
      </c>
      <c r="I488" s="7" t="n">
        <f aca="false">IF(F488&lt;0,A488,0)</f>
        <v>483</v>
      </c>
      <c r="J488" s="7" t="n">
        <f aca="false">IF(G488&gt;=0,A488,"")</f>
        <v>483</v>
      </c>
      <c r="K488" s="7" t="n">
        <f aca="false">IF(G488&lt;0,A488,0)</f>
        <v>0</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345527160</v>
      </c>
      <c r="D489" s="25" t="n">
        <f aca="false">('Chi phí'!$C$77+'Chi phí'!$D$77*B489+'Chi phí'!$E$77*A489+'Giả định'!$B$15*('Chi phí'!$F$77+'Chi phí'!$G$77*B489+'Chi phí'!$H$77*A489))*(1+'Giả định'!$B$16)</f>
        <v>488472160</v>
      </c>
      <c r="E489" s="25" t="n">
        <f aca="false">A489/'Giả định'!$B$19*'Giả định'!$B$20+A489*'Giả định'!$B$23+'Giả định'!$B$24</f>
        <v>357915966.386555</v>
      </c>
      <c r="F489" s="25" t="n">
        <f aca="false">E489-D489</f>
        <v>-130556193.613445</v>
      </c>
      <c r="G489" s="25" t="n">
        <f aca="false">E489-C489</f>
        <v>12388806.3865547</v>
      </c>
      <c r="H489" s="7" t="str">
        <f aca="false">IF(F489&gt;=0,A489,"")</f>
        <v/>
      </c>
      <c r="I489" s="7" t="n">
        <f aca="false">IF(F489&lt;0,A489,0)</f>
        <v>484</v>
      </c>
      <c r="J489" s="7" t="n">
        <f aca="false">IF(G489&gt;=0,A489,"")</f>
        <v>484</v>
      </c>
      <c r="K489" s="7" t="n">
        <f aca="false">IF(G489&lt;0,A489,0)</f>
        <v>0</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345563900</v>
      </c>
      <c r="D490" s="25" t="n">
        <f aca="false">('Chi phí'!$C$77+'Chi phí'!$D$77*B490+'Chi phí'!$E$77*A490+'Giả định'!$B$15*('Chi phí'!$F$77+'Chi phí'!$G$77*B490+'Chi phí'!$H$77*A490))*(1+'Giả định'!$B$16)</f>
        <v>488508900</v>
      </c>
      <c r="E490" s="25" t="n">
        <f aca="false">A490/'Giả định'!$B$19*'Giả định'!$B$20+A490*'Giả định'!$B$23+'Giả định'!$B$24</f>
        <v>358655462.184874</v>
      </c>
      <c r="F490" s="25" t="n">
        <f aca="false">E490-D490</f>
        <v>-129853437.815126</v>
      </c>
      <c r="G490" s="25" t="n">
        <f aca="false">E490-C490</f>
        <v>13091562.184874</v>
      </c>
      <c r="H490" s="7" t="str">
        <f aca="false">IF(F490&gt;=0,A490,"")</f>
        <v/>
      </c>
      <c r="I490" s="7" t="n">
        <f aca="false">IF(F490&lt;0,A490,0)</f>
        <v>485</v>
      </c>
      <c r="J490" s="7" t="n">
        <f aca="false">IF(G490&gt;=0,A490,"")</f>
        <v>485</v>
      </c>
      <c r="K490" s="7" t="n">
        <f aca="false">IF(G490&lt;0,A490,0)</f>
        <v>0</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345600640</v>
      </c>
      <c r="D491" s="25" t="n">
        <f aca="false">('Chi phí'!$C$77+'Chi phí'!$D$77*B491+'Chi phí'!$E$77*A491+'Giả định'!$B$15*('Chi phí'!$F$77+'Chi phí'!$G$77*B491+'Chi phí'!$H$77*A491))*(1+'Giả định'!$B$16)</f>
        <v>488545640</v>
      </c>
      <c r="E491" s="25" t="n">
        <f aca="false">A491/'Giả định'!$B$19*'Giả định'!$B$20+A491*'Giả định'!$B$23+'Giả định'!$B$24</f>
        <v>359394957.983193</v>
      </c>
      <c r="F491" s="25" t="n">
        <f aca="false">E491-D491</f>
        <v>-129150682.016807</v>
      </c>
      <c r="G491" s="25" t="n">
        <f aca="false">E491-C491</f>
        <v>13794317.9831933</v>
      </c>
      <c r="H491" s="7" t="str">
        <f aca="false">IF(F491&gt;=0,A491,"")</f>
        <v/>
      </c>
      <c r="I491" s="7" t="n">
        <f aca="false">IF(F491&lt;0,A491,0)</f>
        <v>486</v>
      </c>
      <c r="J491" s="7" t="n">
        <f aca="false">IF(G491&gt;=0,A491,"")</f>
        <v>486</v>
      </c>
      <c r="K491" s="7" t="n">
        <f aca="false">IF(G491&lt;0,A491,0)</f>
        <v>0</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345637380</v>
      </c>
      <c r="D492" s="25" t="n">
        <f aca="false">('Chi phí'!$C$77+'Chi phí'!$D$77*B492+'Chi phí'!$E$77*A492+'Giả định'!$B$15*('Chi phí'!$F$77+'Chi phí'!$G$77*B492+'Chi phí'!$H$77*A492))*(1+'Giả định'!$B$16)</f>
        <v>488582380</v>
      </c>
      <c r="E492" s="25" t="n">
        <f aca="false">A492/'Giả định'!$B$19*'Giả định'!$B$20+A492*'Giả định'!$B$23+'Giả định'!$B$24</f>
        <v>360134453.781513</v>
      </c>
      <c r="F492" s="25" t="n">
        <f aca="false">E492-D492</f>
        <v>-128447926.218487</v>
      </c>
      <c r="G492" s="25" t="n">
        <f aca="false">E492-C492</f>
        <v>14497073.7815126</v>
      </c>
      <c r="H492" s="7" t="str">
        <f aca="false">IF(F492&gt;=0,A492,"")</f>
        <v/>
      </c>
      <c r="I492" s="7" t="n">
        <f aca="false">IF(F492&lt;0,A492,0)</f>
        <v>487</v>
      </c>
      <c r="J492" s="7" t="n">
        <f aca="false">IF(G492&gt;=0,A492,"")</f>
        <v>487</v>
      </c>
      <c r="K492" s="7" t="n">
        <f aca="false">IF(G492&lt;0,A492,0)</f>
        <v>0</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345674120</v>
      </c>
      <c r="D493" s="25" t="n">
        <f aca="false">('Chi phí'!$C$77+'Chi phí'!$D$77*B493+'Chi phí'!$E$77*A493+'Giả định'!$B$15*('Chi phí'!$F$77+'Chi phí'!$G$77*B493+'Chi phí'!$H$77*A493))*(1+'Giả định'!$B$16)</f>
        <v>488619120</v>
      </c>
      <c r="E493" s="25" t="n">
        <f aca="false">A493/'Giả định'!$B$19*'Giả định'!$B$20+A493*'Giả định'!$B$23+'Giả định'!$B$24</f>
        <v>360873949.579832</v>
      </c>
      <c r="F493" s="25" t="n">
        <f aca="false">E493-D493</f>
        <v>-127745170.420168</v>
      </c>
      <c r="G493" s="25" t="n">
        <f aca="false">E493-C493</f>
        <v>15199829.579832</v>
      </c>
      <c r="H493" s="7" t="str">
        <f aca="false">IF(F493&gt;=0,A493,"")</f>
        <v/>
      </c>
      <c r="I493" s="7" t="n">
        <f aca="false">IF(F493&lt;0,A493,0)</f>
        <v>488</v>
      </c>
      <c r="J493" s="7" t="n">
        <f aca="false">IF(G493&gt;=0,A493,"")</f>
        <v>488</v>
      </c>
      <c r="K493" s="7" t="n">
        <f aca="false">IF(G493&lt;0,A493,0)</f>
        <v>0</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345710860</v>
      </c>
      <c r="D494" s="25" t="n">
        <f aca="false">('Chi phí'!$C$77+'Chi phí'!$D$77*B494+'Chi phí'!$E$77*A494+'Giả định'!$B$15*('Chi phí'!$F$77+'Chi phí'!$G$77*B494+'Chi phí'!$H$77*A494))*(1+'Giả định'!$B$16)</f>
        <v>488655860</v>
      </c>
      <c r="E494" s="25" t="n">
        <f aca="false">A494/'Giả định'!$B$19*'Giả định'!$B$20+A494*'Giả định'!$B$23+'Giả định'!$B$24</f>
        <v>361613445.378151</v>
      </c>
      <c r="F494" s="25" t="n">
        <f aca="false">E494-D494</f>
        <v>-127042414.621849</v>
      </c>
      <c r="G494" s="25" t="n">
        <f aca="false">E494-C494</f>
        <v>15902585.3781513</v>
      </c>
      <c r="H494" s="7" t="str">
        <f aca="false">IF(F494&gt;=0,A494,"")</f>
        <v/>
      </c>
      <c r="I494" s="7" t="n">
        <f aca="false">IF(F494&lt;0,A494,0)</f>
        <v>489</v>
      </c>
      <c r="J494" s="7" t="n">
        <f aca="false">IF(G494&gt;=0,A494,"")</f>
        <v>489</v>
      </c>
      <c r="K494" s="7" t="n">
        <f aca="false">IF(G494&lt;0,A494,0)</f>
        <v>0</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345747600</v>
      </c>
      <c r="D495" s="25" t="n">
        <f aca="false">('Chi phí'!$C$77+'Chi phí'!$D$77*B495+'Chi phí'!$E$77*A495+'Giả định'!$B$15*('Chi phí'!$F$77+'Chi phí'!$G$77*B495+'Chi phí'!$H$77*A495))*(1+'Giả định'!$B$16)</f>
        <v>488692600</v>
      </c>
      <c r="E495" s="25" t="n">
        <f aca="false">A495/'Giả định'!$B$19*'Giả định'!$B$20+A495*'Giả định'!$B$23+'Giả định'!$B$24</f>
        <v>362352941.176471</v>
      </c>
      <c r="F495" s="25" t="n">
        <f aca="false">E495-D495</f>
        <v>-126339658.823529</v>
      </c>
      <c r="G495" s="25" t="n">
        <f aca="false">E495-C495</f>
        <v>16605341.1764706</v>
      </c>
      <c r="H495" s="7" t="str">
        <f aca="false">IF(F495&gt;=0,A495,"")</f>
        <v/>
      </c>
      <c r="I495" s="7" t="n">
        <f aca="false">IF(F495&lt;0,A495,0)</f>
        <v>490</v>
      </c>
      <c r="J495" s="7" t="n">
        <f aca="false">IF(G495&gt;=0,A495,"")</f>
        <v>490</v>
      </c>
      <c r="K495" s="7" t="n">
        <f aca="false">IF(G495&lt;0,A495,0)</f>
        <v>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351169940</v>
      </c>
      <c r="D496" s="25" t="n">
        <f aca="false">('Chi phí'!$C$77+'Chi phí'!$D$77*B496+'Chi phí'!$E$77*A496+'Giả định'!$B$15*('Chi phí'!$F$77+'Chi phí'!$G$77*B496+'Chi phí'!$H$77*A496))*(1+'Giả định'!$B$16)</f>
        <v>494114940</v>
      </c>
      <c r="E496" s="25" t="n">
        <f aca="false">A496/'Giả định'!$B$19*'Giả định'!$B$20+A496*'Giả định'!$B$23+'Giả định'!$B$24</f>
        <v>363092436.97479</v>
      </c>
      <c r="F496" s="25" t="n">
        <f aca="false">E496-D496</f>
        <v>-131022503.02521</v>
      </c>
      <c r="G496" s="25" t="n">
        <f aca="false">E496-C496</f>
        <v>11922496.9747899</v>
      </c>
      <c r="H496" s="7" t="str">
        <f aca="false">IF(F496&gt;=0,A496,"")</f>
        <v/>
      </c>
      <c r="I496" s="7" t="n">
        <f aca="false">IF(F496&lt;0,A496,0)</f>
        <v>491</v>
      </c>
      <c r="J496" s="7" t="n">
        <f aca="false">IF(G496&gt;=0,A496,"")</f>
        <v>491</v>
      </c>
      <c r="K496" s="7" t="n">
        <f aca="false">IF(G496&lt;0,A496,0)</f>
        <v>0</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351206680</v>
      </c>
      <c r="D497" s="25" t="n">
        <f aca="false">('Chi phí'!$C$77+'Chi phí'!$D$77*B497+'Chi phí'!$E$77*A497+'Giả định'!$B$15*('Chi phí'!$F$77+'Chi phí'!$G$77*B497+'Chi phí'!$H$77*A497))*(1+'Giả định'!$B$16)</f>
        <v>494151680</v>
      </c>
      <c r="E497" s="25" t="n">
        <f aca="false">A497/'Giả định'!$B$19*'Giả định'!$B$20+A497*'Giả định'!$B$23+'Giả định'!$B$24</f>
        <v>363831932.773109</v>
      </c>
      <c r="F497" s="25" t="n">
        <f aca="false">E497-D497</f>
        <v>-130319747.226891</v>
      </c>
      <c r="G497" s="25" t="n">
        <f aca="false">E497-C497</f>
        <v>12625252.7731093</v>
      </c>
      <c r="H497" s="7" t="str">
        <f aca="false">IF(F497&gt;=0,A497,"")</f>
        <v/>
      </c>
      <c r="I497" s="7" t="n">
        <f aca="false">IF(F497&lt;0,A497,0)</f>
        <v>492</v>
      </c>
      <c r="J497" s="7" t="n">
        <f aca="false">IF(G497&gt;=0,A497,"")</f>
        <v>492</v>
      </c>
      <c r="K497" s="7" t="n">
        <f aca="false">IF(G497&lt;0,A497,0)</f>
        <v>0</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351243420</v>
      </c>
      <c r="D498" s="25" t="n">
        <f aca="false">('Chi phí'!$C$77+'Chi phí'!$D$77*B498+'Chi phí'!$E$77*A498+'Giả định'!$B$15*('Chi phí'!$F$77+'Chi phí'!$G$77*B498+'Chi phí'!$H$77*A498))*(1+'Giả định'!$B$16)</f>
        <v>494188420</v>
      </c>
      <c r="E498" s="25" t="n">
        <f aca="false">A498/'Giả định'!$B$19*'Giả định'!$B$20+A498*'Giả định'!$B$23+'Giả định'!$B$24</f>
        <v>364571428.571429</v>
      </c>
      <c r="F498" s="25" t="n">
        <f aca="false">E498-D498</f>
        <v>-129616991.428571</v>
      </c>
      <c r="G498" s="25" t="n">
        <f aca="false">E498-C498</f>
        <v>13328008.5714287</v>
      </c>
      <c r="H498" s="7" t="str">
        <f aca="false">IF(F498&gt;=0,A498,"")</f>
        <v/>
      </c>
      <c r="I498" s="7" t="n">
        <f aca="false">IF(F498&lt;0,A498,0)</f>
        <v>493</v>
      </c>
      <c r="J498" s="7" t="n">
        <f aca="false">IF(G498&gt;=0,A498,"")</f>
        <v>493</v>
      </c>
      <c r="K498" s="7" t="n">
        <f aca="false">IF(G498&lt;0,A498,0)</f>
        <v>0</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351280160</v>
      </c>
      <c r="D499" s="25" t="n">
        <f aca="false">('Chi phí'!$C$77+'Chi phí'!$D$77*B499+'Chi phí'!$E$77*A499+'Giả định'!$B$15*('Chi phí'!$F$77+'Chi phí'!$G$77*B499+'Chi phí'!$H$77*A499))*(1+'Giả định'!$B$16)</f>
        <v>494225160</v>
      </c>
      <c r="E499" s="25" t="n">
        <f aca="false">A499/'Giả định'!$B$19*'Giả định'!$B$20+A499*'Giả định'!$B$23+'Giả định'!$B$24</f>
        <v>365310924.369748</v>
      </c>
      <c r="F499" s="25" t="n">
        <f aca="false">E499-D499</f>
        <v>-128914235.630252</v>
      </c>
      <c r="G499" s="25" t="n">
        <f aca="false">E499-C499</f>
        <v>14030764.3697479</v>
      </c>
      <c r="H499" s="7" t="str">
        <f aca="false">IF(F499&gt;=0,A499,"")</f>
        <v/>
      </c>
      <c r="I499" s="7" t="n">
        <f aca="false">IF(F499&lt;0,A499,0)</f>
        <v>494</v>
      </c>
      <c r="J499" s="7" t="n">
        <f aca="false">IF(G499&gt;=0,A499,"")</f>
        <v>494</v>
      </c>
      <c r="K499" s="7" t="n">
        <f aca="false">IF(G499&lt;0,A499,0)</f>
        <v>0</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351316900</v>
      </c>
      <c r="D500" s="25" t="n">
        <f aca="false">('Chi phí'!$C$77+'Chi phí'!$D$77*B500+'Chi phí'!$E$77*A500+'Giả định'!$B$15*('Chi phí'!$F$77+'Chi phí'!$G$77*B500+'Chi phí'!$H$77*A500))*(1+'Giả định'!$B$16)</f>
        <v>494261900</v>
      </c>
      <c r="E500" s="25" t="n">
        <f aca="false">A500/'Giả định'!$B$19*'Giả định'!$B$20+A500*'Giả định'!$B$23+'Giả định'!$B$24</f>
        <v>366050420.168067</v>
      </c>
      <c r="F500" s="25" t="n">
        <f aca="false">E500-D500</f>
        <v>-128211479.831933</v>
      </c>
      <c r="G500" s="25" t="n">
        <f aca="false">E500-C500</f>
        <v>14733520.1680673</v>
      </c>
      <c r="H500" s="7" t="str">
        <f aca="false">IF(F500&gt;=0,A500,"")</f>
        <v/>
      </c>
      <c r="I500" s="7" t="n">
        <f aca="false">IF(F500&lt;0,A500,0)</f>
        <v>495</v>
      </c>
      <c r="J500" s="7" t="n">
        <f aca="false">IF(G500&gt;=0,A500,"")</f>
        <v>495</v>
      </c>
      <c r="K500" s="7" t="n">
        <f aca="false">IF(G500&lt;0,A500,0)</f>
        <v>0</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351353640</v>
      </c>
      <c r="D501" s="25" t="n">
        <f aca="false">('Chi phí'!$C$77+'Chi phí'!$D$77*B501+'Chi phí'!$E$77*A501+'Giả định'!$B$15*('Chi phí'!$F$77+'Chi phí'!$G$77*B501+'Chi phí'!$H$77*A501))*(1+'Giả định'!$B$16)</f>
        <v>494298640</v>
      </c>
      <c r="E501" s="25" t="n">
        <f aca="false">A501/'Giả định'!$B$19*'Giả định'!$B$20+A501*'Giả định'!$B$23+'Giả định'!$B$24</f>
        <v>366789915.966387</v>
      </c>
      <c r="F501" s="25" t="n">
        <f aca="false">E501-D501</f>
        <v>-127508724.033613</v>
      </c>
      <c r="G501" s="25" t="n">
        <f aca="false">E501-C501</f>
        <v>15436275.9663866</v>
      </c>
      <c r="H501" s="7" t="str">
        <f aca="false">IF(F501&gt;=0,A501,"")</f>
        <v/>
      </c>
      <c r="I501" s="7" t="n">
        <f aca="false">IF(F501&lt;0,A501,0)</f>
        <v>496</v>
      </c>
      <c r="J501" s="7" t="n">
        <f aca="false">IF(G501&gt;=0,A501,"")</f>
        <v>496</v>
      </c>
      <c r="K501" s="7" t="n">
        <f aca="false">IF(G501&lt;0,A501,0)</f>
        <v>0</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351390380</v>
      </c>
      <c r="D502" s="25" t="n">
        <f aca="false">('Chi phí'!$C$77+'Chi phí'!$D$77*B502+'Chi phí'!$E$77*A502+'Giả định'!$B$15*('Chi phí'!$F$77+'Chi phí'!$G$77*B502+'Chi phí'!$H$77*A502))*(1+'Giả định'!$B$16)</f>
        <v>494335380</v>
      </c>
      <c r="E502" s="25" t="n">
        <f aca="false">A502/'Giả định'!$B$19*'Giả định'!$B$20+A502*'Giả định'!$B$23+'Giả định'!$B$24</f>
        <v>367529411.764706</v>
      </c>
      <c r="F502" s="25" t="n">
        <f aca="false">E502-D502</f>
        <v>-126805968.235294</v>
      </c>
      <c r="G502" s="25" t="n">
        <f aca="false">E502-C502</f>
        <v>16139031.7647059</v>
      </c>
      <c r="H502" s="7" t="str">
        <f aca="false">IF(F502&gt;=0,A502,"")</f>
        <v/>
      </c>
      <c r="I502" s="7" t="n">
        <f aca="false">IF(F502&lt;0,A502,0)</f>
        <v>497</v>
      </c>
      <c r="J502" s="7" t="n">
        <f aca="false">IF(G502&gt;=0,A502,"")</f>
        <v>497</v>
      </c>
      <c r="K502" s="7" t="n">
        <f aca="false">IF(G502&lt;0,A502,0)</f>
        <v>0</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351427120</v>
      </c>
      <c r="D503" s="25" t="n">
        <f aca="false">('Chi phí'!$C$77+'Chi phí'!$D$77*B503+'Chi phí'!$E$77*A503+'Giả định'!$B$15*('Chi phí'!$F$77+'Chi phí'!$G$77*B503+'Chi phí'!$H$77*A503))*(1+'Giả định'!$B$16)</f>
        <v>494372120</v>
      </c>
      <c r="E503" s="25" t="n">
        <f aca="false">A503/'Giả định'!$B$19*'Giả định'!$B$20+A503*'Giả định'!$B$23+'Giả định'!$B$24</f>
        <v>368268907.563025</v>
      </c>
      <c r="F503" s="25" t="n">
        <f aca="false">E503-D503</f>
        <v>-126103212.436975</v>
      </c>
      <c r="G503" s="25" t="n">
        <f aca="false">E503-C503</f>
        <v>16841787.5630252</v>
      </c>
      <c r="H503" s="7" t="str">
        <f aca="false">IF(F503&gt;=0,A503,"")</f>
        <v/>
      </c>
      <c r="I503" s="7" t="n">
        <f aca="false">IF(F503&lt;0,A503,0)</f>
        <v>498</v>
      </c>
      <c r="J503" s="7" t="n">
        <f aca="false">IF(G503&gt;=0,A503,"")</f>
        <v>498</v>
      </c>
      <c r="K503" s="7" t="n">
        <f aca="false">IF(G503&lt;0,A503,0)</f>
        <v>0</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351463860</v>
      </c>
      <c r="D504" s="25" t="n">
        <f aca="false">('Chi phí'!$C$77+'Chi phí'!$D$77*B504+'Chi phí'!$E$77*A504+'Giả định'!$B$15*('Chi phí'!$F$77+'Chi phí'!$G$77*B504+'Chi phí'!$H$77*A504))*(1+'Giả định'!$B$16)</f>
        <v>494408860</v>
      </c>
      <c r="E504" s="25" t="n">
        <f aca="false">A504/'Giả định'!$B$19*'Giả định'!$B$20+A504*'Giả định'!$B$23+'Giả định'!$B$24</f>
        <v>369008403.361345</v>
      </c>
      <c r="F504" s="25" t="n">
        <f aca="false">E504-D504</f>
        <v>-125400456.638655</v>
      </c>
      <c r="G504" s="25" t="n">
        <f aca="false">E504-C504</f>
        <v>17544543.3613446</v>
      </c>
      <c r="H504" s="7" t="str">
        <f aca="false">IF(F504&gt;=0,A504,"")</f>
        <v/>
      </c>
      <c r="I504" s="7" t="n">
        <f aca="false">IF(F504&lt;0,A504,0)</f>
        <v>499</v>
      </c>
      <c r="J504" s="7" t="n">
        <f aca="false">IF(G504&gt;=0,A504,"")</f>
        <v>499</v>
      </c>
      <c r="K504" s="7" t="n">
        <f aca="false">IF(G504&lt;0,A504,0)</f>
        <v>0</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351500600</v>
      </c>
      <c r="D505" s="25" t="n">
        <f aca="false">('Chi phí'!$C$77+'Chi phí'!$D$77*B505+'Chi phí'!$E$77*A505+'Giả định'!$B$15*('Chi phí'!$F$77+'Chi phí'!$G$77*B505+'Chi phí'!$H$77*A505))*(1+'Giả định'!$B$16)</f>
        <v>494445600</v>
      </c>
      <c r="E505" s="25" t="n">
        <f aca="false">A505/'Giả định'!$B$19*'Giả định'!$B$20+A505*'Giả định'!$B$23+'Giả định'!$B$24</f>
        <v>369747899.159664</v>
      </c>
      <c r="F505" s="25" t="n">
        <f aca="false">E505-D505</f>
        <v>-124697700.840336</v>
      </c>
      <c r="G505" s="25" t="n">
        <f aca="false">E505-C505</f>
        <v>18247299.1596639</v>
      </c>
      <c r="H505" s="7" t="str">
        <f aca="false">IF(F505&gt;=0,A505,"")</f>
        <v/>
      </c>
      <c r="I505" s="7" t="n">
        <f aca="false">IF(F505&lt;0,A505,0)</f>
        <v>500</v>
      </c>
      <c r="J505" s="7" t="n">
        <f aca="false">IF(G505&gt;=0,A505,"")</f>
        <v>500</v>
      </c>
      <c r="K505" s="7" t="n">
        <f aca="false">IF(G505&lt;0,A505,0)</f>
        <v>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356922940</v>
      </c>
      <c r="D506" s="25" t="n">
        <f aca="false">('Chi phí'!$C$77+'Chi phí'!$D$77*B506+'Chi phí'!$E$77*A506+'Giả định'!$B$15*('Chi phí'!$F$77+'Chi phí'!$G$77*B506+'Chi phí'!$H$77*A506))*(1+'Giả định'!$B$16)</f>
        <v>499867940</v>
      </c>
      <c r="E506" s="25" t="n">
        <f aca="false">A506/'Giả định'!$B$19*'Giả định'!$B$20+A506*'Giả định'!$B$23+'Giả định'!$B$24</f>
        <v>370487394.957983</v>
      </c>
      <c r="F506" s="25" t="n">
        <f aca="false">E506-D506</f>
        <v>-129380545.042017</v>
      </c>
      <c r="G506" s="25" t="n">
        <f aca="false">E506-C506</f>
        <v>13564454.9579832</v>
      </c>
      <c r="H506" s="7" t="str">
        <f aca="false">IF(F506&gt;=0,A506,"")</f>
        <v/>
      </c>
      <c r="I506" s="7" t="n">
        <f aca="false">IF(F506&lt;0,A506,0)</f>
        <v>501</v>
      </c>
      <c r="J506" s="7" t="n">
        <f aca="false">IF(G506&gt;=0,A506,"")</f>
        <v>501</v>
      </c>
      <c r="K506" s="7" t="n">
        <f aca="false">IF(G506&lt;0,A506,0)</f>
        <v>0</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356959680</v>
      </c>
      <c r="D507" s="25" t="n">
        <f aca="false">('Chi phí'!$C$77+'Chi phí'!$D$77*B507+'Chi phí'!$E$77*A507+'Giả định'!$B$15*('Chi phí'!$F$77+'Chi phí'!$G$77*B507+'Chi phí'!$H$77*A507))*(1+'Giả định'!$B$16)</f>
        <v>499904680</v>
      </c>
      <c r="E507" s="25" t="n">
        <f aca="false">A507/'Giả định'!$B$19*'Giả định'!$B$20+A507*'Giả định'!$B$23+'Giả định'!$B$24</f>
        <v>371226890.756303</v>
      </c>
      <c r="F507" s="25" t="n">
        <f aca="false">E507-D507</f>
        <v>-128677789.243698</v>
      </c>
      <c r="G507" s="25" t="n">
        <f aca="false">E507-C507</f>
        <v>14267210.7563025</v>
      </c>
      <c r="H507" s="7" t="str">
        <f aca="false">IF(F507&gt;=0,A507,"")</f>
        <v/>
      </c>
      <c r="I507" s="7" t="n">
        <f aca="false">IF(F507&lt;0,A507,0)</f>
        <v>502</v>
      </c>
      <c r="J507" s="7" t="n">
        <f aca="false">IF(G507&gt;=0,A507,"")</f>
        <v>502</v>
      </c>
      <c r="K507" s="7" t="n">
        <f aca="false">IF(G507&lt;0,A507,0)</f>
        <v>0</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356996420</v>
      </c>
      <c r="D508" s="25" t="n">
        <f aca="false">('Chi phí'!$C$77+'Chi phí'!$D$77*B508+'Chi phí'!$E$77*A508+'Giả định'!$B$15*('Chi phí'!$F$77+'Chi phí'!$G$77*B508+'Chi phí'!$H$77*A508))*(1+'Giả định'!$B$16)</f>
        <v>499941420</v>
      </c>
      <c r="E508" s="25" t="n">
        <f aca="false">A508/'Giả định'!$B$19*'Giả định'!$B$20+A508*'Giả định'!$B$23+'Giả định'!$B$24</f>
        <v>371966386.554622</v>
      </c>
      <c r="F508" s="25" t="n">
        <f aca="false">E508-D508</f>
        <v>-127975033.445378</v>
      </c>
      <c r="G508" s="25" t="n">
        <f aca="false">E508-C508</f>
        <v>14969966.5546219</v>
      </c>
      <c r="H508" s="7" t="str">
        <f aca="false">IF(F508&gt;=0,A508,"")</f>
        <v/>
      </c>
      <c r="I508" s="7" t="n">
        <f aca="false">IF(F508&lt;0,A508,0)</f>
        <v>503</v>
      </c>
      <c r="J508" s="7" t="n">
        <f aca="false">IF(G508&gt;=0,A508,"")</f>
        <v>503</v>
      </c>
      <c r="K508" s="7" t="n">
        <f aca="false">IF(G508&lt;0,A508,0)</f>
        <v>0</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357033160</v>
      </c>
      <c r="D509" s="25" t="n">
        <f aca="false">('Chi phí'!$C$77+'Chi phí'!$D$77*B509+'Chi phí'!$E$77*A509+'Giả định'!$B$15*('Chi phí'!$F$77+'Chi phí'!$G$77*B509+'Chi phí'!$H$77*A509))*(1+'Giả định'!$B$16)</f>
        <v>499978160</v>
      </c>
      <c r="E509" s="25" t="n">
        <f aca="false">A509/'Giả định'!$B$19*'Giả định'!$B$20+A509*'Giả định'!$B$23+'Giả định'!$B$24</f>
        <v>372705882.352941</v>
      </c>
      <c r="F509" s="25" t="n">
        <f aca="false">E509-D509</f>
        <v>-127272277.647059</v>
      </c>
      <c r="G509" s="25" t="n">
        <f aca="false">E509-C509</f>
        <v>15672722.3529412</v>
      </c>
      <c r="H509" s="7" t="str">
        <f aca="false">IF(F509&gt;=0,A509,"")</f>
        <v/>
      </c>
      <c r="I509" s="7" t="n">
        <f aca="false">IF(F509&lt;0,A509,0)</f>
        <v>504</v>
      </c>
      <c r="J509" s="7" t="n">
        <f aca="false">IF(G509&gt;=0,A509,"")</f>
        <v>504</v>
      </c>
      <c r="K509" s="7" t="n">
        <f aca="false">IF(G509&lt;0,A509,0)</f>
        <v>0</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357069900</v>
      </c>
      <c r="D510" s="25" t="n">
        <f aca="false">('Chi phí'!$C$77+'Chi phí'!$D$77*B510+'Chi phí'!$E$77*A510+'Giả định'!$B$15*('Chi phí'!$F$77+'Chi phí'!$G$77*B510+'Chi phí'!$H$77*A510))*(1+'Giả định'!$B$16)</f>
        <v>500014900</v>
      </c>
      <c r="E510" s="25" t="n">
        <f aca="false">A510/'Giả định'!$B$19*'Giả định'!$B$20+A510*'Giả định'!$B$23+'Giả định'!$B$24</f>
        <v>373445378.151261</v>
      </c>
      <c r="F510" s="25" t="n">
        <f aca="false">E510-D510</f>
        <v>-126569521.84874</v>
      </c>
      <c r="G510" s="25" t="n">
        <f aca="false">E510-C510</f>
        <v>16375478.1512605</v>
      </c>
      <c r="H510" s="7" t="str">
        <f aca="false">IF(F510&gt;=0,A510,"")</f>
        <v/>
      </c>
      <c r="I510" s="7" t="n">
        <f aca="false">IF(F510&lt;0,A510,0)</f>
        <v>505</v>
      </c>
      <c r="J510" s="7" t="n">
        <f aca="false">IF(G510&gt;=0,A510,"")</f>
        <v>505</v>
      </c>
      <c r="K510" s="7" t="n">
        <f aca="false">IF(G510&lt;0,A510,0)</f>
        <v>0</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357106640</v>
      </c>
      <c r="D511" s="25" t="n">
        <f aca="false">('Chi phí'!$C$77+'Chi phí'!$D$77*B511+'Chi phí'!$E$77*A511+'Giả định'!$B$15*('Chi phí'!$F$77+'Chi phí'!$G$77*B511+'Chi phí'!$H$77*A511))*(1+'Giả định'!$B$16)</f>
        <v>500051640</v>
      </c>
      <c r="E511" s="25" t="n">
        <f aca="false">A511/'Giả định'!$B$19*'Giả định'!$B$20+A511*'Giả định'!$B$23+'Giả định'!$B$24</f>
        <v>374184873.94958</v>
      </c>
      <c r="F511" s="25" t="n">
        <f aca="false">E511-D511</f>
        <v>-125866766.05042</v>
      </c>
      <c r="G511" s="25" t="n">
        <f aca="false">E511-C511</f>
        <v>17078233.9495799</v>
      </c>
      <c r="H511" s="7" t="str">
        <f aca="false">IF(F511&gt;=0,A511,"")</f>
        <v/>
      </c>
      <c r="I511" s="7" t="n">
        <f aca="false">IF(F511&lt;0,A511,0)</f>
        <v>506</v>
      </c>
      <c r="J511" s="7" t="n">
        <f aca="false">IF(G511&gt;=0,A511,"")</f>
        <v>506</v>
      </c>
      <c r="K511" s="7" t="n">
        <f aca="false">IF(G511&lt;0,A511,0)</f>
        <v>0</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357143380</v>
      </c>
      <c r="D512" s="25" t="n">
        <f aca="false">('Chi phí'!$C$77+'Chi phí'!$D$77*B512+'Chi phí'!$E$77*A512+'Giả định'!$B$15*('Chi phí'!$F$77+'Chi phí'!$G$77*B512+'Chi phí'!$H$77*A512))*(1+'Giả định'!$B$16)</f>
        <v>500088380</v>
      </c>
      <c r="E512" s="25" t="n">
        <f aca="false">A512/'Giả định'!$B$19*'Giả định'!$B$20+A512*'Giả định'!$B$23+'Giả định'!$B$24</f>
        <v>374924369.747899</v>
      </c>
      <c r="F512" s="25" t="n">
        <f aca="false">E512-D512</f>
        <v>-125164010.252101</v>
      </c>
      <c r="G512" s="25" t="n">
        <f aca="false">E512-C512</f>
        <v>17780989.7478992</v>
      </c>
      <c r="H512" s="7" t="str">
        <f aca="false">IF(F512&gt;=0,A512,"")</f>
        <v/>
      </c>
      <c r="I512" s="7" t="n">
        <f aca="false">IF(F512&lt;0,A512,0)</f>
        <v>507</v>
      </c>
      <c r="J512" s="7" t="n">
        <f aca="false">IF(G512&gt;=0,A512,"")</f>
        <v>507</v>
      </c>
      <c r="K512" s="7" t="n">
        <f aca="false">IF(G512&lt;0,A512,0)</f>
        <v>0</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357180120</v>
      </c>
      <c r="D513" s="25" t="n">
        <f aca="false">('Chi phí'!$C$77+'Chi phí'!$D$77*B513+'Chi phí'!$E$77*A513+'Giả định'!$B$15*('Chi phí'!$F$77+'Chi phí'!$G$77*B513+'Chi phí'!$H$77*A513))*(1+'Giả định'!$B$16)</f>
        <v>500125120</v>
      </c>
      <c r="E513" s="25" t="n">
        <f aca="false">A513/'Giả định'!$B$19*'Giả định'!$B$20+A513*'Giả định'!$B$23+'Giả định'!$B$24</f>
        <v>375663865.546219</v>
      </c>
      <c r="F513" s="25" t="n">
        <f aca="false">E513-D513</f>
        <v>-124461254.453782</v>
      </c>
      <c r="G513" s="25" t="n">
        <f aca="false">E513-C513</f>
        <v>18483745.5462185</v>
      </c>
      <c r="H513" s="7" t="str">
        <f aca="false">IF(F513&gt;=0,A513,"")</f>
        <v/>
      </c>
      <c r="I513" s="7" t="n">
        <f aca="false">IF(F513&lt;0,A513,0)</f>
        <v>508</v>
      </c>
      <c r="J513" s="7" t="n">
        <f aca="false">IF(G513&gt;=0,A513,"")</f>
        <v>508</v>
      </c>
      <c r="K513" s="7" t="n">
        <f aca="false">IF(G513&lt;0,A513,0)</f>
        <v>0</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357216860</v>
      </c>
      <c r="D514" s="25" t="n">
        <f aca="false">('Chi phí'!$C$77+'Chi phí'!$D$77*B514+'Chi phí'!$E$77*A514+'Giả định'!$B$15*('Chi phí'!$F$77+'Chi phí'!$G$77*B514+'Chi phí'!$H$77*A514))*(1+'Giả định'!$B$16)</f>
        <v>500161860</v>
      </c>
      <c r="E514" s="25" t="n">
        <f aca="false">A514/'Giả định'!$B$19*'Giả định'!$B$20+A514*'Giả định'!$B$23+'Giả định'!$B$24</f>
        <v>376403361.344538</v>
      </c>
      <c r="F514" s="25" t="n">
        <f aca="false">E514-D514</f>
        <v>-123758498.655462</v>
      </c>
      <c r="G514" s="25" t="n">
        <f aca="false">E514-C514</f>
        <v>19186501.3445379</v>
      </c>
      <c r="H514" s="7" t="str">
        <f aca="false">IF(F514&gt;=0,A514,"")</f>
        <v/>
      </c>
      <c r="I514" s="7" t="n">
        <f aca="false">IF(F514&lt;0,A514,0)</f>
        <v>509</v>
      </c>
      <c r="J514" s="7" t="n">
        <f aca="false">IF(G514&gt;=0,A514,"")</f>
        <v>509</v>
      </c>
      <c r="K514" s="7" t="n">
        <f aca="false">IF(G514&lt;0,A514,0)</f>
        <v>0</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357253600</v>
      </c>
      <c r="D515" s="25" t="n">
        <f aca="false">('Chi phí'!$C$77+'Chi phí'!$D$77*B515+'Chi phí'!$E$77*A515+'Giả định'!$B$15*('Chi phí'!$F$77+'Chi phí'!$G$77*B515+'Chi phí'!$H$77*A515))*(1+'Giả định'!$B$16)</f>
        <v>500198600</v>
      </c>
      <c r="E515" s="25" t="n">
        <f aca="false">A515/'Giả định'!$B$19*'Giả định'!$B$20+A515*'Giả định'!$B$23+'Giả định'!$B$24</f>
        <v>377142857.142857</v>
      </c>
      <c r="F515" s="25" t="n">
        <f aca="false">E515-D515</f>
        <v>-123055742.857143</v>
      </c>
      <c r="G515" s="25" t="n">
        <f aca="false">E515-C515</f>
        <v>19889257.1428572</v>
      </c>
      <c r="H515" s="7" t="str">
        <f aca="false">IF(F515&gt;=0,A515,"")</f>
        <v/>
      </c>
      <c r="I515" s="7" t="n">
        <f aca="false">IF(F515&lt;0,A515,0)</f>
        <v>510</v>
      </c>
      <c r="J515" s="7" t="n">
        <f aca="false">IF(G515&gt;=0,A515,"")</f>
        <v>510</v>
      </c>
      <c r="K515" s="7" t="n">
        <f aca="false">IF(G515&lt;0,A515,0)</f>
        <v>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362675940</v>
      </c>
      <c r="D516" s="25" t="n">
        <f aca="false">('Chi phí'!$C$77+'Chi phí'!$D$77*B516+'Chi phí'!$E$77*A516+'Giả định'!$B$15*('Chi phí'!$F$77+'Chi phí'!$G$77*B516+'Chi phí'!$H$77*A516))*(1+'Giả định'!$B$16)</f>
        <v>505620940</v>
      </c>
      <c r="E516" s="25" t="n">
        <f aca="false">A516/'Giả định'!$B$19*'Giả định'!$B$20+A516*'Giả định'!$B$23+'Giả định'!$B$24</f>
        <v>377882352.941177</v>
      </c>
      <c r="F516" s="25" t="n">
        <f aca="false">E516-D516</f>
        <v>-127738587.058824</v>
      </c>
      <c r="G516" s="25" t="n">
        <f aca="false">E516-C516</f>
        <v>15206412.9411765</v>
      </c>
      <c r="H516" s="7" t="str">
        <f aca="false">IF(F516&gt;=0,A516,"")</f>
        <v/>
      </c>
      <c r="I516" s="7" t="n">
        <f aca="false">IF(F516&lt;0,A516,0)</f>
        <v>511</v>
      </c>
      <c r="J516" s="7" t="n">
        <f aca="false">IF(G516&gt;=0,A516,"")</f>
        <v>511</v>
      </c>
      <c r="K516" s="7" t="n">
        <f aca="false">IF(G516&lt;0,A516,0)</f>
        <v>0</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362712680</v>
      </c>
      <c r="D517" s="25" t="n">
        <f aca="false">('Chi phí'!$C$77+'Chi phí'!$D$77*B517+'Chi phí'!$E$77*A517+'Giả định'!$B$15*('Chi phí'!$F$77+'Chi phí'!$G$77*B517+'Chi phí'!$H$77*A517))*(1+'Giả định'!$B$16)</f>
        <v>505657680</v>
      </c>
      <c r="E517" s="25" t="n">
        <f aca="false">A517/'Giả định'!$B$19*'Giả định'!$B$20+A517*'Giả định'!$B$23+'Giả định'!$B$24</f>
        <v>378621848.739496</v>
      </c>
      <c r="F517" s="25" t="n">
        <f aca="false">E517-D517</f>
        <v>-127035831.260504</v>
      </c>
      <c r="G517" s="25" t="n">
        <f aca="false">E517-C517</f>
        <v>15909168.7394958</v>
      </c>
      <c r="H517" s="7" t="str">
        <f aca="false">IF(F517&gt;=0,A517,"")</f>
        <v/>
      </c>
      <c r="I517" s="7" t="n">
        <f aca="false">IF(F517&lt;0,A517,0)</f>
        <v>512</v>
      </c>
      <c r="J517" s="7" t="n">
        <f aca="false">IF(G517&gt;=0,A517,"")</f>
        <v>512</v>
      </c>
      <c r="K517" s="7" t="n">
        <f aca="false">IF(G517&lt;0,A517,0)</f>
        <v>0</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362749420</v>
      </c>
      <c r="D518" s="25" t="n">
        <f aca="false">('Chi phí'!$C$77+'Chi phí'!$D$77*B518+'Chi phí'!$E$77*A518+'Giả định'!$B$15*('Chi phí'!$F$77+'Chi phí'!$G$77*B518+'Chi phí'!$H$77*A518))*(1+'Giả định'!$B$16)</f>
        <v>505694420</v>
      </c>
      <c r="E518" s="25" t="n">
        <f aca="false">A518/'Giả định'!$B$19*'Giả định'!$B$20+A518*'Giả định'!$B$23+'Giả định'!$B$24</f>
        <v>379361344.537815</v>
      </c>
      <c r="F518" s="25" t="n">
        <f aca="false">E518-D518</f>
        <v>-126333075.462185</v>
      </c>
      <c r="G518" s="25" t="n">
        <f aca="false">E518-C518</f>
        <v>16611924.5378152</v>
      </c>
      <c r="H518" s="7" t="str">
        <f aca="false">IF(F518&gt;=0,A518,"")</f>
        <v/>
      </c>
      <c r="I518" s="7" t="n">
        <f aca="false">IF(F518&lt;0,A518,0)</f>
        <v>513</v>
      </c>
      <c r="J518" s="7" t="n">
        <f aca="false">IF(G518&gt;=0,A518,"")</f>
        <v>513</v>
      </c>
      <c r="K518" s="7" t="n">
        <f aca="false">IF(G518&lt;0,A518,0)</f>
        <v>0</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362786160</v>
      </c>
      <c r="D519" s="25" t="n">
        <f aca="false">('Chi phí'!$C$77+'Chi phí'!$D$77*B519+'Chi phí'!$E$77*A519+'Giả định'!$B$15*('Chi phí'!$F$77+'Chi phí'!$G$77*B519+'Chi phí'!$H$77*A519))*(1+'Giả định'!$B$16)</f>
        <v>505731160</v>
      </c>
      <c r="E519" s="25" t="n">
        <f aca="false">A519/'Giả định'!$B$19*'Giả định'!$B$20+A519*'Giả định'!$B$23+'Giả định'!$B$24</f>
        <v>380100840.336135</v>
      </c>
      <c r="F519" s="25" t="n">
        <f aca="false">E519-D519</f>
        <v>-125630319.663866</v>
      </c>
      <c r="G519" s="25" t="n">
        <f aca="false">E519-C519</f>
        <v>17314680.3361345</v>
      </c>
      <c r="H519" s="7" t="str">
        <f aca="false">IF(F519&gt;=0,A519,"")</f>
        <v/>
      </c>
      <c r="I519" s="7" t="n">
        <f aca="false">IF(F519&lt;0,A519,0)</f>
        <v>514</v>
      </c>
      <c r="J519" s="7" t="n">
        <f aca="false">IF(G519&gt;=0,A519,"")</f>
        <v>514</v>
      </c>
      <c r="K519" s="7" t="n">
        <f aca="false">IF(G519&lt;0,A519,0)</f>
        <v>0</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362822900</v>
      </c>
      <c r="D520" s="25" t="n">
        <f aca="false">('Chi phí'!$C$77+'Chi phí'!$D$77*B520+'Chi phí'!$E$77*A520+'Giả định'!$B$15*('Chi phí'!$F$77+'Chi phí'!$G$77*B520+'Chi phí'!$H$77*A520))*(1+'Giả định'!$B$16)</f>
        <v>505767900</v>
      </c>
      <c r="E520" s="25" t="n">
        <f aca="false">A520/'Giả định'!$B$19*'Giả định'!$B$20+A520*'Giả định'!$B$23+'Giả định'!$B$24</f>
        <v>380840336.134454</v>
      </c>
      <c r="F520" s="25" t="n">
        <f aca="false">E520-D520</f>
        <v>-124927563.865546</v>
      </c>
      <c r="G520" s="25" t="n">
        <f aca="false">E520-C520</f>
        <v>18017436.1344538</v>
      </c>
      <c r="H520" s="7" t="str">
        <f aca="false">IF(F520&gt;=0,A520,"")</f>
        <v/>
      </c>
      <c r="I520" s="7" t="n">
        <f aca="false">IF(F520&lt;0,A520,0)</f>
        <v>515</v>
      </c>
      <c r="J520" s="7" t="n">
        <f aca="false">IF(G520&gt;=0,A520,"")</f>
        <v>515</v>
      </c>
      <c r="K520" s="7" t="n">
        <f aca="false">IF(G520&lt;0,A520,0)</f>
        <v>0</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362859640</v>
      </c>
      <c r="D521" s="25" t="n">
        <f aca="false">('Chi phí'!$C$77+'Chi phí'!$D$77*B521+'Chi phí'!$E$77*A521+'Giả định'!$B$15*('Chi phí'!$F$77+'Chi phí'!$G$77*B521+'Chi phí'!$H$77*A521))*(1+'Giả định'!$B$16)</f>
        <v>505804640</v>
      </c>
      <c r="E521" s="25" t="n">
        <f aca="false">A521/'Giả định'!$B$19*'Giả định'!$B$20+A521*'Giả định'!$B$23+'Giả định'!$B$24</f>
        <v>381579831.932773</v>
      </c>
      <c r="F521" s="25" t="n">
        <f aca="false">E521-D521</f>
        <v>-124224808.067227</v>
      </c>
      <c r="G521" s="25" t="n">
        <f aca="false">E521-C521</f>
        <v>18720191.9327731</v>
      </c>
      <c r="H521" s="7" t="str">
        <f aca="false">IF(F521&gt;=0,A521,"")</f>
        <v/>
      </c>
      <c r="I521" s="7" t="n">
        <f aca="false">IF(F521&lt;0,A521,0)</f>
        <v>516</v>
      </c>
      <c r="J521" s="7" t="n">
        <f aca="false">IF(G521&gt;=0,A521,"")</f>
        <v>516</v>
      </c>
      <c r="K521" s="7" t="n">
        <f aca="false">IF(G521&lt;0,A521,0)</f>
        <v>0</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362896380</v>
      </c>
      <c r="D522" s="25" t="n">
        <f aca="false">('Chi phí'!$C$77+'Chi phí'!$D$77*B522+'Chi phí'!$E$77*A522+'Giả định'!$B$15*('Chi phí'!$F$77+'Chi phí'!$G$77*B522+'Chi phí'!$H$77*A522))*(1+'Giả định'!$B$16)</f>
        <v>505841380</v>
      </c>
      <c r="E522" s="25" t="n">
        <f aca="false">A522/'Giả định'!$B$19*'Giả định'!$B$20+A522*'Giả định'!$B$23+'Giả định'!$B$24</f>
        <v>382319327.731092</v>
      </c>
      <c r="F522" s="25" t="n">
        <f aca="false">E522-D522</f>
        <v>-123522052.268908</v>
      </c>
      <c r="G522" s="25" t="n">
        <f aca="false">E522-C522</f>
        <v>19422947.7310925</v>
      </c>
      <c r="H522" s="7" t="str">
        <f aca="false">IF(F522&gt;=0,A522,"")</f>
        <v/>
      </c>
      <c r="I522" s="7" t="n">
        <f aca="false">IF(F522&lt;0,A522,0)</f>
        <v>517</v>
      </c>
      <c r="J522" s="7" t="n">
        <f aca="false">IF(G522&gt;=0,A522,"")</f>
        <v>517</v>
      </c>
      <c r="K522" s="7" t="n">
        <f aca="false">IF(G522&lt;0,A522,0)</f>
        <v>0</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362933120</v>
      </c>
      <c r="D523" s="25" t="n">
        <f aca="false">('Chi phí'!$C$77+'Chi phí'!$D$77*B523+'Chi phí'!$E$77*A523+'Giả định'!$B$15*('Chi phí'!$F$77+'Chi phí'!$G$77*B523+'Chi phí'!$H$77*A523))*(1+'Giả định'!$B$16)</f>
        <v>505878120</v>
      </c>
      <c r="E523" s="25" t="n">
        <f aca="false">A523/'Giả định'!$B$19*'Giả định'!$B$20+A523*'Giả định'!$B$23+'Giả định'!$B$24</f>
        <v>383058823.529412</v>
      </c>
      <c r="F523" s="25" t="n">
        <f aca="false">E523-D523</f>
        <v>-122819296.470588</v>
      </c>
      <c r="G523" s="25" t="n">
        <f aca="false">E523-C523</f>
        <v>20125703.5294118</v>
      </c>
      <c r="H523" s="7" t="str">
        <f aca="false">IF(F523&gt;=0,A523,"")</f>
        <v/>
      </c>
      <c r="I523" s="7" t="n">
        <f aca="false">IF(F523&lt;0,A523,0)</f>
        <v>518</v>
      </c>
      <c r="J523" s="7" t="n">
        <f aca="false">IF(G523&gt;=0,A523,"")</f>
        <v>518</v>
      </c>
      <c r="K523" s="7" t="n">
        <f aca="false">IF(G523&lt;0,A523,0)</f>
        <v>0</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362969860</v>
      </c>
      <c r="D524" s="25" t="n">
        <f aca="false">('Chi phí'!$C$77+'Chi phí'!$D$77*B524+'Chi phí'!$E$77*A524+'Giả định'!$B$15*('Chi phí'!$F$77+'Chi phí'!$G$77*B524+'Chi phí'!$H$77*A524))*(1+'Giả định'!$B$16)</f>
        <v>505914860</v>
      </c>
      <c r="E524" s="25" t="n">
        <f aca="false">A524/'Giả định'!$B$19*'Giả định'!$B$20+A524*'Giả định'!$B$23+'Giả định'!$B$24</f>
        <v>383798319.327731</v>
      </c>
      <c r="F524" s="25" t="n">
        <f aca="false">E524-D524</f>
        <v>-122116540.672269</v>
      </c>
      <c r="G524" s="25" t="n">
        <f aca="false">E524-C524</f>
        <v>20828459.3277311</v>
      </c>
      <c r="H524" s="7" t="str">
        <f aca="false">IF(F524&gt;=0,A524,"")</f>
        <v/>
      </c>
      <c r="I524" s="7" t="n">
        <f aca="false">IF(F524&lt;0,A524,0)</f>
        <v>519</v>
      </c>
      <c r="J524" s="7" t="n">
        <f aca="false">IF(G524&gt;=0,A524,"")</f>
        <v>519</v>
      </c>
      <c r="K524" s="7" t="n">
        <f aca="false">IF(G524&lt;0,A524,0)</f>
        <v>0</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363006600</v>
      </c>
      <c r="D525" s="25" t="n">
        <f aca="false">('Chi phí'!$C$77+'Chi phí'!$D$77*B525+'Chi phí'!$E$77*A525+'Giả định'!$B$15*('Chi phí'!$F$77+'Chi phí'!$G$77*B525+'Chi phí'!$H$77*A525))*(1+'Giả định'!$B$16)</f>
        <v>505951600</v>
      </c>
      <c r="E525" s="25" t="n">
        <f aca="false">A525/'Giả định'!$B$19*'Giả định'!$B$20+A525*'Giả định'!$B$23+'Giả định'!$B$24</f>
        <v>384537815.126051</v>
      </c>
      <c r="F525" s="25" t="n">
        <f aca="false">E525-D525</f>
        <v>-121413784.87395</v>
      </c>
      <c r="G525" s="25" t="n">
        <f aca="false">E525-C525</f>
        <v>21531215.1260505</v>
      </c>
      <c r="H525" s="7" t="str">
        <f aca="false">IF(F525&gt;=0,A525,"")</f>
        <v/>
      </c>
      <c r="I525" s="7" t="n">
        <f aca="false">IF(F525&lt;0,A525,0)</f>
        <v>520</v>
      </c>
      <c r="J525" s="7" t="n">
        <f aca="false">IF(G525&gt;=0,A525,"")</f>
        <v>520</v>
      </c>
      <c r="K525" s="7" t="n">
        <f aca="false">IF(G525&lt;0,A525,0)</f>
        <v>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368428940</v>
      </c>
      <c r="D526" s="25" t="n">
        <f aca="false">('Chi phí'!$C$77+'Chi phí'!$D$77*B526+'Chi phí'!$E$77*A526+'Giả định'!$B$15*('Chi phí'!$F$77+'Chi phí'!$G$77*B526+'Chi phí'!$H$77*A526))*(1+'Giả định'!$B$16)</f>
        <v>511373940</v>
      </c>
      <c r="E526" s="25" t="n">
        <f aca="false">A526/'Giả định'!$B$19*'Giả định'!$B$20+A526*'Giả định'!$B$23+'Giả định'!$B$24</f>
        <v>385277310.92437</v>
      </c>
      <c r="F526" s="25" t="n">
        <f aca="false">E526-D526</f>
        <v>-126096629.07563</v>
      </c>
      <c r="G526" s="25" t="n">
        <f aca="false">E526-C526</f>
        <v>16848370.9243698</v>
      </c>
      <c r="H526" s="7" t="str">
        <f aca="false">IF(F526&gt;=0,A526,"")</f>
        <v/>
      </c>
      <c r="I526" s="7" t="n">
        <f aca="false">IF(F526&lt;0,A526,0)</f>
        <v>521</v>
      </c>
      <c r="J526" s="7" t="n">
        <f aca="false">IF(G526&gt;=0,A526,"")</f>
        <v>521</v>
      </c>
      <c r="K526" s="7" t="n">
        <f aca="false">IF(G526&lt;0,A526,0)</f>
        <v>0</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368465680</v>
      </c>
      <c r="D527" s="25" t="n">
        <f aca="false">('Chi phí'!$C$77+'Chi phí'!$D$77*B527+'Chi phí'!$E$77*A527+'Giả định'!$B$15*('Chi phí'!$F$77+'Chi phí'!$G$77*B527+'Chi phí'!$H$77*A527))*(1+'Giả định'!$B$16)</f>
        <v>511410680</v>
      </c>
      <c r="E527" s="25" t="n">
        <f aca="false">A527/'Giả định'!$B$19*'Giả định'!$B$20+A527*'Giả định'!$B$23+'Giả định'!$B$24</f>
        <v>386016806.722689</v>
      </c>
      <c r="F527" s="25" t="n">
        <f aca="false">E527-D527</f>
        <v>-125393873.277311</v>
      </c>
      <c r="G527" s="25" t="n">
        <f aca="false">E527-C527</f>
        <v>17551126.7226891</v>
      </c>
      <c r="H527" s="7" t="str">
        <f aca="false">IF(F527&gt;=0,A527,"")</f>
        <v/>
      </c>
      <c r="I527" s="7" t="n">
        <f aca="false">IF(F527&lt;0,A527,0)</f>
        <v>522</v>
      </c>
      <c r="J527" s="7" t="n">
        <f aca="false">IF(G527&gt;=0,A527,"")</f>
        <v>522</v>
      </c>
      <c r="K527" s="7" t="n">
        <f aca="false">IF(G527&lt;0,A527,0)</f>
        <v>0</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368502420</v>
      </c>
      <c r="D528" s="25" t="n">
        <f aca="false">('Chi phí'!$C$77+'Chi phí'!$D$77*B528+'Chi phí'!$E$77*A528+'Giả định'!$B$15*('Chi phí'!$F$77+'Chi phí'!$G$77*B528+'Chi phí'!$H$77*A528))*(1+'Giả định'!$B$16)</f>
        <v>511447420</v>
      </c>
      <c r="E528" s="25" t="n">
        <f aca="false">A528/'Giả định'!$B$19*'Giả định'!$B$20+A528*'Giả định'!$B$23+'Giả định'!$B$24</f>
        <v>386756302.521008</v>
      </c>
      <c r="F528" s="25" t="n">
        <f aca="false">E528-D528</f>
        <v>-124691117.478992</v>
      </c>
      <c r="G528" s="25" t="n">
        <f aca="false">E528-C528</f>
        <v>18253882.5210084</v>
      </c>
      <c r="H528" s="7" t="str">
        <f aca="false">IF(F528&gt;=0,A528,"")</f>
        <v/>
      </c>
      <c r="I528" s="7" t="n">
        <f aca="false">IF(F528&lt;0,A528,0)</f>
        <v>523</v>
      </c>
      <c r="J528" s="7" t="n">
        <f aca="false">IF(G528&gt;=0,A528,"")</f>
        <v>523</v>
      </c>
      <c r="K528" s="7" t="n">
        <f aca="false">IF(G528&lt;0,A528,0)</f>
        <v>0</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368539160</v>
      </c>
      <c r="D529" s="25" t="n">
        <f aca="false">('Chi phí'!$C$77+'Chi phí'!$D$77*B529+'Chi phí'!$E$77*A529+'Giả định'!$B$15*('Chi phí'!$F$77+'Chi phí'!$G$77*B529+'Chi phí'!$H$77*A529))*(1+'Giả định'!$B$16)</f>
        <v>511484160</v>
      </c>
      <c r="E529" s="25" t="n">
        <f aca="false">A529/'Giả định'!$B$19*'Giả định'!$B$20+A529*'Giả định'!$B$23+'Giả định'!$B$24</f>
        <v>387495798.319328</v>
      </c>
      <c r="F529" s="25" t="n">
        <f aca="false">E529-D529</f>
        <v>-123988361.680672</v>
      </c>
      <c r="G529" s="25" t="n">
        <f aca="false">E529-C529</f>
        <v>18956638.3193278</v>
      </c>
      <c r="H529" s="7" t="str">
        <f aca="false">IF(F529&gt;=0,A529,"")</f>
        <v/>
      </c>
      <c r="I529" s="7" t="n">
        <f aca="false">IF(F529&lt;0,A529,0)</f>
        <v>524</v>
      </c>
      <c r="J529" s="7" t="n">
        <f aca="false">IF(G529&gt;=0,A529,"")</f>
        <v>524</v>
      </c>
      <c r="K529" s="7" t="n">
        <f aca="false">IF(G529&lt;0,A529,0)</f>
        <v>0</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368575900</v>
      </c>
      <c r="D530" s="25" t="n">
        <f aca="false">('Chi phí'!$C$77+'Chi phí'!$D$77*B530+'Chi phí'!$E$77*A530+'Giả định'!$B$15*('Chi phí'!$F$77+'Chi phí'!$G$77*B530+'Chi phí'!$H$77*A530))*(1+'Giả định'!$B$16)</f>
        <v>511520900</v>
      </c>
      <c r="E530" s="25" t="n">
        <f aca="false">A530/'Giả định'!$B$19*'Giả định'!$B$20+A530*'Giả định'!$B$23+'Giả định'!$B$24</f>
        <v>388235294.117647</v>
      </c>
      <c r="F530" s="25" t="n">
        <f aca="false">E530-D530</f>
        <v>-123285605.882353</v>
      </c>
      <c r="G530" s="25" t="n">
        <f aca="false">E530-C530</f>
        <v>19659394.1176471</v>
      </c>
      <c r="H530" s="7" t="str">
        <f aca="false">IF(F530&gt;=0,A530,"")</f>
        <v/>
      </c>
      <c r="I530" s="7" t="n">
        <f aca="false">IF(F530&lt;0,A530,0)</f>
        <v>525</v>
      </c>
      <c r="J530" s="7" t="n">
        <f aca="false">IF(G530&gt;=0,A530,"")</f>
        <v>525</v>
      </c>
      <c r="K530" s="7" t="n">
        <f aca="false">IF(G530&lt;0,A530,0)</f>
        <v>0</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368612640</v>
      </c>
      <c r="D531" s="25" t="n">
        <f aca="false">('Chi phí'!$C$77+'Chi phí'!$D$77*B531+'Chi phí'!$E$77*A531+'Giả định'!$B$15*('Chi phí'!$F$77+'Chi phí'!$G$77*B531+'Chi phí'!$H$77*A531))*(1+'Giả định'!$B$16)</f>
        <v>511557640</v>
      </c>
      <c r="E531" s="25" t="n">
        <f aca="false">A531/'Giả định'!$B$19*'Giả định'!$B$20+A531*'Giả định'!$B$23+'Giả định'!$B$24</f>
        <v>388974789.915966</v>
      </c>
      <c r="F531" s="25" t="n">
        <f aca="false">E531-D531</f>
        <v>-122582850.084034</v>
      </c>
      <c r="G531" s="25" t="n">
        <f aca="false">E531-C531</f>
        <v>20362149.9159664</v>
      </c>
      <c r="H531" s="7" t="str">
        <f aca="false">IF(F531&gt;=0,A531,"")</f>
        <v/>
      </c>
      <c r="I531" s="7" t="n">
        <f aca="false">IF(F531&lt;0,A531,0)</f>
        <v>526</v>
      </c>
      <c r="J531" s="7" t="n">
        <f aca="false">IF(G531&gt;=0,A531,"")</f>
        <v>526</v>
      </c>
      <c r="K531" s="7" t="n">
        <f aca="false">IF(G531&lt;0,A531,0)</f>
        <v>0</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368649380</v>
      </c>
      <c r="D532" s="25" t="n">
        <f aca="false">('Chi phí'!$C$77+'Chi phí'!$D$77*B532+'Chi phí'!$E$77*A532+'Giả định'!$B$15*('Chi phí'!$F$77+'Chi phí'!$G$77*B532+'Chi phí'!$H$77*A532))*(1+'Giả định'!$B$16)</f>
        <v>511594380</v>
      </c>
      <c r="E532" s="25" t="n">
        <f aca="false">A532/'Giả định'!$B$19*'Giả định'!$B$20+A532*'Giả định'!$B$23+'Giả định'!$B$24</f>
        <v>389714285.714286</v>
      </c>
      <c r="F532" s="25" t="n">
        <f aca="false">E532-D532</f>
        <v>-121880094.285714</v>
      </c>
      <c r="G532" s="25" t="n">
        <f aca="false">E532-C532</f>
        <v>21064905.7142857</v>
      </c>
      <c r="H532" s="7" t="str">
        <f aca="false">IF(F532&gt;=0,A532,"")</f>
        <v/>
      </c>
      <c r="I532" s="7" t="n">
        <f aca="false">IF(F532&lt;0,A532,0)</f>
        <v>527</v>
      </c>
      <c r="J532" s="7" t="n">
        <f aca="false">IF(G532&gt;=0,A532,"")</f>
        <v>527</v>
      </c>
      <c r="K532" s="7" t="n">
        <f aca="false">IF(G532&lt;0,A532,0)</f>
        <v>0</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368686120</v>
      </c>
      <c r="D533" s="25" t="n">
        <f aca="false">('Chi phí'!$C$77+'Chi phí'!$D$77*B533+'Chi phí'!$E$77*A533+'Giả định'!$B$15*('Chi phí'!$F$77+'Chi phí'!$G$77*B533+'Chi phí'!$H$77*A533))*(1+'Giả định'!$B$16)</f>
        <v>511631120</v>
      </c>
      <c r="E533" s="25" t="n">
        <f aca="false">A533/'Giả định'!$B$19*'Giả định'!$B$20+A533*'Giả định'!$B$23+'Giả định'!$B$24</f>
        <v>390453781.512605</v>
      </c>
      <c r="F533" s="25" t="n">
        <f aca="false">E533-D533</f>
        <v>-121177338.487395</v>
      </c>
      <c r="G533" s="25" t="n">
        <f aca="false">E533-C533</f>
        <v>21767661.5126051</v>
      </c>
      <c r="H533" s="7" t="str">
        <f aca="false">IF(F533&gt;=0,A533,"")</f>
        <v/>
      </c>
      <c r="I533" s="7" t="n">
        <f aca="false">IF(F533&lt;0,A533,0)</f>
        <v>528</v>
      </c>
      <c r="J533" s="7" t="n">
        <f aca="false">IF(G533&gt;=0,A533,"")</f>
        <v>528</v>
      </c>
      <c r="K533" s="7" t="n">
        <f aca="false">IF(G533&lt;0,A533,0)</f>
        <v>0</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368722860</v>
      </c>
      <c r="D534" s="25" t="n">
        <f aca="false">('Chi phí'!$C$77+'Chi phí'!$D$77*B534+'Chi phí'!$E$77*A534+'Giả định'!$B$15*('Chi phí'!$F$77+'Chi phí'!$G$77*B534+'Chi phí'!$H$77*A534))*(1+'Giả định'!$B$16)</f>
        <v>511667860</v>
      </c>
      <c r="E534" s="25" t="n">
        <f aca="false">A534/'Giả định'!$B$19*'Giả định'!$B$20+A534*'Giả định'!$B$23+'Giả định'!$B$24</f>
        <v>391193277.310924</v>
      </c>
      <c r="F534" s="25" t="n">
        <f aca="false">E534-D534</f>
        <v>-120474582.689076</v>
      </c>
      <c r="G534" s="25" t="n">
        <f aca="false">E534-C534</f>
        <v>22470417.3109244</v>
      </c>
      <c r="H534" s="7" t="str">
        <f aca="false">IF(F534&gt;=0,A534,"")</f>
        <v/>
      </c>
      <c r="I534" s="7" t="n">
        <f aca="false">IF(F534&lt;0,A534,0)</f>
        <v>529</v>
      </c>
      <c r="J534" s="7" t="n">
        <f aca="false">IF(G534&gt;=0,A534,"")</f>
        <v>529</v>
      </c>
      <c r="K534" s="7" t="n">
        <f aca="false">IF(G534&lt;0,A534,0)</f>
        <v>0</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368759600</v>
      </c>
      <c r="D535" s="25" t="n">
        <f aca="false">('Chi phí'!$C$77+'Chi phí'!$D$77*B535+'Chi phí'!$E$77*A535+'Giả định'!$B$15*('Chi phí'!$F$77+'Chi phí'!$G$77*B535+'Chi phí'!$H$77*A535))*(1+'Giả định'!$B$16)</f>
        <v>511704600</v>
      </c>
      <c r="E535" s="25" t="n">
        <f aca="false">A535/'Giả định'!$B$19*'Giả định'!$B$20+A535*'Giả định'!$B$23+'Giả định'!$B$24</f>
        <v>391932773.109244</v>
      </c>
      <c r="F535" s="25" t="n">
        <f aca="false">E535-D535</f>
        <v>-119771826.890756</v>
      </c>
      <c r="G535" s="25" t="n">
        <f aca="false">E535-C535</f>
        <v>23173173.1092438</v>
      </c>
      <c r="H535" s="7" t="str">
        <f aca="false">IF(F535&gt;=0,A535,"")</f>
        <v/>
      </c>
      <c r="I535" s="7" t="n">
        <f aca="false">IF(F535&lt;0,A535,0)</f>
        <v>530</v>
      </c>
      <c r="J535" s="7" t="n">
        <f aca="false">IF(G535&gt;=0,A535,"")</f>
        <v>530</v>
      </c>
      <c r="K535" s="7" t="n">
        <f aca="false">IF(G535&lt;0,A535,0)</f>
        <v>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374181940</v>
      </c>
      <c r="D536" s="25" t="n">
        <f aca="false">('Chi phí'!$C$77+'Chi phí'!$D$77*B536+'Chi phí'!$E$77*A536+'Giả định'!$B$15*('Chi phí'!$F$77+'Chi phí'!$G$77*B536+'Chi phí'!$H$77*A536))*(1+'Giả định'!$B$16)</f>
        <v>517126940</v>
      </c>
      <c r="E536" s="25" t="n">
        <f aca="false">A536/'Giả định'!$B$19*'Giả định'!$B$20+A536*'Giả định'!$B$23+'Giả định'!$B$24</f>
        <v>392672268.907563</v>
      </c>
      <c r="F536" s="25" t="n">
        <f aca="false">E536-D536</f>
        <v>-124454671.092437</v>
      </c>
      <c r="G536" s="25" t="n">
        <f aca="false">E536-C536</f>
        <v>18490328.907563</v>
      </c>
      <c r="H536" s="7" t="str">
        <f aca="false">IF(F536&gt;=0,A536,"")</f>
        <v/>
      </c>
      <c r="I536" s="7" t="n">
        <f aca="false">IF(F536&lt;0,A536,0)</f>
        <v>531</v>
      </c>
      <c r="J536" s="7" t="n">
        <f aca="false">IF(G536&gt;=0,A536,"")</f>
        <v>531</v>
      </c>
      <c r="K536" s="7" t="n">
        <f aca="false">IF(G536&lt;0,A536,0)</f>
        <v>0</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374218680</v>
      </c>
      <c r="D537" s="25" t="n">
        <f aca="false">('Chi phí'!$C$77+'Chi phí'!$D$77*B537+'Chi phí'!$E$77*A537+'Giả định'!$B$15*('Chi phí'!$F$77+'Chi phí'!$G$77*B537+'Chi phí'!$H$77*A537))*(1+'Giả định'!$B$16)</f>
        <v>517163680</v>
      </c>
      <c r="E537" s="25" t="n">
        <f aca="false">A537/'Giả định'!$B$19*'Giả định'!$B$20+A537*'Giả định'!$B$23+'Giả định'!$B$24</f>
        <v>393411764.705882</v>
      </c>
      <c r="F537" s="25" t="n">
        <f aca="false">E537-D537</f>
        <v>-123751915.294118</v>
      </c>
      <c r="G537" s="25" t="n">
        <f aca="false">E537-C537</f>
        <v>19193084.7058823</v>
      </c>
      <c r="H537" s="7" t="str">
        <f aca="false">IF(F537&gt;=0,A537,"")</f>
        <v/>
      </c>
      <c r="I537" s="7" t="n">
        <f aca="false">IF(F537&lt;0,A537,0)</f>
        <v>532</v>
      </c>
      <c r="J537" s="7" t="n">
        <f aca="false">IF(G537&gt;=0,A537,"")</f>
        <v>532</v>
      </c>
      <c r="K537" s="7" t="n">
        <f aca="false">IF(G537&lt;0,A537,0)</f>
        <v>0</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374255420</v>
      </c>
      <c r="D538" s="25" t="n">
        <f aca="false">('Chi phí'!$C$77+'Chi phí'!$D$77*B538+'Chi phí'!$E$77*A538+'Giả định'!$B$15*('Chi phí'!$F$77+'Chi phí'!$G$77*B538+'Chi phí'!$H$77*A538))*(1+'Giả định'!$B$16)</f>
        <v>517200420</v>
      </c>
      <c r="E538" s="25" t="n">
        <f aca="false">A538/'Giả định'!$B$19*'Giả định'!$B$20+A538*'Giả định'!$B$23+'Giả định'!$B$24</f>
        <v>394151260.504202</v>
      </c>
      <c r="F538" s="25" t="n">
        <f aca="false">E538-D538</f>
        <v>-123049159.495798</v>
      </c>
      <c r="G538" s="25" t="n">
        <f aca="false">E538-C538</f>
        <v>19895840.5042017</v>
      </c>
      <c r="H538" s="7" t="str">
        <f aca="false">IF(F538&gt;=0,A538,"")</f>
        <v/>
      </c>
      <c r="I538" s="7" t="n">
        <f aca="false">IF(F538&lt;0,A538,0)</f>
        <v>533</v>
      </c>
      <c r="J538" s="7" t="n">
        <f aca="false">IF(G538&gt;=0,A538,"")</f>
        <v>533</v>
      </c>
      <c r="K538" s="7" t="n">
        <f aca="false">IF(G538&lt;0,A538,0)</f>
        <v>0</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374292160</v>
      </c>
      <c r="D539" s="25" t="n">
        <f aca="false">('Chi phí'!$C$77+'Chi phí'!$D$77*B539+'Chi phí'!$E$77*A539+'Giả định'!$B$15*('Chi phí'!$F$77+'Chi phí'!$G$77*B539+'Chi phí'!$H$77*A539))*(1+'Giả định'!$B$16)</f>
        <v>517237160</v>
      </c>
      <c r="E539" s="25" t="n">
        <f aca="false">A539/'Giả định'!$B$19*'Giả định'!$B$20+A539*'Giả định'!$B$23+'Giả định'!$B$24</f>
        <v>394890756.302521</v>
      </c>
      <c r="F539" s="25" t="n">
        <f aca="false">E539-D539</f>
        <v>-122346403.697479</v>
      </c>
      <c r="G539" s="25" t="n">
        <f aca="false">E539-C539</f>
        <v>20598596.302521</v>
      </c>
      <c r="H539" s="7" t="str">
        <f aca="false">IF(F539&gt;=0,A539,"")</f>
        <v/>
      </c>
      <c r="I539" s="7" t="n">
        <f aca="false">IF(F539&lt;0,A539,0)</f>
        <v>534</v>
      </c>
      <c r="J539" s="7" t="n">
        <f aca="false">IF(G539&gt;=0,A539,"")</f>
        <v>534</v>
      </c>
      <c r="K539" s="7" t="n">
        <f aca="false">IF(G539&lt;0,A539,0)</f>
        <v>0</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374328900</v>
      </c>
      <c r="D540" s="25" t="n">
        <f aca="false">('Chi phí'!$C$77+'Chi phí'!$D$77*B540+'Chi phí'!$E$77*A540+'Giả định'!$B$15*('Chi phí'!$F$77+'Chi phí'!$G$77*B540+'Chi phí'!$H$77*A540))*(1+'Giả định'!$B$16)</f>
        <v>517273900</v>
      </c>
      <c r="E540" s="25" t="n">
        <f aca="false">A540/'Giả định'!$B$19*'Giả định'!$B$20+A540*'Giả định'!$B$23+'Giả định'!$B$24</f>
        <v>395630252.10084</v>
      </c>
      <c r="F540" s="25" t="n">
        <f aca="false">E540-D540</f>
        <v>-121643647.89916</v>
      </c>
      <c r="G540" s="25" t="n">
        <f aca="false">E540-C540</f>
        <v>21301352.1008403</v>
      </c>
      <c r="H540" s="7" t="str">
        <f aca="false">IF(F540&gt;=0,A540,"")</f>
        <v/>
      </c>
      <c r="I540" s="7" t="n">
        <f aca="false">IF(F540&lt;0,A540,0)</f>
        <v>535</v>
      </c>
      <c r="J540" s="7" t="n">
        <f aca="false">IF(G540&gt;=0,A540,"")</f>
        <v>535</v>
      </c>
      <c r="K540" s="7" t="n">
        <f aca="false">IF(G540&lt;0,A540,0)</f>
        <v>0</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374365640</v>
      </c>
      <c r="D541" s="25" t="n">
        <f aca="false">('Chi phí'!$C$77+'Chi phí'!$D$77*B541+'Chi phí'!$E$77*A541+'Giả định'!$B$15*('Chi phí'!$F$77+'Chi phí'!$G$77*B541+'Chi phí'!$H$77*A541))*(1+'Giả định'!$B$16)</f>
        <v>517310640</v>
      </c>
      <c r="E541" s="25" t="n">
        <f aca="false">A541/'Giả định'!$B$19*'Giả định'!$B$20+A541*'Giả định'!$B$23+'Giả định'!$B$24</f>
        <v>396369747.89916</v>
      </c>
      <c r="F541" s="25" t="n">
        <f aca="false">E541-D541</f>
        <v>-120940892.10084</v>
      </c>
      <c r="G541" s="25" t="n">
        <f aca="false">E541-C541</f>
        <v>22004107.8991596</v>
      </c>
      <c r="H541" s="7" t="str">
        <f aca="false">IF(F541&gt;=0,A541,"")</f>
        <v/>
      </c>
      <c r="I541" s="7" t="n">
        <f aca="false">IF(F541&lt;0,A541,0)</f>
        <v>536</v>
      </c>
      <c r="J541" s="7" t="n">
        <f aca="false">IF(G541&gt;=0,A541,"")</f>
        <v>536</v>
      </c>
      <c r="K541" s="7" t="n">
        <f aca="false">IF(G541&lt;0,A541,0)</f>
        <v>0</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374402380</v>
      </c>
      <c r="D542" s="25" t="n">
        <f aca="false">('Chi phí'!$C$77+'Chi phí'!$D$77*B542+'Chi phí'!$E$77*A542+'Giả định'!$B$15*('Chi phí'!$F$77+'Chi phí'!$G$77*B542+'Chi phí'!$H$77*A542))*(1+'Giả định'!$B$16)</f>
        <v>517347380</v>
      </c>
      <c r="E542" s="25" t="n">
        <f aca="false">A542/'Giả định'!$B$19*'Giả định'!$B$20+A542*'Giả định'!$B$23+'Giả định'!$B$24</f>
        <v>397109243.697479</v>
      </c>
      <c r="F542" s="25" t="n">
        <f aca="false">E542-D542</f>
        <v>-120238136.302521</v>
      </c>
      <c r="G542" s="25" t="n">
        <f aca="false">E542-C542</f>
        <v>22706863.697479</v>
      </c>
      <c r="H542" s="7" t="str">
        <f aca="false">IF(F542&gt;=0,A542,"")</f>
        <v/>
      </c>
      <c r="I542" s="7" t="n">
        <f aca="false">IF(F542&lt;0,A542,0)</f>
        <v>537</v>
      </c>
      <c r="J542" s="7" t="n">
        <f aca="false">IF(G542&gt;=0,A542,"")</f>
        <v>537</v>
      </c>
      <c r="K542" s="7" t="n">
        <f aca="false">IF(G542&lt;0,A542,0)</f>
        <v>0</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374439120</v>
      </c>
      <c r="D543" s="25" t="n">
        <f aca="false">('Chi phí'!$C$77+'Chi phí'!$D$77*B543+'Chi phí'!$E$77*A543+'Giả định'!$B$15*('Chi phí'!$F$77+'Chi phí'!$G$77*B543+'Chi phí'!$H$77*A543))*(1+'Giả định'!$B$16)</f>
        <v>517384120</v>
      </c>
      <c r="E543" s="25" t="n">
        <f aca="false">A543/'Giả định'!$B$19*'Giả định'!$B$20+A543*'Giả định'!$B$23+'Giả định'!$B$24</f>
        <v>397848739.495798</v>
      </c>
      <c r="F543" s="25" t="n">
        <f aca="false">E543-D543</f>
        <v>-119535380.504202</v>
      </c>
      <c r="G543" s="25" t="n">
        <f aca="false">E543-C543</f>
        <v>23409619.4957983</v>
      </c>
      <c r="H543" s="7" t="str">
        <f aca="false">IF(F543&gt;=0,A543,"")</f>
        <v/>
      </c>
      <c r="I543" s="7" t="n">
        <f aca="false">IF(F543&lt;0,A543,0)</f>
        <v>538</v>
      </c>
      <c r="J543" s="7" t="n">
        <f aca="false">IF(G543&gt;=0,A543,"")</f>
        <v>538</v>
      </c>
      <c r="K543" s="7" t="n">
        <f aca="false">IF(G543&lt;0,A543,0)</f>
        <v>0</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374475860</v>
      </c>
      <c r="D544" s="25" t="n">
        <f aca="false">('Chi phí'!$C$77+'Chi phí'!$D$77*B544+'Chi phí'!$E$77*A544+'Giả định'!$B$15*('Chi phí'!$F$77+'Chi phí'!$G$77*B544+'Chi phí'!$H$77*A544))*(1+'Giả định'!$B$16)</f>
        <v>517420860</v>
      </c>
      <c r="E544" s="25" t="n">
        <f aca="false">A544/'Giả định'!$B$19*'Giả định'!$B$20+A544*'Giả định'!$B$23+'Giả định'!$B$24</f>
        <v>398588235.294118</v>
      </c>
      <c r="F544" s="25" t="n">
        <f aca="false">E544-D544</f>
        <v>-118832624.705882</v>
      </c>
      <c r="G544" s="25" t="n">
        <f aca="false">E544-C544</f>
        <v>24112375.2941176</v>
      </c>
      <c r="H544" s="7" t="str">
        <f aca="false">IF(F544&gt;=0,A544,"")</f>
        <v/>
      </c>
      <c r="I544" s="7" t="n">
        <f aca="false">IF(F544&lt;0,A544,0)</f>
        <v>539</v>
      </c>
      <c r="J544" s="7" t="n">
        <f aca="false">IF(G544&gt;=0,A544,"")</f>
        <v>539</v>
      </c>
      <c r="K544" s="7" t="n">
        <f aca="false">IF(G544&lt;0,A544,0)</f>
        <v>0</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374512600</v>
      </c>
      <c r="D545" s="25" t="n">
        <f aca="false">('Chi phí'!$C$77+'Chi phí'!$D$77*B545+'Chi phí'!$E$77*A545+'Giả định'!$B$15*('Chi phí'!$F$77+'Chi phí'!$G$77*B545+'Chi phí'!$H$77*A545))*(1+'Giả định'!$B$16)</f>
        <v>517457600</v>
      </c>
      <c r="E545" s="25" t="n">
        <f aca="false">A545/'Giả định'!$B$19*'Giả định'!$B$20+A545*'Giả định'!$B$23+'Giả định'!$B$24</f>
        <v>399327731.092437</v>
      </c>
      <c r="F545" s="25" t="n">
        <f aca="false">E545-D545</f>
        <v>-118129868.907563</v>
      </c>
      <c r="G545" s="25" t="n">
        <f aca="false">E545-C545</f>
        <v>24815131.0924369</v>
      </c>
      <c r="H545" s="7" t="str">
        <f aca="false">IF(F545&gt;=0,A545,"")</f>
        <v/>
      </c>
      <c r="I545" s="7" t="n">
        <f aca="false">IF(F545&lt;0,A545,0)</f>
        <v>540</v>
      </c>
      <c r="J545" s="7" t="n">
        <f aca="false">IF(G545&gt;=0,A545,"")</f>
        <v>540</v>
      </c>
      <c r="K545" s="7" t="n">
        <f aca="false">IF(G545&lt;0,A545,0)</f>
        <v>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379934940</v>
      </c>
      <c r="D546" s="25" t="n">
        <f aca="false">('Chi phí'!$C$77+'Chi phí'!$D$77*B546+'Chi phí'!$E$77*A546+'Giả định'!$B$15*('Chi phí'!$F$77+'Chi phí'!$G$77*B546+'Chi phí'!$H$77*A546))*(1+'Giả định'!$B$16)</f>
        <v>522879940</v>
      </c>
      <c r="E546" s="25" t="n">
        <f aca="false">A546/'Giả định'!$B$19*'Giả định'!$B$20+A546*'Giả định'!$B$23+'Giả định'!$B$24</f>
        <v>400067226.890756</v>
      </c>
      <c r="F546" s="25" t="n">
        <f aca="false">E546-D546</f>
        <v>-122812713.109244</v>
      </c>
      <c r="G546" s="25" t="n">
        <f aca="false">E546-C546</f>
        <v>20132286.8907563</v>
      </c>
      <c r="H546" s="7" t="str">
        <f aca="false">IF(F546&gt;=0,A546,"")</f>
        <v/>
      </c>
      <c r="I546" s="7" t="n">
        <f aca="false">IF(F546&lt;0,A546,0)</f>
        <v>541</v>
      </c>
      <c r="J546" s="7" t="n">
        <f aca="false">IF(G546&gt;=0,A546,"")</f>
        <v>541</v>
      </c>
      <c r="K546" s="7" t="n">
        <f aca="false">IF(G546&lt;0,A546,0)</f>
        <v>0</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379971680</v>
      </c>
      <c r="D547" s="25" t="n">
        <f aca="false">('Chi phí'!$C$77+'Chi phí'!$D$77*B547+'Chi phí'!$E$77*A547+'Giả định'!$B$15*('Chi phí'!$F$77+'Chi phí'!$G$77*B547+'Chi phí'!$H$77*A547))*(1+'Giả định'!$B$16)</f>
        <v>522916680</v>
      </c>
      <c r="E547" s="25" t="n">
        <f aca="false">A547/'Giả định'!$B$19*'Giả định'!$B$20+A547*'Giả định'!$B$23+'Giả định'!$B$24</f>
        <v>400806722.689076</v>
      </c>
      <c r="F547" s="25" t="n">
        <f aca="false">E547-D547</f>
        <v>-122109957.310924</v>
      </c>
      <c r="G547" s="25" t="n">
        <f aca="false">E547-C547</f>
        <v>20835042.6890757</v>
      </c>
      <c r="H547" s="7" t="str">
        <f aca="false">IF(F547&gt;=0,A547,"")</f>
        <v/>
      </c>
      <c r="I547" s="7" t="n">
        <f aca="false">IF(F547&lt;0,A547,0)</f>
        <v>542</v>
      </c>
      <c r="J547" s="7" t="n">
        <f aca="false">IF(G547&gt;=0,A547,"")</f>
        <v>542</v>
      </c>
      <c r="K547" s="7" t="n">
        <f aca="false">IF(G547&lt;0,A547,0)</f>
        <v>0</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380008420</v>
      </c>
      <c r="D548" s="25" t="n">
        <f aca="false">('Chi phí'!$C$77+'Chi phí'!$D$77*B548+'Chi phí'!$E$77*A548+'Giả định'!$B$15*('Chi phí'!$F$77+'Chi phí'!$G$77*B548+'Chi phí'!$H$77*A548))*(1+'Giả định'!$B$16)</f>
        <v>522953420</v>
      </c>
      <c r="E548" s="25" t="n">
        <f aca="false">A548/'Giả định'!$B$19*'Giả định'!$B$20+A548*'Giả định'!$B$23+'Giả định'!$B$24</f>
        <v>401546218.487395</v>
      </c>
      <c r="F548" s="25" t="n">
        <f aca="false">E548-D548</f>
        <v>-121407201.512605</v>
      </c>
      <c r="G548" s="25" t="n">
        <f aca="false">E548-C548</f>
        <v>21537798.4873949</v>
      </c>
      <c r="H548" s="7" t="str">
        <f aca="false">IF(F548&gt;=0,A548,"")</f>
        <v/>
      </c>
      <c r="I548" s="7" t="n">
        <f aca="false">IF(F548&lt;0,A548,0)</f>
        <v>543</v>
      </c>
      <c r="J548" s="7" t="n">
        <f aca="false">IF(G548&gt;=0,A548,"")</f>
        <v>543</v>
      </c>
      <c r="K548" s="7" t="n">
        <f aca="false">IF(G548&lt;0,A548,0)</f>
        <v>0</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380045160</v>
      </c>
      <c r="D549" s="25" t="n">
        <f aca="false">('Chi phí'!$C$77+'Chi phí'!$D$77*B549+'Chi phí'!$E$77*A549+'Giả định'!$B$15*('Chi phí'!$F$77+'Chi phí'!$G$77*B549+'Chi phí'!$H$77*A549))*(1+'Giả định'!$B$16)</f>
        <v>522990160</v>
      </c>
      <c r="E549" s="25" t="n">
        <f aca="false">A549/'Giả định'!$B$19*'Giả định'!$B$20+A549*'Giả định'!$B$23+'Giả định'!$B$24</f>
        <v>402285714.285714</v>
      </c>
      <c r="F549" s="25" t="n">
        <f aca="false">E549-D549</f>
        <v>-120704445.714286</v>
      </c>
      <c r="G549" s="25" t="n">
        <f aca="false">E549-C549</f>
        <v>22240554.2857143</v>
      </c>
      <c r="H549" s="7" t="str">
        <f aca="false">IF(F549&gt;=0,A549,"")</f>
        <v/>
      </c>
      <c r="I549" s="7" t="n">
        <f aca="false">IF(F549&lt;0,A549,0)</f>
        <v>544</v>
      </c>
      <c r="J549" s="7" t="n">
        <f aca="false">IF(G549&gt;=0,A549,"")</f>
        <v>544</v>
      </c>
      <c r="K549" s="7" t="n">
        <f aca="false">IF(G549&lt;0,A549,0)</f>
        <v>0</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380081900</v>
      </c>
      <c r="D550" s="25" t="n">
        <f aca="false">('Chi phí'!$C$77+'Chi phí'!$D$77*B550+'Chi phí'!$E$77*A550+'Giả định'!$B$15*('Chi phí'!$F$77+'Chi phí'!$G$77*B550+'Chi phí'!$H$77*A550))*(1+'Giả định'!$B$16)</f>
        <v>523026900</v>
      </c>
      <c r="E550" s="25" t="n">
        <f aca="false">A550/'Giả định'!$B$19*'Giả định'!$B$20+A550*'Giả định'!$B$23+'Giả định'!$B$24</f>
        <v>403025210.084034</v>
      </c>
      <c r="F550" s="25" t="n">
        <f aca="false">E550-D550</f>
        <v>-120001689.915966</v>
      </c>
      <c r="G550" s="25" t="n">
        <f aca="false">E550-C550</f>
        <v>22943310.0840336</v>
      </c>
      <c r="H550" s="7" t="str">
        <f aca="false">IF(F550&gt;=0,A550,"")</f>
        <v/>
      </c>
      <c r="I550" s="7" t="n">
        <f aca="false">IF(F550&lt;0,A550,0)</f>
        <v>545</v>
      </c>
      <c r="J550" s="7" t="n">
        <f aca="false">IF(G550&gt;=0,A550,"")</f>
        <v>545</v>
      </c>
      <c r="K550" s="7" t="n">
        <f aca="false">IF(G550&lt;0,A550,0)</f>
        <v>0</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380118640</v>
      </c>
      <c r="D551" s="25" t="n">
        <f aca="false">('Chi phí'!$C$77+'Chi phí'!$D$77*B551+'Chi phí'!$E$77*A551+'Giả định'!$B$15*('Chi phí'!$F$77+'Chi phí'!$G$77*B551+'Chi phí'!$H$77*A551))*(1+'Giả định'!$B$16)</f>
        <v>523063640</v>
      </c>
      <c r="E551" s="25" t="n">
        <f aca="false">A551/'Giả định'!$B$19*'Giả định'!$B$20+A551*'Giả định'!$B$23+'Giả định'!$B$24</f>
        <v>403764705.882353</v>
      </c>
      <c r="F551" s="25" t="n">
        <f aca="false">E551-D551</f>
        <v>-119298934.117647</v>
      </c>
      <c r="G551" s="25" t="n">
        <f aca="false">E551-C551</f>
        <v>23646065.8823529</v>
      </c>
      <c r="H551" s="7" t="str">
        <f aca="false">IF(F551&gt;=0,A551,"")</f>
        <v/>
      </c>
      <c r="I551" s="7" t="n">
        <f aca="false">IF(F551&lt;0,A551,0)</f>
        <v>546</v>
      </c>
      <c r="J551" s="7" t="n">
        <f aca="false">IF(G551&gt;=0,A551,"")</f>
        <v>546</v>
      </c>
      <c r="K551" s="7" t="n">
        <f aca="false">IF(G551&lt;0,A551,0)</f>
        <v>0</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380155380</v>
      </c>
      <c r="D552" s="25" t="n">
        <f aca="false">('Chi phí'!$C$77+'Chi phí'!$D$77*B552+'Chi phí'!$E$77*A552+'Giả định'!$B$15*('Chi phí'!$F$77+'Chi phí'!$G$77*B552+'Chi phí'!$H$77*A552))*(1+'Giả định'!$B$16)</f>
        <v>523100380</v>
      </c>
      <c r="E552" s="25" t="n">
        <f aca="false">A552/'Giả định'!$B$19*'Giả định'!$B$20+A552*'Giả định'!$B$23+'Giả định'!$B$24</f>
        <v>404504201.680672</v>
      </c>
      <c r="F552" s="25" t="n">
        <f aca="false">E552-D552</f>
        <v>-118596178.319328</v>
      </c>
      <c r="G552" s="25" t="n">
        <f aca="false">E552-C552</f>
        <v>24348821.6806722</v>
      </c>
      <c r="H552" s="7" t="str">
        <f aca="false">IF(F552&gt;=0,A552,"")</f>
        <v/>
      </c>
      <c r="I552" s="7" t="n">
        <f aca="false">IF(F552&lt;0,A552,0)</f>
        <v>547</v>
      </c>
      <c r="J552" s="7" t="n">
        <f aca="false">IF(G552&gt;=0,A552,"")</f>
        <v>547</v>
      </c>
      <c r="K552" s="7" t="n">
        <f aca="false">IF(G552&lt;0,A552,0)</f>
        <v>0</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380192120</v>
      </c>
      <c r="D553" s="25" t="n">
        <f aca="false">('Chi phí'!$C$77+'Chi phí'!$D$77*B553+'Chi phí'!$E$77*A553+'Giả định'!$B$15*('Chi phí'!$F$77+'Chi phí'!$G$77*B553+'Chi phí'!$H$77*A553))*(1+'Giả định'!$B$16)</f>
        <v>523137120</v>
      </c>
      <c r="E553" s="25" t="n">
        <f aca="false">A553/'Giả định'!$B$19*'Giả định'!$B$20+A553*'Giả định'!$B$23+'Giả định'!$B$24</f>
        <v>405243697.478992</v>
      </c>
      <c r="F553" s="25" t="n">
        <f aca="false">E553-D553</f>
        <v>-117893422.521008</v>
      </c>
      <c r="G553" s="25" t="n">
        <f aca="false">E553-C553</f>
        <v>25051577.4789916</v>
      </c>
      <c r="H553" s="7" t="str">
        <f aca="false">IF(F553&gt;=0,A553,"")</f>
        <v/>
      </c>
      <c r="I553" s="7" t="n">
        <f aca="false">IF(F553&lt;0,A553,0)</f>
        <v>548</v>
      </c>
      <c r="J553" s="7" t="n">
        <f aca="false">IF(G553&gt;=0,A553,"")</f>
        <v>548</v>
      </c>
      <c r="K553" s="7" t="n">
        <f aca="false">IF(G553&lt;0,A553,0)</f>
        <v>0</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380228860</v>
      </c>
      <c r="D554" s="25" t="n">
        <f aca="false">('Chi phí'!$C$77+'Chi phí'!$D$77*B554+'Chi phí'!$E$77*A554+'Giả định'!$B$15*('Chi phí'!$F$77+'Chi phí'!$G$77*B554+'Chi phí'!$H$77*A554))*(1+'Giả định'!$B$16)</f>
        <v>523173860</v>
      </c>
      <c r="E554" s="25" t="n">
        <f aca="false">A554/'Giả định'!$B$19*'Giả định'!$B$20+A554*'Giả định'!$B$23+'Giả định'!$B$24</f>
        <v>405983193.277311</v>
      </c>
      <c r="F554" s="25" t="n">
        <f aca="false">E554-D554</f>
        <v>-117190666.722689</v>
      </c>
      <c r="G554" s="25" t="n">
        <f aca="false">E554-C554</f>
        <v>25754333.2773109</v>
      </c>
      <c r="H554" s="7" t="str">
        <f aca="false">IF(F554&gt;=0,A554,"")</f>
        <v/>
      </c>
      <c r="I554" s="7" t="n">
        <f aca="false">IF(F554&lt;0,A554,0)</f>
        <v>549</v>
      </c>
      <c r="J554" s="7" t="n">
        <f aca="false">IF(G554&gt;=0,A554,"")</f>
        <v>549</v>
      </c>
      <c r="K554" s="7" t="n">
        <f aca="false">IF(G554&lt;0,A554,0)</f>
        <v>0</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380265600</v>
      </c>
      <c r="D555" s="25" t="n">
        <f aca="false">('Chi phí'!$C$77+'Chi phí'!$D$77*B555+'Chi phí'!$E$77*A555+'Giả định'!$B$15*('Chi phí'!$F$77+'Chi phí'!$G$77*B555+'Chi phí'!$H$77*A555))*(1+'Giả định'!$B$16)</f>
        <v>523210600</v>
      </c>
      <c r="E555" s="25" t="n">
        <f aca="false">A555/'Giả định'!$B$19*'Giả định'!$B$20+A555*'Giả định'!$B$23+'Giả định'!$B$24</f>
        <v>406722689.07563</v>
      </c>
      <c r="F555" s="25" t="n">
        <f aca="false">E555-D555</f>
        <v>-116487910.92437</v>
      </c>
      <c r="G555" s="25" t="n">
        <f aca="false">E555-C555</f>
        <v>26457089.0756302</v>
      </c>
      <c r="H555" s="7" t="str">
        <f aca="false">IF(F555&gt;=0,A555,"")</f>
        <v/>
      </c>
      <c r="I555" s="7" t="n">
        <f aca="false">IF(F555&lt;0,A555,0)</f>
        <v>550</v>
      </c>
      <c r="J555" s="7" t="n">
        <f aca="false">IF(G555&gt;=0,A555,"")</f>
        <v>550</v>
      </c>
      <c r="K555" s="7" t="n">
        <f aca="false">IF(G555&lt;0,A555,0)</f>
        <v>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385687940</v>
      </c>
      <c r="D556" s="25" t="n">
        <f aca="false">('Chi phí'!$C$77+'Chi phí'!$D$77*B556+'Chi phí'!$E$77*A556+'Giả định'!$B$15*('Chi phí'!$F$77+'Chi phí'!$G$77*B556+'Chi phí'!$H$77*A556))*(1+'Giả định'!$B$16)</f>
        <v>528632940</v>
      </c>
      <c r="E556" s="25" t="n">
        <f aca="false">A556/'Giả định'!$B$19*'Giả định'!$B$20+A556*'Giả định'!$B$23+'Giả định'!$B$24</f>
        <v>407462184.87395</v>
      </c>
      <c r="F556" s="25" t="n">
        <f aca="false">E556-D556</f>
        <v>-121170755.12605</v>
      </c>
      <c r="G556" s="25" t="n">
        <f aca="false">E556-C556</f>
        <v>21774244.8739495</v>
      </c>
      <c r="H556" s="7" t="str">
        <f aca="false">IF(F556&gt;=0,A556,"")</f>
        <v/>
      </c>
      <c r="I556" s="7" t="n">
        <f aca="false">IF(F556&lt;0,A556,0)</f>
        <v>551</v>
      </c>
      <c r="J556" s="7" t="n">
        <f aca="false">IF(G556&gt;=0,A556,"")</f>
        <v>551</v>
      </c>
      <c r="K556" s="7" t="n">
        <f aca="false">IF(G556&lt;0,A556,0)</f>
        <v>0</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385724680</v>
      </c>
      <c r="D557" s="25" t="n">
        <f aca="false">('Chi phí'!$C$77+'Chi phí'!$D$77*B557+'Chi phí'!$E$77*A557+'Giả định'!$B$15*('Chi phí'!$F$77+'Chi phí'!$G$77*B557+'Chi phí'!$H$77*A557))*(1+'Giả định'!$B$16)</f>
        <v>528669680</v>
      </c>
      <c r="E557" s="25" t="n">
        <f aca="false">A557/'Giả định'!$B$19*'Giả định'!$B$20+A557*'Giả định'!$B$23+'Giả định'!$B$24</f>
        <v>408201680.672269</v>
      </c>
      <c r="F557" s="25" t="n">
        <f aca="false">E557-D557</f>
        <v>-120467999.327731</v>
      </c>
      <c r="G557" s="25" t="n">
        <f aca="false">E557-C557</f>
        <v>22477000.6722689</v>
      </c>
      <c r="H557" s="7" t="str">
        <f aca="false">IF(F557&gt;=0,A557,"")</f>
        <v/>
      </c>
      <c r="I557" s="7" t="n">
        <f aca="false">IF(F557&lt;0,A557,0)</f>
        <v>552</v>
      </c>
      <c r="J557" s="7" t="n">
        <f aca="false">IF(G557&gt;=0,A557,"")</f>
        <v>552</v>
      </c>
      <c r="K557" s="7" t="n">
        <f aca="false">IF(G557&lt;0,A557,0)</f>
        <v>0</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385761420</v>
      </c>
      <c r="D558" s="25" t="n">
        <f aca="false">('Chi phí'!$C$77+'Chi phí'!$D$77*B558+'Chi phí'!$E$77*A558+'Giả định'!$B$15*('Chi phí'!$F$77+'Chi phí'!$G$77*B558+'Chi phí'!$H$77*A558))*(1+'Giả định'!$B$16)</f>
        <v>528706420</v>
      </c>
      <c r="E558" s="25" t="n">
        <f aca="false">A558/'Giả định'!$B$19*'Giả định'!$B$20+A558*'Giả định'!$B$23+'Giả định'!$B$24</f>
        <v>408941176.470588</v>
      </c>
      <c r="F558" s="25" t="n">
        <f aca="false">E558-D558</f>
        <v>-119765243.529412</v>
      </c>
      <c r="G558" s="25" t="n">
        <f aca="false">E558-C558</f>
        <v>23179756.4705882</v>
      </c>
      <c r="H558" s="7" t="str">
        <f aca="false">IF(F558&gt;=0,A558,"")</f>
        <v/>
      </c>
      <c r="I558" s="7" t="n">
        <f aca="false">IF(F558&lt;0,A558,0)</f>
        <v>553</v>
      </c>
      <c r="J558" s="7" t="n">
        <f aca="false">IF(G558&gt;=0,A558,"")</f>
        <v>553</v>
      </c>
      <c r="K558" s="7" t="n">
        <f aca="false">IF(G558&lt;0,A558,0)</f>
        <v>0</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385798160</v>
      </c>
      <c r="D559" s="25" t="n">
        <f aca="false">('Chi phí'!$C$77+'Chi phí'!$D$77*B559+'Chi phí'!$E$77*A559+'Giả định'!$B$15*('Chi phí'!$F$77+'Chi phí'!$G$77*B559+'Chi phí'!$H$77*A559))*(1+'Giả định'!$B$16)</f>
        <v>528743160</v>
      </c>
      <c r="E559" s="25" t="n">
        <f aca="false">A559/'Giả định'!$B$19*'Giả định'!$B$20+A559*'Giả định'!$B$23+'Giả định'!$B$24</f>
        <v>409680672.268908</v>
      </c>
      <c r="F559" s="25" t="n">
        <f aca="false">E559-D559</f>
        <v>-119062487.731092</v>
      </c>
      <c r="G559" s="25" t="n">
        <f aca="false">E559-C559</f>
        <v>23882512.2689075</v>
      </c>
      <c r="H559" s="7" t="str">
        <f aca="false">IF(F559&gt;=0,A559,"")</f>
        <v/>
      </c>
      <c r="I559" s="7" t="n">
        <f aca="false">IF(F559&lt;0,A559,0)</f>
        <v>554</v>
      </c>
      <c r="J559" s="7" t="n">
        <f aca="false">IF(G559&gt;=0,A559,"")</f>
        <v>554</v>
      </c>
      <c r="K559" s="7" t="n">
        <f aca="false">IF(G559&lt;0,A559,0)</f>
        <v>0</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385834900</v>
      </c>
      <c r="D560" s="25" t="n">
        <f aca="false">('Chi phí'!$C$77+'Chi phí'!$D$77*B560+'Chi phí'!$E$77*A560+'Giả định'!$B$15*('Chi phí'!$F$77+'Chi phí'!$G$77*B560+'Chi phí'!$H$77*A560))*(1+'Giả định'!$B$16)</f>
        <v>528779900</v>
      </c>
      <c r="E560" s="25" t="n">
        <f aca="false">A560/'Giả định'!$B$19*'Giả định'!$B$20+A560*'Giả định'!$B$23+'Giả định'!$B$24</f>
        <v>410420168.067227</v>
      </c>
      <c r="F560" s="25" t="n">
        <f aca="false">E560-D560</f>
        <v>-118359731.932773</v>
      </c>
      <c r="G560" s="25" t="n">
        <f aca="false">E560-C560</f>
        <v>24585268.0672269</v>
      </c>
      <c r="H560" s="7" t="str">
        <f aca="false">IF(F560&gt;=0,A560,"")</f>
        <v/>
      </c>
      <c r="I560" s="7" t="n">
        <f aca="false">IF(F560&lt;0,A560,0)</f>
        <v>555</v>
      </c>
      <c r="J560" s="7" t="n">
        <f aca="false">IF(G560&gt;=0,A560,"")</f>
        <v>555</v>
      </c>
      <c r="K560" s="7" t="n">
        <f aca="false">IF(G560&lt;0,A560,0)</f>
        <v>0</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385871640</v>
      </c>
      <c r="D561" s="25" t="n">
        <f aca="false">('Chi phí'!$C$77+'Chi phí'!$D$77*B561+'Chi phí'!$E$77*A561+'Giả định'!$B$15*('Chi phí'!$F$77+'Chi phí'!$G$77*B561+'Chi phí'!$H$77*A561))*(1+'Giả định'!$B$16)</f>
        <v>528816640</v>
      </c>
      <c r="E561" s="25" t="n">
        <f aca="false">A561/'Giả định'!$B$19*'Giả định'!$B$20+A561*'Giả định'!$B$23+'Giả định'!$B$24</f>
        <v>411159663.865546</v>
      </c>
      <c r="F561" s="25" t="n">
        <f aca="false">E561-D561</f>
        <v>-117656976.134454</v>
      </c>
      <c r="G561" s="25" t="n">
        <f aca="false">E561-C561</f>
        <v>25288023.8655462</v>
      </c>
      <c r="H561" s="7" t="str">
        <f aca="false">IF(F561&gt;=0,A561,"")</f>
        <v/>
      </c>
      <c r="I561" s="7" t="n">
        <f aca="false">IF(F561&lt;0,A561,0)</f>
        <v>556</v>
      </c>
      <c r="J561" s="7" t="n">
        <f aca="false">IF(G561&gt;=0,A561,"")</f>
        <v>556</v>
      </c>
      <c r="K561" s="7" t="n">
        <f aca="false">IF(G561&lt;0,A561,0)</f>
        <v>0</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385908380</v>
      </c>
      <c r="D562" s="25" t="n">
        <f aca="false">('Chi phí'!$C$77+'Chi phí'!$D$77*B562+'Chi phí'!$E$77*A562+'Giả định'!$B$15*('Chi phí'!$F$77+'Chi phí'!$G$77*B562+'Chi phí'!$H$77*A562))*(1+'Giả định'!$B$16)</f>
        <v>528853380</v>
      </c>
      <c r="E562" s="25" t="n">
        <f aca="false">A562/'Giả định'!$B$19*'Giả định'!$B$20+A562*'Giả định'!$B$23+'Giả định'!$B$24</f>
        <v>411899159.663866</v>
      </c>
      <c r="F562" s="25" t="n">
        <f aca="false">E562-D562</f>
        <v>-116954220.336135</v>
      </c>
      <c r="G562" s="25" t="n">
        <f aca="false">E562-C562</f>
        <v>25990779.6638655</v>
      </c>
      <c r="H562" s="7" t="str">
        <f aca="false">IF(F562&gt;=0,A562,"")</f>
        <v/>
      </c>
      <c r="I562" s="7" t="n">
        <f aca="false">IF(F562&lt;0,A562,0)</f>
        <v>557</v>
      </c>
      <c r="J562" s="7" t="n">
        <f aca="false">IF(G562&gt;=0,A562,"")</f>
        <v>557</v>
      </c>
      <c r="K562" s="7" t="n">
        <f aca="false">IF(G562&lt;0,A562,0)</f>
        <v>0</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385945120</v>
      </c>
      <c r="D563" s="25" t="n">
        <f aca="false">('Chi phí'!$C$77+'Chi phí'!$D$77*B563+'Chi phí'!$E$77*A563+'Giả định'!$B$15*('Chi phí'!$F$77+'Chi phí'!$G$77*B563+'Chi phí'!$H$77*A563))*(1+'Giả định'!$B$16)</f>
        <v>528890120</v>
      </c>
      <c r="E563" s="25" t="n">
        <f aca="false">A563/'Giả định'!$B$19*'Giả định'!$B$20+A563*'Giả định'!$B$23+'Giả định'!$B$24</f>
        <v>412638655.462185</v>
      </c>
      <c r="F563" s="25" t="n">
        <f aca="false">E563-D563</f>
        <v>-116251464.537815</v>
      </c>
      <c r="G563" s="25" t="n">
        <f aca="false">E563-C563</f>
        <v>26693535.4621848</v>
      </c>
      <c r="H563" s="7" t="str">
        <f aca="false">IF(F563&gt;=0,A563,"")</f>
        <v/>
      </c>
      <c r="I563" s="7" t="n">
        <f aca="false">IF(F563&lt;0,A563,0)</f>
        <v>558</v>
      </c>
      <c r="J563" s="7" t="n">
        <f aca="false">IF(G563&gt;=0,A563,"")</f>
        <v>558</v>
      </c>
      <c r="K563" s="7" t="n">
        <f aca="false">IF(G563&lt;0,A563,0)</f>
        <v>0</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385981860</v>
      </c>
      <c r="D564" s="25" t="n">
        <f aca="false">('Chi phí'!$C$77+'Chi phí'!$D$77*B564+'Chi phí'!$E$77*A564+'Giả định'!$B$15*('Chi phí'!$F$77+'Chi phí'!$G$77*B564+'Chi phí'!$H$77*A564))*(1+'Giả định'!$B$16)</f>
        <v>528926860</v>
      </c>
      <c r="E564" s="25" t="n">
        <f aca="false">A564/'Giả định'!$B$19*'Giả định'!$B$20+A564*'Giả định'!$B$23+'Giả định'!$B$24</f>
        <v>413378151.260504</v>
      </c>
      <c r="F564" s="25" t="n">
        <f aca="false">E564-D564</f>
        <v>-115548708.739496</v>
      </c>
      <c r="G564" s="25" t="n">
        <f aca="false">E564-C564</f>
        <v>27396291.2605042</v>
      </c>
      <c r="H564" s="7" t="str">
        <f aca="false">IF(F564&gt;=0,A564,"")</f>
        <v/>
      </c>
      <c r="I564" s="7" t="n">
        <f aca="false">IF(F564&lt;0,A564,0)</f>
        <v>559</v>
      </c>
      <c r="J564" s="7" t="n">
        <f aca="false">IF(G564&gt;=0,A564,"")</f>
        <v>559</v>
      </c>
      <c r="K564" s="7" t="n">
        <f aca="false">IF(G564&lt;0,A564,0)</f>
        <v>0</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386018600</v>
      </c>
      <c r="D565" s="25" t="n">
        <f aca="false">('Chi phí'!$C$77+'Chi phí'!$D$77*B565+'Chi phí'!$E$77*A565+'Giả định'!$B$15*('Chi phí'!$F$77+'Chi phí'!$G$77*B565+'Chi phí'!$H$77*A565))*(1+'Giả định'!$B$16)</f>
        <v>528963600</v>
      </c>
      <c r="E565" s="25" t="n">
        <f aca="false">A565/'Giả định'!$B$19*'Giả định'!$B$20+A565*'Giả định'!$B$23+'Giả định'!$B$24</f>
        <v>414117647.058824</v>
      </c>
      <c r="F565" s="25" t="n">
        <f aca="false">E565-D565</f>
        <v>-114845952.941177</v>
      </c>
      <c r="G565" s="25" t="n">
        <f aca="false">E565-C565</f>
        <v>28099047.0588235</v>
      </c>
      <c r="H565" s="7" t="str">
        <f aca="false">IF(F565&gt;=0,A565,"")</f>
        <v/>
      </c>
      <c r="I565" s="7" t="n">
        <f aca="false">IF(F565&lt;0,A565,0)</f>
        <v>560</v>
      </c>
      <c r="J565" s="7" t="n">
        <f aca="false">IF(G565&gt;=0,A565,"")</f>
        <v>560</v>
      </c>
      <c r="K565" s="7" t="n">
        <f aca="false">IF(G565&lt;0,A565,0)</f>
        <v>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391440940</v>
      </c>
      <c r="D566" s="25" t="n">
        <f aca="false">('Chi phí'!$C$77+'Chi phí'!$D$77*B566+'Chi phí'!$E$77*A566+'Giả định'!$B$15*('Chi phí'!$F$77+'Chi phí'!$G$77*B566+'Chi phí'!$H$77*A566))*(1+'Giả định'!$B$16)</f>
        <v>534385940</v>
      </c>
      <c r="E566" s="25" t="n">
        <f aca="false">A566/'Giả định'!$B$19*'Giả định'!$B$20+A566*'Giả định'!$B$23+'Giả định'!$B$24</f>
        <v>414857142.857143</v>
      </c>
      <c r="F566" s="25" t="n">
        <f aca="false">E566-D566</f>
        <v>-119528797.142857</v>
      </c>
      <c r="G566" s="25" t="n">
        <f aca="false">E566-C566</f>
        <v>23416202.8571428</v>
      </c>
      <c r="H566" s="7" t="str">
        <f aca="false">IF(F566&gt;=0,A566,"")</f>
        <v/>
      </c>
      <c r="I566" s="7" t="n">
        <f aca="false">IF(F566&lt;0,A566,0)</f>
        <v>561</v>
      </c>
      <c r="J566" s="7" t="n">
        <f aca="false">IF(G566&gt;=0,A566,"")</f>
        <v>561</v>
      </c>
      <c r="K566" s="7" t="n">
        <f aca="false">IF(G566&lt;0,A566,0)</f>
        <v>0</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391477680</v>
      </c>
      <c r="D567" s="25" t="n">
        <f aca="false">('Chi phí'!$C$77+'Chi phí'!$D$77*B567+'Chi phí'!$E$77*A567+'Giả định'!$B$15*('Chi phí'!$F$77+'Chi phí'!$G$77*B567+'Chi phí'!$H$77*A567))*(1+'Giả định'!$B$16)</f>
        <v>534422680</v>
      </c>
      <c r="E567" s="25" t="n">
        <f aca="false">A567/'Giả định'!$B$19*'Giả định'!$B$20+A567*'Giả định'!$B$23+'Giả định'!$B$24</f>
        <v>415596638.655462</v>
      </c>
      <c r="F567" s="25" t="n">
        <f aca="false">E567-D567</f>
        <v>-118826041.344538</v>
      </c>
      <c r="G567" s="25" t="n">
        <f aca="false">E567-C567</f>
        <v>24118958.6554621</v>
      </c>
      <c r="H567" s="7" t="str">
        <f aca="false">IF(F567&gt;=0,A567,"")</f>
        <v/>
      </c>
      <c r="I567" s="7" t="n">
        <f aca="false">IF(F567&lt;0,A567,0)</f>
        <v>562</v>
      </c>
      <c r="J567" s="7" t="n">
        <f aca="false">IF(G567&gt;=0,A567,"")</f>
        <v>562</v>
      </c>
      <c r="K567" s="7" t="n">
        <f aca="false">IF(G567&lt;0,A567,0)</f>
        <v>0</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391514420</v>
      </c>
      <c r="D568" s="25" t="n">
        <f aca="false">('Chi phí'!$C$77+'Chi phí'!$D$77*B568+'Chi phí'!$E$77*A568+'Giả định'!$B$15*('Chi phí'!$F$77+'Chi phí'!$G$77*B568+'Chi phí'!$H$77*A568))*(1+'Giả định'!$B$16)</f>
        <v>534459420</v>
      </c>
      <c r="E568" s="25" t="n">
        <f aca="false">A568/'Giả định'!$B$19*'Giả định'!$B$20+A568*'Giả định'!$B$23+'Giả định'!$B$24</f>
        <v>416336134.453782</v>
      </c>
      <c r="F568" s="25" t="n">
        <f aca="false">E568-D568</f>
        <v>-118123285.546219</v>
      </c>
      <c r="G568" s="25" t="n">
        <f aca="false">E568-C568</f>
        <v>24821714.4537815</v>
      </c>
      <c r="H568" s="7" t="str">
        <f aca="false">IF(F568&gt;=0,A568,"")</f>
        <v/>
      </c>
      <c r="I568" s="7" t="n">
        <f aca="false">IF(F568&lt;0,A568,0)</f>
        <v>563</v>
      </c>
      <c r="J568" s="7" t="n">
        <f aca="false">IF(G568&gt;=0,A568,"")</f>
        <v>563</v>
      </c>
      <c r="K568" s="7" t="n">
        <f aca="false">IF(G568&lt;0,A568,0)</f>
        <v>0</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391551160</v>
      </c>
      <c r="D569" s="25" t="n">
        <f aca="false">('Chi phí'!$C$77+'Chi phí'!$D$77*B569+'Chi phí'!$E$77*A569+'Giả định'!$B$15*('Chi phí'!$F$77+'Chi phí'!$G$77*B569+'Chi phí'!$H$77*A569))*(1+'Giả định'!$B$16)</f>
        <v>534496160</v>
      </c>
      <c r="E569" s="25" t="n">
        <f aca="false">A569/'Giả định'!$B$19*'Giả định'!$B$20+A569*'Giả định'!$B$23+'Giả định'!$B$24</f>
        <v>417075630.252101</v>
      </c>
      <c r="F569" s="25" t="n">
        <f aca="false">E569-D569</f>
        <v>-117420529.747899</v>
      </c>
      <c r="G569" s="25" t="n">
        <f aca="false">E569-C569</f>
        <v>25524470.2521008</v>
      </c>
      <c r="H569" s="7" t="str">
        <f aca="false">IF(F569&gt;=0,A569,"")</f>
        <v/>
      </c>
      <c r="I569" s="7" t="n">
        <f aca="false">IF(F569&lt;0,A569,0)</f>
        <v>564</v>
      </c>
      <c r="J569" s="7" t="n">
        <f aca="false">IF(G569&gt;=0,A569,"")</f>
        <v>564</v>
      </c>
      <c r="K569" s="7" t="n">
        <f aca="false">IF(G569&lt;0,A569,0)</f>
        <v>0</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391587900</v>
      </c>
      <c r="D570" s="25" t="n">
        <f aca="false">('Chi phí'!$C$77+'Chi phí'!$D$77*B570+'Chi phí'!$E$77*A570+'Giả định'!$B$15*('Chi phí'!$F$77+'Chi phí'!$G$77*B570+'Chi phí'!$H$77*A570))*(1+'Giả định'!$B$16)</f>
        <v>534532900</v>
      </c>
      <c r="E570" s="25" t="n">
        <f aca="false">A570/'Giả định'!$B$19*'Giả định'!$B$20+A570*'Giả định'!$B$23+'Giả định'!$B$24</f>
        <v>417815126.05042</v>
      </c>
      <c r="F570" s="25" t="n">
        <f aca="false">E570-D570</f>
        <v>-116717773.94958</v>
      </c>
      <c r="G570" s="25" t="n">
        <f aca="false">E570-C570</f>
        <v>26227226.0504202</v>
      </c>
      <c r="H570" s="7" t="str">
        <f aca="false">IF(F570&gt;=0,A570,"")</f>
        <v/>
      </c>
      <c r="I570" s="7" t="n">
        <f aca="false">IF(F570&lt;0,A570,0)</f>
        <v>565</v>
      </c>
      <c r="J570" s="7" t="n">
        <f aca="false">IF(G570&gt;=0,A570,"")</f>
        <v>565</v>
      </c>
      <c r="K570" s="7" t="n">
        <f aca="false">IF(G570&lt;0,A570,0)</f>
        <v>0</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391624640</v>
      </c>
      <c r="D571" s="25" t="n">
        <f aca="false">('Chi phí'!$C$77+'Chi phí'!$D$77*B571+'Chi phí'!$E$77*A571+'Giả định'!$B$15*('Chi phí'!$F$77+'Chi phí'!$G$77*B571+'Chi phí'!$H$77*A571))*(1+'Giả định'!$B$16)</f>
        <v>534569640</v>
      </c>
      <c r="E571" s="25" t="n">
        <f aca="false">A571/'Giả định'!$B$19*'Giả định'!$B$20+A571*'Giả định'!$B$23+'Giả định'!$B$24</f>
        <v>418554621.84874</v>
      </c>
      <c r="F571" s="25" t="n">
        <f aca="false">E571-D571</f>
        <v>-116015018.151261</v>
      </c>
      <c r="G571" s="25" t="n">
        <f aca="false">E571-C571</f>
        <v>26929981.8487395</v>
      </c>
      <c r="H571" s="7" t="str">
        <f aca="false">IF(F571&gt;=0,A571,"")</f>
        <v/>
      </c>
      <c r="I571" s="7" t="n">
        <f aca="false">IF(F571&lt;0,A571,0)</f>
        <v>566</v>
      </c>
      <c r="J571" s="7" t="n">
        <f aca="false">IF(G571&gt;=0,A571,"")</f>
        <v>566</v>
      </c>
      <c r="K571" s="7" t="n">
        <f aca="false">IF(G571&lt;0,A571,0)</f>
        <v>0</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391661380</v>
      </c>
      <c r="D572" s="25" t="n">
        <f aca="false">('Chi phí'!$C$77+'Chi phí'!$D$77*B572+'Chi phí'!$E$77*A572+'Giả định'!$B$15*('Chi phí'!$F$77+'Chi phí'!$G$77*B572+'Chi phí'!$H$77*A572))*(1+'Giả định'!$B$16)</f>
        <v>534606380</v>
      </c>
      <c r="E572" s="25" t="n">
        <f aca="false">A572/'Giả định'!$B$19*'Giả định'!$B$20+A572*'Giả định'!$B$23+'Giả định'!$B$24</f>
        <v>419294117.647059</v>
      </c>
      <c r="F572" s="25" t="n">
        <f aca="false">E572-D572</f>
        <v>-115312262.352941</v>
      </c>
      <c r="G572" s="25" t="n">
        <f aca="false">E572-C572</f>
        <v>27632737.6470588</v>
      </c>
      <c r="H572" s="7" t="str">
        <f aca="false">IF(F572&gt;=0,A572,"")</f>
        <v/>
      </c>
      <c r="I572" s="7" t="n">
        <f aca="false">IF(F572&lt;0,A572,0)</f>
        <v>567</v>
      </c>
      <c r="J572" s="7" t="n">
        <f aca="false">IF(G572&gt;=0,A572,"")</f>
        <v>567</v>
      </c>
      <c r="K572" s="7" t="n">
        <f aca="false">IF(G572&lt;0,A572,0)</f>
        <v>0</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391698120</v>
      </c>
      <c r="D573" s="25" t="n">
        <f aca="false">('Chi phí'!$C$77+'Chi phí'!$D$77*B573+'Chi phí'!$E$77*A573+'Giả định'!$B$15*('Chi phí'!$F$77+'Chi phí'!$G$77*B573+'Chi phí'!$H$77*A573))*(1+'Giả định'!$B$16)</f>
        <v>534643120</v>
      </c>
      <c r="E573" s="25" t="n">
        <f aca="false">A573/'Giả định'!$B$19*'Giả định'!$B$20+A573*'Giả định'!$B$23+'Giả định'!$B$24</f>
        <v>420033613.445378</v>
      </c>
      <c r="F573" s="25" t="n">
        <f aca="false">E573-D573</f>
        <v>-114609506.554622</v>
      </c>
      <c r="G573" s="25" t="n">
        <f aca="false">E573-C573</f>
        <v>28335493.4453781</v>
      </c>
      <c r="H573" s="7" t="str">
        <f aca="false">IF(F573&gt;=0,A573,"")</f>
        <v/>
      </c>
      <c r="I573" s="7" t="n">
        <f aca="false">IF(F573&lt;0,A573,0)</f>
        <v>568</v>
      </c>
      <c r="J573" s="7" t="n">
        <f aca="false">IF(G573&gt;=0,A573,"")</f>
        <v>568</v>
      </c>
      <c r="K573" s="7" t="n">
        <f aca="false">IF(G573&lt;0,A573,0)</f>
        <v>0</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391734860</v>
      </c>
      <c r="D574" s="25" t="n">
        <f aca="false">('Chi phí'!$C$77+'Chi phí'!$D$77*B574+'Chi phí'!$E$77*A574+'Giả định'!$B$15*('Chi phí'!$F$77+'Chi phí'!$G$77*B574+'Chi phí'!$H$77*A574))*(1+'Giả định'!$B$16)</f>
        <v>534679860</v>
      </c>
      <c r="E574" s="25" t="n">
        <f aca="false">A574/'Giả định'!$B$19*'Giả định'!$B$20+A574*'Giả định'!$B$23+'Giả định'!$B$24</f>
        <v>420773109.243698</v>
      </c>
      <c r="F574" s="25" t="n">
        <f aca="false">E574-D574</f>
        <v>-113906750.756303</v>
      </c>
      <c r="G574" s="25" t="n">
        <f aca="false">E574-C574</f>
        <v>29038249.2436975</v>
      </c>
      <c r="H574" s="7" t="str">
        <f aca="false">IF(F574&gt;=0,A574,"")</f>
        <v/>
      </c>
      <c r="I574" s="7" t="n">
        <f aca="false">IF(F574&lt;0,A574,0)</f>
        <v>569</v>
      </c>
      <c r="J574" s="7" t="n">
        <f aca="false">IF(G574&gt;=0,A574,"")</f>
        <v>569</v>
      </c>
      <c r="K574" s="7" t="n">
        <f aca="false">IF(G574&lt;0,A574,0)</f>
        <v>0</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391771600</v>
      </c>
      <c r="D575" s="25" t="n">
        <f aca="false">('Chi phí'!$C$77+'Chi phí'!$D$77*B575+'Chi phí'!$E$77*A575+'Giả định'!$B$15*('Chi phí'!$F$77+'Chi phí'!$G$77*B575+'Chi phí'!$H$77*A575))*(1+'Giả định'!$B$16)</f>
        <v>534716600</v>
      </c>
      <c r="E575" s="25" t="n">
        <f aca="false">A575/'Giả định'!$B$19*'Giả định'!$B$20+A575*'Giả định'!$B$23+'Giả định'!$B$24</f>
        <v>421512605.042017</v>
      </c>
      <c r="F575" s="25" t="n">
        <f aca="false">E575-D575</f>
        <v>-113203994.957983</v>
      </c>
      <c r="G575" s="25" t="n">
        <f aca="false">E575-C575</f>
        <v>29741005.0420168</v>
      </c>
      <c r="H575" s="7" t="str">
        <f aca="false">IF(F575&gt;=0,A575,"")</f>
        <v/>
      </c>
      <c r="I575" s="7" t="n">
        <f aca="false">IF(F575&lt;0,A575,0)</f>
        <v>570</v>
      </c>
      <c r="J575" s="7" t="n">
        <f aca="false">IF(G575&gt;=0,A575,"")</f>
        <v>570</v>
      </c>
      <c r="K575" s="7" t="n">
        <f aca="false">IF(G575&lt;0,A575,0)</f>
        <v>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397193940</v>
      </c>
      <c r="D576" s="25" t="n">
        <f aca="false">('Chi phí'!$C$77+'Chi phí'!$D$77*B576+'Chi phí'!$E$77*A576+'Giả định'!$B$15*('Chi phí'!$F$77+'Chi phí'!$G$77*B576+'Chi phí'!$H$77*A576))*(1+'Giả định'!$B$16)</f>
        <v>540138940</v>
      </c>
      <c r="E576" s="25" t="n">
        <f aca="false">A576/'Giả định'!$B$19*'Giả định'!$B$20+A576*'Giả định'!$B$23+'Giả định'!$B$24</f>
        <v>422252100.840336</v>
      </c>
      <c r="F576" s="25" t="n">
        <f aca="false">E576-D576</f>
        <v>-117886839.159664</v>
      </c>
      <c r="G576" s="25" t="n">
        <f aca="false">E576-C576</f>
        <v>25058160.8403361</v>
      </c>
      <c r="H576" s="7" t="str">
        <f aca="false">IF(F576&gt;=0,A576,"")</f>
        <v/>
      </c>
      <c r="I576" s="7" t="n">
        <f aca="false">IF(F576&lt;0,A576,0)</f>
        <v>571</v>
      </c>
      <c r="J576" s="7" t="n">
        <f aca="false">IF(G576&gt;=0,A576,"")</f>
        <v>571</v>
      </c>
      <c r="K576" s="7" t="n">
        <f aca="false">IF(G576&lt;0,A576,0)</f>
        <v>0</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397230680</v>
      </c>
      <c r="D577" s="25" t="n">
        <f aca="false">('Chi phí'!$C$77+'Chi phí'!$D$77*B577+'Chi phí'!$E$77*A577+'Giả định'!$B$15*('Chi phí'!$F$77+'Chi phí'!$G$77*B577+'Chi phí'!$H$77*A577))*(1+'Giả định'!$B$16)</f>
        <v>540175680</v>
      </c>
      <c r="E577" s="25" t="n">
        <f aca="false">A577/'Giả định'!$B$19*'Giả định'!$B$20+A577*'Giả định'!$B$23+'Giả định'!$B$24</f>
        <v>422991596.638656</v>
      </c>
      <c r="F577" s="25" t="n">
        <f aca="false">E577-D577</f>
        <v>-117184083.361345</v>
      </c>
      <c r="G577" s="25" t="n">
        <f aca="false">E577-C577</f>
        <v>25760916.6386554</v>
      </c>
      <c r="H577" s="7" t="str">
        <f aca="false">IF(F577&gt;=0,A577,"")</f>
        <v/>
      </c>
      <c r="I577" s="7" t="n">
        <f aca="false">IF(F577&lt;0,A577,0)</f>
        <v>572</v>
      </c>
      <c r="J577" s="7" t="n">
        <f aca="false">IF(G577&gt;=0,A577,"")</f>
        <v>572</v>
      </c>
      <c r="K577" s="7" t="n">
        <f aca="false">IF(G577&lt;0,A577,0)</f>
        <v>0</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397267420</v>
      </c>
      <c r="D578" s="25" t="n">
        <f aca="false">('Chi phí'!$C$77+'Chi phí'!$D$77*B578+'Chi phí'!$E$77*A578+'Giả định'!$B$15*('Chi phí'!$F$77+'Chi phí'!$G$77*B578+'Chi phí'!$H$77*A578))*(1+'Giả định'!$B$16)</f>
        <v>540212420</v>
      </c>
      <c r="E578" s="25" t="n">
        <f aca="false">A578/'Giả định'!$B$19*'Giả định'!$B$20+A578*'Giả định'!$B$23+'Giả định'!$B$24</f>
        <v>423731092.436975</v>
      </c>
      <c r="F578" s="25" t="n">
        <f aca="false">E578-D578</f>
        <v>-116481327.563025</v>
      </c>
      <c r="G578" s="25" t="n">
        <f aca="false">E578-C578</f>
        <v>26463672.4369748</v>
      </c>
      <c r="H578" s="7" t="str">
        <f aca="false">IF(F578&gt;=0,A578,"")</f>
        <v/>
      </c>
      <c r="I578" s="7" t="n">
        <f aca="false">IF(F578&lt;0,A578,0)</f>
        <v>573</v>
      </c>
      <c r="J578" s="7" t="n">
        <f aca="false">IF(G578&gt;=0,A578,"")</f>
        <v>573</v>
      </c>
      <c r="K578" s="7" t="n">
        <f aca="false">IF(G578&lt;0,A578,0)</f>
        <v>0</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397304160</v>
      </c>
      <c r="D579" s="25" t="n">
        <f aca="false">('Chi phí'!$C$77+'Chi phí'!$D$77*B579+'Chi phí'!$E$77*A579+'Giả định'!$B$15*('Chi phí'!$F$77+'Chi phí'!$G$77*B579+'Chi phí'!$H$77*A579))*(1+'Giả định'!$B$16)</f>
        <v>540249160</v>
      </c>
      <c r="E579" s="25" t="n">
        <f aca="false">A579/'Giả định'!$B$19*'Giả định'!$B$20+A579*'Giả định'!$B$23+'Giả định'!$B$24</f>
        <v>424470588.235294</v>
      </c>
      <c r="F579" s="25" t="n">
        <f aca="false">E579-D579</f>
        <v>-115778571.764706</v>
      </c>
      <c r="G579" s="25" t="n">
        <f aca="false">E579-C579</f>
        <v>27166428.235294</v>
      </c>
      <c r="H579" s="7" t="str">
        <f aca="false">IF(F579&gt;=0,A579,"")</f>
        <v/>
      </c>
      <c r="I579" s="7" t="n">
        <f aca="false">IF(F579&lt;0,A579,0)</f>
        <v>574</v>
      </c>
      <c r="J579" s="7" t="n">
        <f aca="false">IF(G579&gt;=0,A579,"")</f>
        <v>574</v>
      </c>
      <c r="K579" s="7" t="n">
        <f aca="false">IF(G579&lt;0,A579,0)</f>
        <v>0</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397340900</v>
      </c>
      <c r="D580" s="25" t="n">
        <f aca="false">('Chi phí'!$C$77+'Chi phí'!$D$77*B580+'Chi phí'!$E$77*A580+'Giả định'!$B$15*('Chi phí'!$F$77+'Chi phí'!$G$77*B580+'Chi phí'!$H$77*A580))*(1+'Giả định'!$B$16)</f>
        <v>540285900</v>
      </c>
      <c r="E580" s="25" t="n">
        <f aca="false">A580/'Giả định'!$B$19*'Giả định'!$B$20+A580*'Giả định'!$B$23+'Giả định'!$B$24</f>
        <v>425210084.033613</v>
      </c>
      <c r="F580" s="25" t="n">
        <f aca="false">E580-D580</f>
        <v>-115075815.966387</v>
      </c>
      <c r="G580" s="25" t="n">
        <f aca="false">E580-C580</f>
        <v>27869184.0336134</v>
      </c>
      <c r="H580" s="7" t="str">
        <f aca="false">IF(F580&gt;=0,A580,"")</f>
        <v/>
      </c>
      <c r="I580" s="7" t="n">
        <f aca="false">IF(F580&lt;0,A580,0)</f>
        <v>575</v>
      </c>
      <c r="J580" s="7" t="n">
        <f aca="false">IF(G580&gt;=0,A580,"")</f>
        <v>575</v>
      </c>
      <c r="K580" s="7" t="n">
        <f aca="false">IF(G580&lt;0,A580,0)</f>
        <v>0</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397377640</v>
      </c>
      <c r="D581" s="25" t="n">
        <f aca="false">('Chi phí'!$C$77+'Chi phí'!$D$77*B581+'Chi phí'!$E$77*A581+'Giả định'!$B$15*('Chi phí'!$F$77+'Chi phí'!$G$77*B581+'Chi phí'!$H$77*A581))*(1+'Giả định'!$B$16)</f>
        <v>540322640</v>
      </c>
      <c r="E581" s="25" t="n">
        <f aca="false">A581/'Giả định'!$B$19*'Giả định'!$B$20+A581*'Giả định'!$B$23+'Giả định'!$B$24</f>
        <v>425949579.831933</v>
      </c>
      <c r="F581" s="25" t="n">
        <f aca="false">E581-D581</f>
        <v>-114373060.168067</v>
      </c>
      <c r="G581" s="25" t="n">
        <f aca="false">E581-C581</f>
        <v>28571939.8319327</v>
      </c>
      <c r="H581" s="7" t="str">
        <f aca="false">IF(F581&gt;=0,A581,"")</f>
        <v/>
      </c>
      <c r="I581" s="7" t="n">
        <f aca="false">IF(F581&lt;0,A581,0)</f>
        <v>576</v>
      </c>
      <c r="J581" s="7" t="n">
        <f aca="false">IF(G581&gt;=0,A581,"")</f>
        <v>576</v>
      </c>
      <c r="K581" s="7" t="n">
        <f aca="false">IF(G581&lt;0,A581,0)</f>
        <v>0</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397414380</v>
      </c>
      <c r="D582" s="25" t="n">
        <f aca="false">('Chi phí'!$C$77+'Chi phí'!$D$77*B582+'Chi phí'!$E$77*A582+'Giả định'!$B$15*('Chi phí'!$F$77+'Chi phí'!$G$77*B582+'Chi phí'!$H$77*A582))*(1+'Giả định'!$B$16)</f>
        <v>540359380</v>
      </c>
      <c r="E582" s="25" t="n">
        <f aca="false">A582/'Giả định'!$B$19*'Giả định'!$B$20+A582*'Giả định'!$B$23+'Giả định'!$B$24</f>
        <v>426689075.630252</v>
      </c>
      <c r="F582" s="25" t="n">
        <f aca="false">E582-D582</f>
        <v>-113670304.369748</v>
      </c>
      <c r="G582" s="25" t="n">
        <f aca="false">E582-C582</f>
        <v>29274695.6302521</v>
      </c>
      <c r="H582" s="7" t="str">
        <f aca="false">IF(F582&gt;=0,A582,"")</f>
        <v/>
      </c>
      <c r="I582" s="7" t="n">
        <f aca="false">IF(F582&lt;0,A582,0)</f>
        <v>577</v>
      </c>
      <c r="J582" s="7" t="n">
        <f aca="false">IF(G582&gt;=0,A582,"")</f>
        <v>577</v>
      </c>
      <c r="K582" s="7" t="n">
        <f aca="false">IF(G582&lt;0,A582,0)</f>
        <v>0</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397451120</v>
      </c>
      <c r="D583" s="25" t="n">
        <f aca="false">('Chi phí'!$C$77+'Chi phí'!$D$77*B583+'Chi phí'!$E$77*A583+'Giả định'!$B$15*('Chi phí'!$F$77+'Chi phí'!$G$77*B583+'Chi phí'!$H$77*A583))*(1+'Giả định'!$B$16)</f>
        <v>540396120</v>
      </c>
      <c r="E583" s="25" t="n">
        <f aca="false">A583/'Giả định'!$B$19*'Giả định'!$B$20+A583*'Giả định'!$B$23+'Giả định'!$B$24</f>
        <v>427428571.428571</v>
      </c>
      <c r="F583" s="25" t="n">
        <f aca="false">E583-D583</f>
        <v>-112967548.571429</v>
      </c>
      <c r="G583" s="25" t="n">
        <f aca="false">E583-C583</f>
        <v>29977451.4285714</v>
      </c>
      <c r="H583" s="7" t="str">
        <f aca="false">IF(F583&gt;=0,A583,"")</f>
        <v/>
      </c>
      <c r="I583" s="7" t="n">
        <f aca="false">IF(F583&lt;0,A583,0)</f>
        <v>578</v>
      </c>
      <c r="J583" s="7" t="n">
        <f aca="false">IF(G583&gt;=0,A583,"")</f>
        <v>578</v>
      </c>
      <c r="K583" s="7" t="n">
        <f aca="false">IF(G583&lt;0,A583,0)</f>
        <v>0</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397487860</v>
      </c>
      <c r="D584" s="25" t="n">
        <f aca="false">('Chi phí'!$C$77+'Chi phí'!$D$77*B584+'Chi phí'!$E$77*A584+'Giả định'!$B$15*('Chi phí'!$F$77+'Chi phí'!$G$77*B584+'Chi phí'!$H$77*A584))*(1+'Giả định'!$B$16)</f>
        <v>540432860</v>
      </c>
      <c r="E584" s="25" t="n">
        <f aca="false">A584/'Giả định'!$B$19*'Giả định'!$B$20+A584*'Giả định'!$B$23+'Giả định'!$B$24</f>
        <v>428168067.226891</v>
      </c>
      <c r="F584" s="25" t="n">
        <f aca="false">E584-D584</f>
        <v>-112264792.773109</v>
      </c>
      <c r="G584" s="25" t="n">
        <f aca="false">E584-C584</f>
        <v>30680207.2268907</v>
      </c>
      <c r="H584" s="7" t="str">
        <f aca="false">IF(F584&gt;=0,A584,"")</f>
        <v/>
      </c>
      <c r="I584" s="7" t="n">
        <f aca="false">IF(F584&lt;0,A584,0)</f>
        <v>579</v>
      </c>
      <c r="J584" s="7" t="n">
        <f aca="false">IF(G584&gt;=0,A584,"")</f>
        <v>579</v>
      </c>
      <c r="K584" s="7" t="n">
        <f aca="false">IF(G584&lt;0,A584,0)</f>
        <v>0</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397524600</v>
      </c>
      <c r="D585" s="25" t="n">
        <f aca="false">('Chi phí'!$C$77+'Chi phí'!$D$77*B585+'Chi phí'!$E$77*A585+'Giả định'!$B$15*('Chi phí'!$F$77+'Chi phí'!$G$77*B585+'Chi phí'!$H$77*A585))*(1+'Giả định'!$B$16)</f>
        <v>540469600</v>
      </c>
      <c r="E585" s="25" t="n">
        <f aca="false">A585/'Giả định'!$B$19*'Giả định'!$B$20+A585*'Giả định'!$B$23+'Giả định'!$B$24</f>
        <v>428907563.02521</v>
      </c>
      <c r="F585" s="25" t="n">
        <f aca="false">E585-D585</f>
        <v>-111562036.97479</v>
      </c>
      <c r="G585" s="25" t="n">
        <f aca="false">E585-C585</f>
        <v>31382963.0252101</v>
      </c>
      <c r="H585" s="7" t="str">
        <f aca="false">IF(F585&gt;=0,A585,"")</f>
        <v/>
      </c>
      <c r="I585" s="7" t="n">
        <f aca="false">IF(F585&lt;0,A585,0)</f>
        <v>580</v>
      </c>
      <c r="J585" s="7" t="n">
        <f aca="false">IF(G585&gt;=0,A585,"")</f>
        <v>580</v>
      </c>
      <c r="K585" s="7" t="n">
        <f aca="false">IF(G585&lt;0,A585,0)</f>
        <v>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402946940</v>
      </c>
      <c r="D586" s="25" t="n">
        <f aca="false">('Chi phí'!$C$77+'Chi phí'!$D$77*B586+'Chi phí'!$E$77*A586+'Giả định'!$B$15*('Chi phí'!$F$77+'Chi phí'!$G$77*B586+'Chi phí'!$H$77*A586))*(1+'Giả định'!$B$16)</f>
        <v>545891940</v>
      </c>
      <c r="E586" s="25" t="n">
        <f aca="false">A586/'Giả định'!$B$19*'Giả định'!$B$20+A586*'Giả định'!$B$23+'Giả định'!$B$24</f>
        <v>429647058.823529</v>
      </c>
      <c r="F586" s="25" t="n">
        <f aca="false">E586-D586</f>
        <v>-116244881.176471</v>
      </c>
      <c r="G586" s="25" t="n">
        <f aca="false">E586-C586</f>
        <v>26700118.8235294</v>
      </c>
      <c r="H586" s="7" t="str">
        <f aca="false">IF(F586&gt;=0,A586,"")</f>
        <v/>
      </c>
      <c r="I586" s="7" t="n">
        <f aca="false">IF(F586&lt;0,A586,0)</f>
        <v>581</v>
      </c>
      <c r="J586" s="7" t="n">
        <f aca="false">IF(G586&gt;=0,A586,"")</f>
        <v>581</v>
      </c>
      <c r="K586" s="7" t="n">
        <f aca="false">IF(G586&lt;0,A586,0)</f>
        <v>0</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402983680</v>
      </c>
      <c r="D587" s="25" t="n">
        <f aca="false">('Chi phí'!$C$77+'Chi phí'!$D$77*B587+'Chi phí'!$E$77*A587+'Giả định'!$B$15*('Chi phí'!$F$77+'Chi phí'!$G$77*B587+'Chi phí'!$H$77*A587))*(1+'Giả định'!$B$16)</f>
        <v>545928680</v>
      </c>
      <c r="E587" s="25" t="n">
        <f aca="false">A587/'Giả định'!$B$19*'Giả định'!$B$20+A587*'Giả định'!$B$23+'Giả định'!$B$24</f>
        <v>430386554.621849</v>
      </c>
      <c r="F587" s="25" t="n">
        <f aca="false">E587-D587</f>
        <v>-115542125.378151</v>
      </c>
      <c r="G587" s="25" t="n">
        <f aca="false">E587-C587</f>
        <v>27402874.6218487</v>
      </c>
      <c r="H587" s="7" t="str">
        <f aca="false">IF(F587&gt;=0,A587,"")</f>
        <v/>
      </c>
      <c r="I587" s="7" t="n">
        <f aca="false">IF(F587&lt;0,A587,0)</f>
        <v>582</v>
      </c>
      <c r="J587" s="7" t="n">
        <f aca="false">IF(G587&gt;=0,A587,"")</f>
        <v>582</v>
      </c>
      <c r="K587" s="7" t="n">
        <f aca="false">IF(G587&lt;0,A587,0)</f>
        <v>0</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403020420</v>
      </c>
      <c r="D588" s="25" t="n">
        <f aca="false">('Chi phí'!$C$77+'Chi phí'!$D$77*B588+'Chi phí'!$E$77*A588+'Giả định'!$B$15*('Chi phí'!$F$77+'Chi phí'!$G$77*B588+'Chi phí'!$H$77*A588))*(1+'Giả định'!$B$16)</f>
        <v>545965420</v>
      </c>
      <c r="E588" s="25" t="n">
        <f aca="false">A588/'Giả định'!$B$19*'Giả định'!$B$20+A588*'Giả định'!$B$23+'Giả định'!$B$24</f>
        <v>431126050.420168</v>
      </c>
      <c r="F588" s="25" t="n">
        <f aca="false">E588-D588</f>
        <v>-114839369.579832</v>
      </c>
      <c r="G588" s="25" t="n">
        <f aca="false">E588-C588</f>
        <v>28105630.420168</v>
      </c>
      <c r="H588" s="7" t="str">
        <f aca="false">IF(F588&gt;=0,A588,"")</f>
        <v/>
      </c>
      <c r="I588" s="7" t="n">
        <f aca="false">IF(F588&lt;0,A588,0)</f>
        <v>583</v>
      </c>
      <c r="J588" s="7" t="n">
        <f aca="false">IF(G588&gt;=0,A588,"")</f>
        <v>583</v>
      </c>
      <c r="K588" s="7" t="n">
        <f aca="false">IF(G588&lt;0,A588,0)</f>
        <v>0</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403057160</v>
      </c>
      <c r="D589" s="25" t="n">
        <f aca="false">('Chi phí'!$C$77+'Chi phí'!$D$77*B589+'Chi phí'!$E$77*A589+'Giả định'!$B$15*('Chi phí'!$F$77+'Chi phí'!$G$77*B589+'Chi phí'!$H$77*A589))*(1+'Giả định'!$B$16)</f>
        <v>546002160</v>
      </c>
      <c r="E589" s="25" t="n">
        <f aca="false">A589/'Giả định'!$B$19*'Giả định'!$B$20+A589*'Giả định'!$B$23+'Giả định'!$B$24</f>
        <v>431865546.218487</v>
      </c>
      <c r="F589" s="25" t="n">
        <f aca="false">E589-D589</f>
        <v>-114136613.781513</v>
      </c>
      <c r="G589" s="25" t="n">
        <f aca="false">E589-C589</f>
        <v>28808386.2184874</v>
      </c>
      <c r="H589" s="7" t="str">
        <f aca="false">IF(F589&gt;=0,A589,"")</f>
        <v/>
      </c>
      <c r="I589" s="7" t="n">
        <f aca="false">IF(F589&lt;0,A589,0)</f>
        <v>584</v>
      </c>
      <c r="J589" s="7" t="n">
        <f aca="false">IF(G589&gt;=0,A589,"")</f>
        <v>584</v>
      </c>
      <c r="K589" s="7" t="n">
        <f aca="false">IF(G589&lt;0,A589,0)</f>
        <v>0</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403093900</v>
      </c>
      <c r="D590" s="25" t="n">
        <f aca="false">('Chi phí'!$C$77+'Chi phí'!$D$77*B590+'Chi phí'!$E$77*A590+'Giả định'!$B$15*('Chi phí'!$F$77+'Chi phí'!$G$77*B590+'Chi phí'!$H$77*A590))*(1+'Giả định'!$B$16)</f>
        <v>546038900</v>
      </c>
      <c r="E590" s="25" t="n">
        <f aca="false">A590/'Giả định'!$B$19*'Giả định'!$B$20+A590*'Giả định'!$B$23+'Giả định'!$B$24</f>
        <v>432605042.016807</v>
      </c>
      <c r="F590" s="25" t="n">
        <f aca="false">E590-D590</f>
        <v>-113433857.983193</v>
      </c>
      <c r="G590" s="25" t="n">
        <f aca="false">E590-C590</f>
        <v>29511142.0168067</v>
      </c>
      <c r="H590" s="7" t="str">
        <f aca="false">IF(F590&gt;=0,A590,"")</f>
        <v/>
      </c>
      <c r="I590" s="7" t="n">
        <f aca="false">IF(F590&lt;0,A590,0)</f>
        <v>585</v>
      </c>
      <c r="J590" s="7" t="n">
        <f aca="false">IF(G590&gt;=0,A590,"")</f>
        <v>585</v>
      </c>
      <c r="K590" s="7" t="n">
        <f aca="false">IF(G590&lt;0,A590,0)</f>
        <v>0</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403130640</v>
      </c>
      <c r="D591" s="25" t="n">
        <f aca="false">('Chi phí'!$C$77+'Chi phí'!$D$77*B591+'Chi phí'!$E$77*A591+'Giả định'!$B$15*('Chi phí'!$F$77+'Chi phí'!$G$77*B591+'Chi phí'!$H$77*A591))*(1+'Giả định'!$B$16)</f>
        <v>546075640</v>
      </c>
      <c r="E591" s="25" t="n">
        <f aca="false">A591/'Giả định'!$B$19*'Giả định'!$B$20+A591*'Giả định'!$B$23+'Giả định'!$B$24</f>
        <v>433344537.815126</v>
      </c>
      <c r="F591" s="25" t="n">
        <f aca="false">E591-D591</f>
        <v>-112731102.184874</v>
      </c>
      <c r="G591" s="25" t="n">
        <f aca="false">E591-C591</f>
        <v>30213897.815126</v>
      </c>
      <c r="H591" s="7" t="str">
        <f aca="false">IF(F591&gt;=0,A591,"")</f>
        <v/>
      </c>
      <c r="I591" s="7" t="n">
        <f aca="false">IF(F591&lt;0,A591,0)</f>
        <v>586</v>
      </c>
      <c r="J591" s="7" t="n">
        <f aca="false">IF(G591&gt;=0,A591,"")</f>
        <v>586</v>
      </c>
      <c r="K591" s="7" t="n">
        <f aca="false">IF(G591&lt;0,A591,0)</f>
        <v>0</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403167380</v>
      </c>
      <c r="D592" s="25" t="n">
        <f aca="false">('Chi phí'!$C$77+'Chi phí'!$D$77*B592+'Chi phí'!$E$77*A592+'Giả định'!$B$15*('Chi phí'!$F$77+'Chi phí'!$G$77*B592+'Chi phí'!$H$77*A592))*(1+'Giả định'!$B$16)</f>
        <v>546112380</v>
      </c>
      <c r="E592" s="25" t="n">
        <f aca="false">A592/'Giả định'!$B$19*'Giả định'!$B$20+A592*'Giả định'!$B$23+'Giả định'!$B$24</f>
        <v>434084033.613445</v>
      </c>
      <c r="F592" s="25" t="n">
        <f aca="false">E592-D592</f>
        <v>-112028346.386555</v>
      </c>
      <c r="G592" s="25" t="n">
        <f aca="false">E592-C592</f>
        <v>30916653.6134453</v>
      </c>
      <c r="H592" s="7" t="str">
        <f aca="false">IF(F592&gt;=0,A592,"")</f>
        <v/>
      </c>
      <c r="I592" s="7" t="n">
        <f aca="false">IF(F592&lt;0,A592,0)</f>
        <v>587</v>
      </c>
      <c r="J592" s="7" t="n">
        <f aca="false">IF(G592&gt;=0,A592,"")</f>
        <v>587</v>
      </c>
      <c r="K592" s="7" t="n">
        <f aca="false">IF(G592&lt;0,A592,0)</f>
        <v>0</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403204120</v>
      </c>
      <c r="D593" s="25" t="n">
        <f aca="false">('Chi phí'!$C$77+'Chi phí'!$D$77*B593+'Chi phí'!$E$77*A593+'Giả định'!$B$15*('Chi phí'!$F$77+'Chi phí'!$G$77*B593+'Chi phí'!$H$77*A593))*(1+'Giả định'!$B$16)</f>
        <v>546149120</v>
      </c>
      <c r="E593" s="25" t="n">
        <f aca="false">A593/'Giả định'!$B$19*'Giả định'!$B$20+A593*'Giả định'!$B$23+'Giả định'!$B$24</f>
        <v>434823529.411765</v>
      </c>
      <c r="F593" s="25" t="n">
        <f aca="false">E593-D593</f>
        <v>-111325590.588235</v>
      </c>
      <c r="G593" s="25" t="n">
        <f aca="false">E593-C593</f>
        <v>31619409.4117647</v>
      </c>
      <c r="H593" s="7" t="str">
        <f aca="false">IF(F593&gt;=0,A593,"")</f>
        <v/>
      </c>
      <c r="I593" s="7" t="n">
        <f aca="false">IF(F593&lt;0,A593,0)</f>
        <v>588</v>
      </c>
      <c r="J593" s="7" t="n">
        <f aca="false">IF(G593&gt;=0,A593,"")</f>
        <v>588</v>
      </c>
      <c r="K593" s="7" t="n">
        <f aca="false">IF(G593&lt;0,A593,0)</f>
        <v>0</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403240860</v>
      </c>
      <c r="D594" s="25" t="n">
        <f aca="false">('Chi phí'!$C$77+'Chi phí'!$D$77*B594+'Chi phí'!$E$77*A594+'Giả định'!$B$15*('Chi phí'!$F$77+'Chi phí'!$G$77*B594+'Chi phí'!$H$77*A594))*(1+'Giả định'!$B$16)</f>
        <v>546185860</v>
      </c>
      <c r="E594" s="25" t="n">
        <f aca="false">A594/'Giả định'!$B$19*'Giả định'!$B$20+A594*'Giả định'!$B$23+'Giả định'!$B$24</f>
        <v>435563025.210084</v>
      </c>
      <c r="F594" s="25" t="n">
        <f aca="false">E594-D594</f>
        <v>-110622834.789916</v>
      </c>
      <c r="G594" s="25" t="n">
        <f aca="false">E594-C594</f>
        <v>32322165.210084</v>
      </c>
      <c r="H594" s="7" t="str">
        <f aca="false">IF(F594&gt;=0,A594,"")</f>
        <v/>
      </c>
      <c r="I594" s="7" t="n">
        <f aca="false">IF(F594&lt;0,A594,0)</f>
        <v>589</v>
      </c>
      <c r="J594" s="7" t="n">
        <f aca="false">IF(G594&gt;=0,A594,"")</f>
        <v>589</v>
      </c>
      <c r="K594" s="7" t="n">
        <f aca="false">IF(G594&lt;0,A594,0)</f>
        <v>0</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403277600</v>
      </c>
      <c r="D595" s="25" t="n">
        <f aca="false">('Chi phí'!$C$77+'Chi phí'!$D$77*B595+'Chi phí'!$E$77*A595+'Giả định'!$B$15*('Chi phí'!$F$77+'Chi phí'!$G$77*B595+'Chi phí'!$H$77*A595))*(1+'Giả định'!$B$16)</f>
        <v>546222600</v>
      </c>
      <c r="E595" s="25" t="n">
        <f aca="false">A595/'Giả định'!$B$19*'Giả định'!$B$20+A595*'Giả định'!$B$23+'Giả định'!$B$24</f>
        <v>436302521.008403</v>
      </c>
      <c r="F595" s="25" t="n">
        <f aca="false">E595-D595</f>
        <v>-109920078.991597</v>
      </c>
      <c r="G595" s="25" t="n">
        <f aca="false">E595-C595</f>
        <v>33024921.0084034</v>
      </c>
      <c r="H595" s="7" t="str">
        <f aca="false">IF(F595&gt;=0,A595,"")</f>
        <v/>
      </c>
      <c r="I595" s="7" t="n">
        <f aca="false">IF(F595&lt;0,A595,0)</f>
        <v>590</v>
      </c>
      <c r="J595" s="7" t="n">
        <f aca="false">IF(G595&gt;=0,A595,"")</f>
        <v>590</v>
      </c>
      <c r="K595" s="7" t="n">
        <f aca="false">IF(G595&lt;0,A595,0)</f>
        <v>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408699940</v>
      </c>
      <c r="D596" s="25" t="n">
        <f aca="false">('Chi phí'!$C$77+'Chi phí'!$D$77*B596+'Chi phí'!$E$77*A596+'Giả định'!$B$15*('Chi phí'!$F$77+'Chi phí'!$G$77*B596+'Chi phí'!$H$77*A596))*(1+'Giả định'!$B$16)</f>
        <v>551644940</v>
      </c>
      <c r="E596" s="25" t="n">
        <f aca="false">A596/'Giả định'!$B$19*'Giả định'!$B$20+A596*'Giả định'!$B$23+'Giả định'!$B$24</f>
        <v>437042016.806723</v>
      </c>
      <c r="F596" s="25" t="n">
        <f aca="false">E596-D596</f>
        <v>-114602923.193277</v>
      </c>
      <c r="G596" s="25" t="n">
        <f aca="false">E596-C596</f>
        <v>28342076.8067227</v>
      </c>
      <c r="H596" s="7" t="str">
        <f aca="false">IF(F596&gt;=0,A596,"")</f>
        <v/>
      </c>
      <c r="I596" s="7" t="n">
        <f aca="false">IF(F596&lt;0,A596,0)</f>
        <v>591</v>
      </c>
      <c r="J596" s="7" t="n">
        <f aca="false">IF(G596&gt;=0,A596,"")</f>
        <v>591</v>
      </c>
      <c r="K596" s="7" t="n">
        <f aca="false">IF(G596&lt;0,A596,0)</f>
        <v>0</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408736680</v>
      </c>
      <c r="D597" s="25" t="n">
        <f aca="false">('Chi phí'!$C$77+'Chi phí'!$D$77*B597+'Chi phí'!$E$77*A597+'Giả định'!$B$15*('Chi phí'!$F$77+'Chi phí'!$G$77*B597+'Chi phí'!$H$77*A597))*(1+'Giả định'!$B$16)</f>
        <v>551681680</v>
      </c>
      <c r="E597" s="25" t="n">
        <f aca="false">A597/'Giả định'!$B$19*'Giả định'!$B$20+A597*'Giả định'!$B$23+'Giả định'!$B$24</f>
        <v>437781512.605042</v>
      </c>
      <c r="F597" s="25" t="n">
        <f aca="false">E597-D597</f>
        <v>-113900167.394958</v>
      </c>
      <c r="G597" s="25" t="n">
        <f aca="false">E597-C597</f>
        <v>29044832.605042</v>
      </c>
      <c r="H597" s="7" t="str">
        <f aca="false">IF(F597&gt;=0,A597,"")</f>
        <v/>
      </c>
      <c r="I597" s="7" t="n">
        <f aca="false">IF(F597&lt;0,A597,0)</f>
        <v>592</v>
      </c>
      <c r="J597" s="7" t="n">
        <f aca="false">IF(G597&gt;=0,A597,"")</f>
        <v>592</v>
      </c>
      <c r="K597" s="7" t="n">
        <f aca="false">IF(G597&lt;0,A597,0)</f>
        <v>0</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408773420</v>
      </c>
      <c r="D598" s="25" t="n">
        <f aca="false">('Chi phí'!$C$77+'Chi phí'!$D$77*B598+'Chi phí'!$E$77*A598+'Giả định'!$B$15*('Chi phí'!$F$77+'Chi phí'!$G$77*B598+'Chi phí'!$H$77*A598))*(1+'Giả định'!$B$16)</f>
        <v>551718420</v>
      </c>
      <c r="E598" s="25" t="n">
        <f aca="false">A598/'Giả định'!$B$19*'Giả định'!$B$20+A598*'Giả định'!$B$23+'Giả định'!$B$24</f>
        <v>438521008.403361</v>
      </c>
      <c r="F598" s="25" t="n">
        <f aca="false">E598-D598</f>
        <v>-113197411.596639</v>
      </c>
      <c r="G598" s="25" t="n">
        <f aca="false">E598-C598</f>
        <v>29747588.4033613</v>
      </c>
      <c r="H598" s="7" t="str">
        <f aca="false">IF(F598&gt;=0,A598,"")</f>
        <v/>
      </c>
      <c r="I598" s="7" t="n">
        <f aca="false">IF(F598&lt;0,A598,0)</f>
        <v>593</v>
      </c>
      <c r="J598" s="7" t="n">
        <f aca="false">IF(G598&gt;=0,A598,"")</f>
        <v>593</v>
      </c>
      <c r="K598" s="7" t="n">
        <f aca="false">IF(G598&lt;0,A598,0)</f>
        <v>0</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408810160</v>
      </c>
      <c r="D599" s="25" t="n">
        <f aca="false">('Chi phí'!$C$77+'Chi phí'!$D$77*B599+'Chi phí'!$E$77*A599+'Giả định'!$B$15*('Chi phí'!$F$77+'Chi phí'!$G$77*B599+'Chi phí'!$H$77*A599))*(1+'Giả định'!$B$16)</f>
        <v>551755160</v>
      </c>
      <c r="E599" s="25" t="n">
        <f aca="false">A599/'Giả định'!$B$19*'Giả định'!$B$20+A599*'Giả định'!$B$23+'Giả định'!$B$24</f>
        <v>439260504.201681</v>
      </c>
      <c r="F599" s="25" t="n">
        <f aca="false">E599-D599</f>
        <v>-112494655.798319</v>
      </c>
      <c r="G599" s="25" t="n">
        <f aca="false">E599-C599</f>
        <v>30450344.2016807</v>
      </c>
      <c r="H599" s="7" t="str">
        <f aca="false">IF(F599&gt;=0,A599,"")</f>
        <v/>
      </c>
      <c r="I599" s="7" t="n">
        <f aca="false">IF(F599&lt;0,A599,0)</f>
        <v>594</v>
      </c>
      <c r="J599" s="7" t="n">
        <f aca="false">IF(G599&gt;=0,A599,"")</f>
        <v>594</v>
      </c>
      <c r="K599" s="7" t="n">
        <f aca="false">IF(G599&lt;0,A599,0)</f>
        <v>0</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408846900</v>
      </c>
      <c r="D600" s="25" t="n">
        <f aca="false">('Chi phí'!$C$77+'Chi phí'!$D$77*B600+'Chi phí'!$E$77*A600+'Giả định'!$B$15*('Chi phí'!$F$77+'Chi phí'!$G$77*B600+'Chi phí'!$H$77*A600))*(1+'Giả định'!$B$16)</f>
        <v>551791900</v>
      </c>
      <c r="E600" s="25" t="n">
        <f aca="false">A600/'Giả định'!$B$19*'Giả định'!$B$20+A600*'Giả định'!$B$23+'Giả định'!$B$24</f>
        <v>440000000</v>
      </c>
      <c r="F600" s="25" t="n">
        <f aca="false">E600-D600</f>
        <v>-111791900</v>
      </c>
      <c r="G600" s="25" t="n">
        <f aca="false">E600-C600</f>
        <v>31153099.9999999</v>
      </c>
      <c r="H600" s="7" t="str">
        <f aca="false">IF(F600&gt;=0,A600,"")</f>
        <v/>
      </c>
      <c r="I600" s="7" t="n">
        <f aca="false">IF(F600&lt;0,A600,0)</f>
        <v>595</v>
      </c>
      <c r="J600" s="7" t="n">
        <f aca="false">IF(G600&gt;=0,A600,"")</f>
        <v>595</v>
      </c>
      <c r="K600" s="7" t="n">
        <f aca="false">IF(G600&lt;0,A600,0)</f>
        <v>0</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408883640</v>
      </c>
      <c r="D601" s="25" t="n">
        <f aca="false">('Chi phí'!$C$77+'Chi phí'!$D$77*B601+'Chi phí'!$E$77*A601+'Giả định'!$B$15*('Chi phí'!$F$77+'Chi phí'!$G$77*B601+'Chi phí'!$H$77*A601))*(1+'Giả định'!$B$16)</f>
        <v>551828640</v>
      </c>
      <c r="E601" s="25" t="n">
        <f aca="false">A601/'Giả định'!$B$19*'Giả định'!$B$20+A601*'Giả định'!$B$23+'Giả định'!$B$24</f>
        <v>440739495.798319</v>
      </c>
      <c r="F601" s="25" t="n">
        <f aca="false">E601-D601</f>
        <v>-111089144.201681</v>
      </c>
      <c r="G601" s="25" t="n">
        <f aca="false">E601-C601</f>
        <v>31855855.7983193</v>
      </c>
      <c r="H601" s="7" t="str">
        <f aca="false">IF(F601&gt;=0,A601,"")</f>
        <v/>
      </c>
      <c r="I601" s="7" t="n">
        <f aca="false">IF(F601&lt;0,A601,0)</f>
        <v>596</v>
      </c>
      <c r="J601" s="7" t="n">
        <f aca="false">IF(G601&gt;=0,A601,"")</f>
        <v>596</v>
      </c>
      <c r="K601" s="7" t="n">
        <f aca="false">IF(G601&lt;0,A601,0)</f>
        <v>0</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408920380</v>
      </c>
      <c r="D602" s="25" t="n">
        <f aca="false">('Chi phí'!$C$77+'Chi phí'!$D$77*B602+'Chi phí'!$E$77*A602+'Giả định'!$B$15*('Chi phí'!$F$77+'Chi phí'!$G$77*B602+'Chi phí'!$H$77*A602))*(1+'Giả định'!$B$16)</f>
        <v>551865380</v>
      </c>
      <c r="E602" s="25" t="n">
        <f aca="false">A602/'Giả định'!$B$19*'Giả định'!$B$20+A602*'Giả định'!$B$23+'Giả định'!$B$24</f>
        <v>441478991.596639</v>
      </c>
      <c r="F602" s="25" t="n">
        <f aca="false">E602-D602</f>
        <v>-110386388.403361</v>
      </c>
      <c r="G602" s="25" t="n">
        <f aca="false">E602-C602</f>
        <v>32558611.5966386</v>
      </c>
      <c r="H602" s="7" t="str">
        <f aca="false">IF(F602&gt;=0,A602,"")</f>
        <v/>
      </c>
      <c r="I602" s="7" t="n">
        <f aca="false">IF(F602&lt;0,A602,0)</f>
        <v>597</v>
      </c>
      <c r="J602" s="7" t="n">
        <f aca="false">IF(G602&gt;=0,A602,"")</f>
        <v>597</v>
      </c>
      <c r="K602" s="7" t="n">
        <f aca="false">IF(G602&lt;0,A602,0)</f>
        <v>0</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408957120</v>
      </c>
      <c r="D603" s="25" t="n">
        <f aca="false">('Chi phí'!$C$77+'Chi phí'!$D$77*B603+'Chi phí'!$E$77*A603+'Giả định'!$B$15*('Chi phí'!$F$77+'Chi phí'!$G$77*B603+'Chi phí'!$H$77*A603))*(1+'Giả định'!$B$16)</f>
        <v>551902120</v>
      </c>
      <c r="E603" s="25" t="n">
        <f aca="false">A603/'Giả định'!$B$19*'Giả định'!$B$20+A603*'Giả định'!$B$23+'Giả định'!$B$24</f>
        <v>442218487.394958</v>
      </c>
      <c r="F603" s="25" t="n">
        <f aca="false">E603-D603</f>
        <v>-109683632.605042</v>
      </c>
      <c r="G603" s="25" t="n">
        <f aca="false">E603-C603</f>
        <v>33261367.394958</v>
      </c>
      <c r="H603" s="7" t="str">
        <f aca="false">IF(F603&gt;=0,A603,"")</f>
        <v/>
      </c>
      <c r="I603" s="7" t="n">
        <f aca="false">IF(F603&lt;0,A603,0)</f>
        <v>598</v>
      </c>
      <c r="J603" s="7" t="n">
        <f aca="false">IF(G603&gt;=0,A603,"")</f>
        <v>598</v>
      </c>
      <c r="K603" s="7" t="n">
        <f aca="false">IF(G603&lt;0,A603,0)</f>
        <v>0</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408993860</v>
      </c>
      <c r="D604" s="25" t="n">
        <f aca="false">('Chi phí'!$C$77+'Chi phí'!$D$77*B604+'Chi phí'!$E$77*A604+'Giả định'!$B$15*('Chi phí'!$F$77+'Chi phí'!$G$77*B604+'Chi phí'!$H$77*A604))*(1+'Giả định'!$B$16)</f>
        <v>551938860</v>
      </c>
      <c r="E604" s="25" t="n">
        <f aca="false">A604/'Giả định'!$B$19*'Giả định'!$B$20+A604*'Giả định'!$B$23+'Giả định'!$B$24</f>
        <v>442957983.193277</v>
      </c>
      <c r="F604" s="25" t="n">
        <f aca="false">E604-D604</f>
        <v>-108980876.806723</v>
      </c>
      <c r="G604" s="25" t="n">
        <f aca="false">E604-C604</f>
        <v>33964123.1932772</v>
      </c>
      <c r="H604" s="7" t="str">
        <f aca="false">IF(F604&gt;=0,A604,"")</f>
        <v/>
      </c>
      <c r="I604" s="7" t="n">
        <f aca="false">IF(F604&lt;0,A604,0)</f>
        <v>599</v>
      </c>
      <c r="J604" s="7" t="n">
        <f aca="false">IF(G604&gt;=0,A604,"")</f>
        <v>599</v>
      </c>
      <c r="K604" s="7" t="n">
        <f aca="false">IF(G604&lt;0,A604,0)</f>
        <v>0</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409030600</v>
      </c>
      <c r="D605" s="25" t="n">
        <f aca="false">('Chi phí'!$C$77+'Chi phí'!$D$77*B605+'Chi phí'!$E$77*A605+'Giả định'!$B$15*('Chi phí'!$F$77+'Chi phí'!$G$77*B605+'Chi phí'!$H$77*A605))*(1+'Giả định'!$B$16)</f>
        <v>551975600</v>
      </c>
      <c r="E605" s="25" t="n">
        <f aca="false">A605/'Giả định'!$B$19*'Giả định'!$B$20+A605*'Giả định'!$B$23+'Giả định'!$B$24</f>
        <v>443697478.991597</v>
      </c>
      <c r="F605" s="25" t="n">
        <f aca="false">E605-D605</f>
        <v>-108278121.008403</v>
      </c>
      <c r="G605" s="25" t="n">
        <f aca="false">E605-C605</f>
        <v>34666878.9915966</v>
      </c>
      <c r="H605" s="7" t="str">
        <f aca="false">IF(F605&gt;=0,A605,"")</f>
        <v/>
      </c>
      <c r="I605" s="7" t="n">
        <f aca="false">IF(F605&lt;0,A605,0)</f>
        <v>600</v>
      </c>
      <c r="J605" s="7" t="n">
        <f aca="false">IF(G605&gt;=0,A605,"")</f>
        <v>600</v>
      </c>
      <c r="K605" s="7" t="n">
        <f aca="false">IF(G605&lt;0,A605,0)</f>
        <v>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414452940</v>
      </c>
      <c r="D606" s="25" t="n">
        <f aca="false">('Chi phí'!$C$77+'Chi phí'!$D$77*B606+'Chi phí'!$E$77*A606+'Giả định'!$B$15*('Chi phí'!$F$77+'Chi phí'!$G$77*B606+'Chi phí'!$H$77*A606))*(1+'Giả định'!$B$16)</f>
        <v>557397940</v>
      </c>
      <c r="E606" s="25" t="n">
        <f aca="false">A606/'Giả định'!$B$19*'Giả định'!$B$20+A606*'Giả định'!$B$23+'Giả định'!$B$24</f>
        <v>444436974.789916</v>
      </c>
      <c r="F606" s="25" t="n">
        <f aca="false">E606-D606</f>
        <v>-112960965.210084</v>
      </c>
      <c r="G606" s="25" t="n">
        <f aca="false">E606-C606</f>
        <v>29984034.789916</v>
      </c>
      <c r="H606" s="7" t="str">
        <f aca="false">IF(F606&gt;=0,A606,"")</f>
        <v/>
      </c>
      <c r="I606" s="7" t="n">
        <f aca="false">IF(F606&lt;0,A606,0)</f>
        <v>601</v>
      </c>
      <c r="J606" s="7" t="n">
        <f aca="false">IF(G606&gt;=0,A606,"")</f>
        <v>601</v>
      </c>
      <c r="K606" s="7" t="n">
        <f aca="false">IF(G606&lt;0,A606,0)</f>
        <v>0</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414489680</v>
      </c>
      <c r="D607" s="25" t="n">
        <f aca="false">('Chi phí'!$C$77+'Chi phí'!$D$77*B607+'Chi phí'!$E$77*A607+'Giả định'!$B$15*('Chi phí'!$F$77+'Chi phí'!$G$77*B607+'Chi phí'!$H$77*A607))*(1+'Giả định'!$B$16)</f>
        <v>557434680</v>
      </c>
      <c r="E607" s="25" t="n">
        <f aca="false">A607/'Giả định'!$B$19*'Giả định'!$B$20+A607*'Giả định'!$B$23+'Giả định'!$B$24</f>
        <v>445176470.588235</v>
      </c>
      <c r="F607" s="25" t="n">
        <f aca="false">E607-D607</f>
        <v>-112258209.411765</v>
      </c>
      <c r="G607" s="25" t="n">
        <f aca="false">E607-C607</f>
        <v>30686790.5882353</v>
      </c>
      <c r="H607" s="7" t="str">
        <f aca="false">IF(F607&gt;=0,A607,"")</f>
        <v/>
      </c>
      <c r="I607" s="7" t="n">
        <f aca="false">IF(F607&lt;0,A607,0)</f>
        <v>602</v>
      </c>
      <c r="J607" s="7" t="n">
        <f aca="false">IF(G607&gt;=0,A607,"")</f>
        <v>602</v>
      </c>
      <c r="K607" s="7" t="n">
        <f aca="false">IF(G607&lt;0,A607,0)</f>
        <v>0</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414526420</v>
      </c>
      <c r="D608" s="25" t="n">
        <f aca="false">('Chi phí'!$C$77+'Chi phí'!$D$77*B608+'Chi phí'!$E$77*A608+'Giả định'!$B$15*('Chi phí'!$F$77+'Chi phí'!$G$77*B608+'Chi phí'!$H$77*A608))*(1+'Giả định'!$B$16)</f>
        <v>557471420</v>
      </c>
      <c r="E608" s="25" t="n">
        <f aca="false">A608/'Giả định'!$B$19*'Giả định'!$B$20+A608*'Giả định'!$B$23+'Giả định'!$B$24</f>
        <v>445915966.386555</v>
      </c>
      <c r="F608" s="25" t="n">
        <f aca="false">E608-D608</f>
        <v>-111555453.613445</v>
      </c>
      <c r="G608" s="25" t="n">
        <f aca="false">E608-C608</f>
        <v>31389546.3865546</v>
      </c>
      <c r="H608" s="7" t="str">
        <f aca="false">IF(F608&gt;=0,A608,"")</f>
        <v/>
      </c>
      <c r="I608" s="7" t="n">
        <f aca="false">IF(F608&lt;0,A608,0)</f>
        <v>603</v>
      </c>
      <c r="J608" s="7" t="n">
        <f aca="false">IF(G608&gt;=0,A608,"")</f>
        <v>603</v>
      </c>
      <c r="K608" s="7" t="n">
        <f aca="false">IF(G608&lt;0,A608,0)</f>
        <v>0</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414563160</v>
      </c>
      <c r="D609" s="25" t="n">
        <f aca="false">('Chi phí'!$C$77+'Chi phí'!$D$77*B609+'Chi phí'!$E$77*A609+'Giả định'!$B$15*('Chi phí'!$F$77+'Chi phí'!$G$77*B609+'Chi phí'!$H$77*A609))*(1+'Giả định'!$B$16)</f>
        <v>557508160</v>
      </c>
      <c r="E609" s="25" t="n">
        <f aca="false">A609/'Giả định'!$B$19*'Giả định'!$B$20+A609*'Giả định'!$B$23+'Giả định'!$B$24</f>
        <v>446655462.184874</v>
      </c>
      <c r="F609" s="25" t="n">
        <f aca="false">E609-D609</f>
        <v>-110852697.815126</v>
      </c>
      <c r="G609" s="25" t="n">
        <f aca="false">E609-C609</f>
        <v>32092302.1848739</v>
      </c>
      <c r="H609" s="7" t="str">
        <f aca="false">IF(F609&gt;=0,A609,"")</f>
        <v/>
      </c>
      <c r="I609" s="7" t="n">
        <f aca="false">IF(F609&lt;0,A609,0)</f>
        <v>604</v>
      </c>
      <c r="J609" s="7" t="n">
        <f aca="false">IF(G609&gt;=0,A609,"")</f>
        <v>604</v>
      </c>
      <c r="K609" s="7" t="n">
        <f aca="false">IF(G609&lt;0,A609,0)</f>
        <v>0</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414599900</v>
      </c>
      <c r="D610" s="25" t="n">
        <f aca="false">('Chi phí'!$C$77+'Chi phí'!$D$77*B610+'Chi phí'!$E$77*A610+'Giả định'!$B$15*('Chi phí'!$F$77+'Chi phí'!$G$77*B610+'Chi phí'!$H$77*A610))*(1+'Giả định'!$B$16)</f>
        <v>557544900</v>
      </c>
      <c r="E610" s="25" t="n">
        <f aca="false">A610/'Giả định'!$B$19*'Giả định'!$B$20+A610*'Giả định'!$B$23+'Giả định'!$B$24</f>
        <v>447394957.983193</v>
      </c>
      <c r="F610" s="25" t="n">
        <f aca="false">E610-D610</f>
        <v>-110149942.016807</v>
      </c>
      <c r="G610" s="25" t="n">
        <f aca="false">E610-C610</f>
        <v>32795057.9831933</v>
      </c>
      <c r="H610" s="7" t="str">
        <f aca="false">IF(F610&gt;=0,A610,"")</f>
        <v/>
      </c>
      <c r="I610" s="7" t="n">
        <f aca="false">IF(F610&lt;0,A610,0)</f>
        <v>605</v>
      </c>
      <c r="J610" s="7" t="n">
        <f aca="false">IF(G610&gt;=0,A610,"")</f>
        <v>605</v>
      </c>
      <c r="K610" s="7" t="n">
        <f aca="false">IF(G610&lt;0,A610,0)</f>
        <v>0</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414636640</v>
      </c>
      <c r="D611" s="25" t="n">
        <f aca="false">('Chi phí'!$C$77+'Chi phí'!$D$77*B611+'Chi phí'!$E$77*A611+'Giả định'!$B$15*('Chi phí'!$F$77+'Chi phí'!$G$77*B611+'Chi phí'!$H$77*A611))*(1+'Giả định'!$B$16)</f>
        <v>557581640</v>
      </c>
      <c r="E611" s="25" t="n">
        <f aca="false">A611/'Giả định'!$B$19*'Giả định'!$B$20+A611*'Giả định'!$B$23+'Giả định'!$B$24</f>
        <v>448134453.781513</v>
      </c>
      <c r="F611" s="25" t="n">
        <f aca="false">E611-D611</f>
        <v>-109447186.218487</v>
      </c>
      <c r="G611" s="25" t="n">
        <f aca="false">E611-C611</f>
        <v>33497813.7815126</v>
      </c>
      <c r="H611" s="7" t="str">
        <f aca="false">IF(F611&gt;=0,A611,"")</f>
        <v/>
      </c>
      <c r="I611" s="7" t="n">
        <f aca="false">IF(F611&lt;0,A611,0)</f>
        <v>606</v>
      </c>
      <c r="J611" s="7" t="n">
        <f aca="false">IF(G611&gt;=0,A611,"")</f>
        <v>606</v>
      </c>
      <c r="K611" s="7" t="n">
        <f aca="false">IF(G611&lt;0,A611,0)</f>
        <v>0</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414673380</v>
      </c>
      <c r="D612" s="25" t="n">
        <f aca="false">('Chi phí'!$C$77+'Chi phí'!$D$77*B612+'Chi phí'!$E$77*A612+'Giả định'!$B$15*('Chi phí'!$F$77+'Chi phí'!$G$77*B612+'Chi phí'!$H$77*A612))*(1+'Giả định'!$B$16)</f>
        <v>557618380</v>
      </c>
      <c r="E612" s="25" t="n">
        <f aca="false">A612/'Giả định'!$B$19*'Giả định'!$B$20+A612*'Giả định'!$B$23+'Giả định'!$B$24</f>
        <v>448873949.579832</v>
      </c>
      <c r="F612" s="25" t="n">
        <f aca="false">E612-D612</f>
        <v>-108744430.420168</v>
      </c>
      <c r="G612" s="25" t="n">
        <f aca="false">E612-C612</f>
        <v>34200569.5798319</v>
      </c>
      <c r="H612" s="7" t="str">
        <f aca="false">IF(F612&gt;=0,A612,"")</f>
        <v/>
      </c>
      <c r="I612" s="7" t="n">
        <f aca="false">IF(F612&lt;0,A612,0)</f>
        <v>607</v>
      </c>
      <c r="J612" s="7" t="n">
        <f aca="false">IF(G612&gt;=0,A612,"")</f>
        <v>607</v>
      </c>
      <c r="K612" s="7" t="n">
        <f aca="false">IF(G612&lt;0,A612,0)</f>
        <v>0</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414710120</v>
      </c>
      <c r="D613" s="25" t="n">
        <f aca="false">('Chi phí'!$C$77+'Chi phí'!$D$77*B613+'Chi phí'!$E$77*A613+'Giả định'!$B$15*('Chi phí'!$F$77+'Chi phí'!$G$77*B613+'Chi phí'!$H$77*A613))*(1+'Giả định'!$B$16)</f>
        <v>557655120</v>
      </c>
      <c r="E613" s="25" t="n">
        <f aca="false">A613/'Giả định'!$B$19*'Giả định'!$B$20+A613*'Giả định'!$B$23+'Giả định'!$B$24</f>
        <v>449613445.378151</v>
      </c>
      <c r="F613" s="25" t="n">
        <f aca="false">E613-D613</f>
        <v>-108041674.621849</v>
      </c>
      <c r="G613" s="25" t="n">
        <f aca="false">E613-C613</f>
        <v>34903325.3781512</v>
      </c>
      <c r="H613" s="7" t="str">
        <f aca="false">IF(F613&gt;=0,A613,"")</f>
        <v/>
      </c>
      <c r="I613" s="7" t="n">
        <f aca="false">IF(F613&lt;0,A613,0)</f>
        <v>608</v>
      </c>
      <c r="J613" s="7" t="n">
        <f aca="false">IF(G613&gt;=0,A613,"")</f>
        <v>608</v>
      </c>
      <c r="K613" s="7" t="n">
        <f aca="false">IF(G613&lt;0,A613,0)</f>
        <v>0</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414746860</v>
      </c>
      <c r="D614" s="25" t="n">
        <f aca="false">('Chi phí'!$C$77+'Chi phí'!$D$77*B614+'Chi phí'!$E$77*A614+'Giả định'!$B$15*('Chi phí'!$F$77+'Chi phí'!$G$77*B614+'Chi phí'!$H$77*A614))*(1+'Giả định'!$B$16)</f>
        <v>557691860</v>
      </c>
      <c r="E614" s="25" t="n">
        <f aca="false">A614/'Giả định'!$B$19*'Giả định'!$B$20+A614*'Giả định'!$B$23+'Giả định'!$B$24</f>
        <v>450352941.176471</v>
      </c>
      <c r="F614" s="25" t="n">
        <f aca="false">E614-D614</f>
        <v>-107338918.823529</v>
      </c>
      <c r="G614" s="25" t="n">
        <f aca="false">E614-C614</f>
        <v>35606081.1764705</v>
      </c>
      <c r="H614" s="7" t="str">
        <f aca="false">IF(F614&gt;=0,A614,"")</f>
        <v/>
      </c>
      <c r="I614" s="7" t="n">
        <f aca="false">IF(F614&lt;0,A614,0)</f>
        <v>609</v>
      </c>
      <c r="J614" s="7" t="n">
        <f aca="false">IF(G614&gt;=0,A614,"")</f>
        <v>609</v>
      </c>
      <c r="K614" s="7" t="n">
        <f aca="false">IF(G614&lt;0,A614,0)</f>
        <v>0</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414783600</v>
      </c>
      <c r="D615" s="25" t="n">
        <f aca="false">('Chi phí'!$C$77+'Chi phí'!$D$77*B615+'Chi phí'!$E$77*A615+'Giả định'!$B$15*('Chi phí'!$F$77+'Chi phí'!$G$77*B615+'Chi phí'!$H$77*A615))*(1+'Giả định'!$B$16)</f>
        <v>557728600</v>
      </c>
      <c r="E615" s="25" t="n">
        <f aca="false">A615/'Giả định'!$B$19*'Giả định'!$B$20+A615*'Giả định'!$B$23+'Giả định'!$B$24</f>
        <v>451092436.97479</v>
      </c>
      <c r="F615" s="25" t="n">
        <f aca="false">E615-D615</f>
        <v>-106636163.02521</v>
      </c>
      <c r="G615" s="25" t="n">
        <f aca="false">E615-C615</f>
        <v>36308836.9747899</v>
      </c>
      <c r="H615" s="7" t="str">
        <f aca="false">IF(F615&gt;=0,A615,"")</f>
        <v/>
      </c>
      <c r="I615" s="7" t="n">
        <f aca="false">IF(F615&lt;0,A615,0)</f>
        <v>610</v>
      </c>
      <c r="J615" s="7" t="n">
        <f aca="false">IF(G615&gt;=0,A615,"")</f>
        <v>610</v>
      </c>
      <c r="K615" s="7" t="n">
        <f aca="false">IF(G615&lt;0,A615,0)</f>
        <v>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420205940</v>
      </c>
      <c r="D616" s="25" t="n">
        <f aca="false">('Chi phí'!$C$77+'Chi phí'!$D$77*B616+'Chi phí'!$E$77*A616+'Giả định'!$B$15*('Chi phí'!$F$77+'Chi phí'!$G$77*B616+'Chi phí'!$H$77*A616))*(1+'Giả định'!$B$16)</f>
        <v>563150940</v>
      </c>
      <c r="E616" s="25" t="n">
        <f aca="false">A616/'Giả định'!$B$19*'Giả định'!$B$20+A616*'Giả định'!$B$23+'Giả định'!$B$24</f>
        <v>451831932.773109</v>
      </c>
      <c r="F616" s="25" t="n">
        <f aca="false">E616-D616</f>
        <v>-111319007.226891</v>
      </c>
      <c r="G616" s="25" t="n">
        <f aca="false">E616-C616</f>
        <v>31625992.7731092</v>
      </c>
      <c r="H616" s="7" t="str">
        <f aca="false">IF(F616&gt;=0,A616,"")</f>
        <v/>
      </c>
      <c r="I616" s="7" t="n">
        <f aca="false">IF(F616&lt;0,A616,0)</f>
        <v>611</v>
      </c>
      <c r="J616" s="7" t="n">
        <f aca="false">IF(G616&gt;=0,A616,"")</f>
        <v>611</v>
      </c>
      <c r="K616" s="7" t="n">
        <f aca="false">IF(G616&lt;0,A616,0)</f>
        <v>0</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420242680</v>
      </c>
      <c r="D617" s="25" t="n">
        <f aca="false">('Chi phí'!$C$77+'Chi phí'!$D$77*B617+'Chi phí'!$E$77*A617+'Giả định'!$B$15*('Chi phí'!$F$77+'Chi phí'!$G$77*B617+'Chi phí'!$H$77*A617))*(1+'Giả định'!$B$16)</f>
        <v>563187680</v>
      </c>
      <c r="E617" s="25" t="n">
        <f aca="false">A617/'Giả định'!$B$19*'Giả định'!$B$20+A617*'Giả định'!$B$23+'Giả định'!$B$24</f>
        <v>452571428.571429</v>
      </c>
      <c r="F617" s="25" t="n">
        <f aca="false">E617-D617</f>
        <v>-110616251.428571</v>
      </c>
      <c r="G617" s="25" t="n">
        <f aca="false">E617-C617</f>
        <v>32328748.5714286</v>
      </c>
      <c r="H617" s="7" t="str">
        <f aca="false">IF(F617&gt;=0,A617,"")</f>
        <v/>
      </c>
      <c r="I617" s="7" t="n">
        <f aca="false">IF(F617&lt;0,A617,0)</f>
        <v>612</v>
      </c>
      <c r="J617" s="7" t="n">
        <f aca="false">IF(G617&gt;=0,A617,"")</f>
        <v>612</v>
      </c>
      <c r="K617" s="7" t="n">
        <f aca="false">IF(G617&lt;0,A617,0)</f>
        <v>0</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420279420</v>
      </c>
      <c r="D618" s="25" t="n">
        <f aca="false">('Chi phí'!$C$77+'Chi phí'!$D$77*B618+'Chi phí'!$E$77*A618+'Giả định'!$B$15*('Chi phí'!$F$77+'Chi phí'!$G$77*B618+'Chi phí'!$H$77*A618))*(1+'Giả định'!$B$16)</f>
        <v>563224420</v>
      </c>
      <c r="E618" s="25" t="n">
        <f aca="false">A618/'Giả định'!$B$19*'Giả định'!$B$20+A618*'Giả định'!$B$23+'Giả định'!$B$24</f>
        <v>453310924.369748</v>
      </c>
      <c r="F618" s="25" t="n">
        <f aca="false">E618-D618</f>
        <v>-109913495.630252</v>
      </c>
      <c r="G618" s="25" t="n">
        <f aca="false">E618-C618</f>
        <v>33031504.3697479</v>
      </c>
      <c r="H618" s="7" t="str">
        <f aca="false">IF(F618&gt;=0,A618,"")</f>
        <v/>
      </c>
      <c r="I618" s="7" t="n">
        <f aca="false">IF(F618&lt;0,A618,0)</f>
        <v>613</v>
      </c>
      <c r="J618" s="7" t="n">
        <f aca="false">IF(G618&gt;=0,A618,"")</f>
        <v>613</v>
      </c>
      <c r="K618" s="7" t="n">
        <f aca="false">IF(G618&lt;0,A618,0)</f>
        <v>0</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420316160</v>
      </c>
      <c r="D619" s="25" t="n">
        <f aca="false">('Chi phí'!$C$77+'Chi phí'!$D$77*B619+'Chi phí'!$E$77*A619+'Giả định'!$B$15*('Chi phí'!$F$77+'Chi phí'!$G$77*B619+'Chi phí'!$H$77*A619))*(1+'Giả định'!$B$16)</f>
        <v>563261160</v>
      </c>
      <c r="E619" s="25" t="n">
        <f aca="false">A619/'Giả định'!$B$19*'Giả định'!$B$20+A619*'Giả định'!$B$23+'Giả định'!$B$24</f>
        <v>454050420.168067</v>
      </c>
      <c r="F619" s="25" t="n">
        <f aca="false">E619-D619</f>
        <v>-109210739.831933</v>
      </c>
      <c r="G619" s="25" t="n">
        <f aca="false">E619-C619</f>
        <v>33734260.1680672</v>
      </c>
      <c r="H619" s="7" t="str">
        <f aca="false">IF(F619&gt;=0,A619,"")</f>
        <v/>
      </c>
      <c r="I619" s="7" t="n">
        <f aca="false">IF(F619&lt;0,A619,0)</f>
        <v>614</v>
      </c>
      <c r="J619" s="7" t="n">
        <f aca="false">IF(G619&gt;=0,A619,"")</f>
        <v>614</v>
      </c>
      <c r="K619" s="7" t="n">
        <f aca="false">IF(G619&lt;0,A619,0)</f>
        <v>0</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420352900</v>
      </c>
      <c r="D620" s="25" t="n">
        <f aca="false">('Chi phí'!$C$77+'Chi phí'!$D$77*B620+'Chi phí'!$E$77*A620+'Giả định'!$B$15*('Chi phí'!$F$77+'Chi phí'!$G$77*B620+'Chi phí'!$H$77*A620))*(1+'Giả định'!$B$16)</f>
        <v>563297900</v>
      </c>
      <c r="E620" s="25" t="n">
        <f aca="false">A620/'Giả định'!$B$19*'Giả định'!$B$20+A620*'Giả định'!$B$23+'Giả định'!$B$24</f>
        <v>454789915.966387</v>
      </c>
      <c r="F620" s="25" t="n">
        <f aca="false">E620-D620</f>
        <v>-108507984.033613</v>
      </c>
      <c r="G620" s="25" t="n">
        <f aca="false">E620-C620</f>
        <v>34437015.9663866</v>
      </c>
      <c r="H620" s="7" t="str">
        <f aca="false">IF(F620&gt;=0,A620,"")</f>
        <v/>
      </c>
      <c r="I620" s="7" t="n">
        <f aca="false">IF(F620&lt;0,A620,0)</f>
        <v>615</v>
      </c>
      <c r="J620" s="7" t="n">
        <f aca="false">IF(G620&gt;=0,A620,"")</f>
        <v>615</v>
      </c>
      <c r="K620" s="7" t="n">
        <f aca="false">IF(G620&lt;0,A620,0)</f>
        <v>0</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420389640</v>
      </c>
      <c r="D621" s="25" t="n">
        <f aca="false">('Chi phí'!$C$77+'Chi phí'!$D$77*B621+'Chi phí'!$E$77*A621+'Giả định'!$B$15*('Chi phí'!$F$77+'Chi phí'!$G$77*B621+'Chi phí'!$H$77*A621))*(1+'Giả định'!$B$16)</f>
        <v>563334640</v>
      </c>
      <c r="E621" s="25" t="n">
        <f aca="false">A621/'Giả định'!$B$19*'Giả định'!$B$20+A621*'Giả định'!$B$23+'Giả định'!$B$24</f>
        <v>455529411.764706</v>
      </c>
      <c r="F621" s="25" t="n">
        <f aca="false">E621-D621</f>
        <v>-107805228.235294</v>
      </c>
      <c r="G621" s="25" t="n">
        <f aca="false">E621-C621</f>
        <v>35139771.7647058</v>
      </c>
      <c r="H621" s="7" t="str">
        <f aca="false">IF(F621&gt;=0,A621,"")</f>
        <v/>
      </c>
      <c r="I621" s="7" t="n">
        <f aca="false">IF(F621&lt;0,A621,0)</f>
        <v>616</v>
      </c>
      <c r="J621" s="7" t="n">
        <f aca="false">IF(G621&gt;=0,A621,"")</f>
        <v>616</v>
      </c>
      <c r="K621" s="7" t="n">
        <f aca="false">IF(G621&lt;0,A621,0)</f>
        <v>0</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420426380</v>
      </c>
      <c r="D622" s="25" t="n">
        <f aca="false">('Chi phí'!$C$77+'Chi phí'!$D$77*B622+'Chi phí'!$E$77*A622+'Giả định'!$B$15*('Chi phí'!$F$77+'Chi phí'!$G$77*B622+'Chi phí'!$H$77*A622))*(1+'Giả định'!$B$16)</f>
        <v>563371380</v>
      </c>
      <c r="E622" s="25" t="n">
        <f aca="false">A622/'Giả định'!$B$19*'Giả định'!$B$20+A622*'Giả định'!$B$23+'Giả định'!$B$24</f>
        <v>456268907.563025</v>
      </c>
      <c r="F622" s="25" t="n">
        <f aca="false">E622-D622</f>
        <v>-107102472.436975</v>
      </c>
      <c r="G622" s="25" t="n">
        <f aca="false">E622-C622</f>
        <v>35842527.5630252</v>
      </c>
      <c r="H622" s="7" t="str">
        <f aca="false">IF(F622&gt;=0,A622,"")</f>
        <v/>
      </c>
      <c r="I622" s="7" t="n">
        <f aca="false">IF(F622&lt;0,A622,0)</f>
        <v>617</v>
      </c>
      <c r="J622" s="7" t="n">
        <f aca="false">IF(G622&gt;=0,A622,"")</f>
        <v>617</v>
      </c>
      <c r="K622" s="7" t="n">
        <f aca="false">IF(G622&lt;0,A622,0)</f>
        <v>0</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420463120</v>
      </c>
      <c r="D623" s="25" t="n">
        <f aca="false">('Chi phí'!$C$77+'Chi phí'!$D$77*B623+'Chi phí'!$E$77*A623+'Giả định'!$B$15*('Chi phí'!$F$77+'Chi phí'!$G$77*B623+'Chi phí'!$H$77*A623))*(1+'Giả định'!$B$16)</f>
        <v>563408120</v>
      </c>
      <c r="E623" s="25" t="n">
        <f aca="false">A623/'Giả định'!$B$19*'Giả định'!$B$20+A623*'Giả định'!$B$23+'Giả định'!$B$24</f>
        <v>457008403.361345</v>
      </c>
      <c r="F623" s="25" t="n">
        <f aca="false">E623-D623</f>
        <v>-106399716.638655</v>
      </c>
      <c r="G623" s="25" t="n">
        <f aca="false">E623-C623</f>
        <v>36545283.3613445</v>
      </c>
      <c r="H623" s="7" t="str">
        <f aca="false">IF(F623&gt;=0,A623,"")</f>
        <v/>
      </c>
      <c r="I623" s="7" t="n">
        <f aca="false">IF(F623&lt;0,A623,0)</f>
        <v>618</v>
      </c>
      <c r="J623" s="7" t="n">
        <f aca="false">IF(G623&gt;=0,A623,"")</f>
        <v>618</v>
      </c>
      <c r="K623" s="7" t="n">
        <f aca="false">IF(G623&lt;0,A623,0)</f>
        <v>0</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420499860</v>
      </c>
      <c r="D624" s="25" t="n">
        <f aca="false">('Chi phí'!$C$77+'Chi phí'!$D$77*B624+'Chi phí'!$E$77*A624+'Giả định'!$B$15*('Chi phí'!$F$77+'Chi phí'!$G$77*B624+'Chi phí'!$H$77*A624))*(1+'Giả định'!$B$16)</f>
        <v>563444860</v>
      </c>
      <c r="E624" s="25" t="n">
        <f aca="false">A624/'Giả định'!$B$19*'Giả định'!$B$20+A624*'Giả định'!$B$23+'Giả định'!$B$24</f>
        <v>457747899.159664</v>
      </c>
      <c r="F624" s="25" t="n">
        <f aca="false">E624-D624</f>
        <v>-105696960.840336</v>
      </c>
      <c r="G624" s="25" t="n">
        <f aca="false">E624-C624</f>
        <v>37248039.1596639</v>
      </c>
      <c r="H624" s="7" t="str">
        <f aca="false">IF(F624&gt;=0,A624,"")</f>
        <v/>
      </c>
      <c r="I624" s="7" t="n">
        <f aca="false">IF(F624&lt;0,A624,0)</f>
        <v>619</v>
      </c>
      <c r="J624" s="7" t="n">
        <f aca="false">IF(G624&gt;=0,A624,"")</f>
        <v>619</v>
      </c>
      <c r="K624" s="7" t="n">
        <f aca="false">IF(G624&lt;0,A624,0)</f>
        <v>0</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420536600</v>
      </c>
      <c r="D625" s="25" t="n">
        <f aca="false">('Chi phí'!$C$77+'Chi phí'!$D$77*B625+'Chi phí'!$E$77*A625+'Giả định'!$B$15*('Chi phí'!$F$77+'Chi phí'!$G$77*B625+'Chi phí'!$H$77*A625))*(1+'Giả định'!$B$16)</f>
        <v>563481600</v>
      </c>
      <c r="E625" s="25" t="n">
        <f aca="false">A625/'Giả định'!$B$19*'Giả định'!$B$20+A625*'Giả định'!$B$23+'Giả định'!$B$24</f>
        <v>458487394.957983</v>
      </c>
      <c r="F625" s="25" t="n">
        <f aca="false">E625-D625</f>
        <v>-104994205.042017</v>
      </c>
      <c r="G625" s="25" t="n">
        <f aca="false">E625-C625</f>
        <v>37950794.9579831</v>
      </c>
      <c r="H625" s="7" t="str">
        <f aca="false">IF(F625&gt;=0,A625,"")</f>
        <v/>
      </c>
      <c r="I625" s="7" t="n">
        <f aca="false">IF(F625&lt;0,A625,0)</f>
        <v>620</v>
      </c>
      <c r="J625" s="7" t="n">
        <f aca="false">IF(G625&gt;=0,A625,"")</f>
        <v>620</v>
      </c>
      <c r="K625" s="7" t="n">
        <f aca="false">IF(G625&lt;0,A625,0)</f>
        <v>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425958940</v>
      </c>
      <c r="D626" s="25" t="n">
        <f aca="false">('Chi phí'!$C$77+'Chi phí'!$D$77*B626+'Chi phí'!$E$77*A626+'Giả định'!$B$15*('Chi phí'!$F$77+'Chi phí'!$G$77*B626+'Chi phí'!$H$77*A626))*(1+'Giả định'!$B$16)</f>
        <v>568903940</v>
      </c>
      <c r="E626" s="25" t="n">
        <f aca="false">A626/'Giả định'!$B$19*'Giả định'!$B$20+A626*'Giả định'!$B$23+'Giả định'!$B$24</f>
        <v>459226890.756303</v>
      </c>
      <c r="F626" s="25" t="n">
        <f aca="false">E626-D626</f>
        <v>-109677049.243697</v>
      </c>
      <c r="G626" s="25" t="n">
        <f aca="false">E626-C626</f>
        <v>33267950.7563025</v>
      </c>
      <c r="H626" s="7" t="str">
        <f aca="false">IF(F626&gt;=0,A626,"")</f>
        <v/>
      </c>
      <c r="I626" s="7" t="n">
        <f aca="false">IF(F626&lt;0,A626,0)</f>
        <v>621</v>
      </c>
      <c r="J626" s="7" t="n">
        <f aca="false">IF(G626&gt;=0,A626,"")</f>
        <v>621</v>
      </c>
      <c r="K626" s="7" t="n">
        <f aca="false">IF(G626&lt;0,A626,0)</f>
        <v>0</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425995680</v>
      </c>
      <c r="D627" s="25" t="n">
        <f aca="false">('Chi phí'!$C$77+'Chi phí'!$D$77*B627+'Chi phí'!$E$77*A627+'Giả định'!$B$15*('Chi phí'!$F$77+'Chi phí'!$G$77*B627+'Chi phí'!$H$77*A627))*(1+'Giả định'!$B$16)</f>
        <v>568940680</v>
      </c>
      <c r="E627" s="25" t="n">
        <f aca="false">A627/'Giả định'!$B$19*'Giả định'!$B$20+A627*'Giả định'!$B$23+'Giả định'!$B$24</f>
        <v>459966386.554622</v>
      </c>
      <c r="F627" s="25" t="n">
        <f aca="false">E627-D627</f>
        <v>-108974293.445378</v>
      </c>
      <c r="G627" s="25" t="n">
        <f aca="false">E627-C627</f>
        <v>33970706.5546218</v>
      </c>
      <c r="H627" s="7" t="str">
        <f aca="false">IF(F627&gt;=0,A627,"")</f>
        <v/>
      </c>
      <c r="I627" s="7" t="n">
        <f aca="false">IF(F627&lt;0,A627,0)</f>
        <v>622</v>
      </c>
      <c r="J627" s="7" t="n">
        <f aca="false">IF(G627&gt;=0,A627,"")</f>
        <v>622</v>
      </c>
      <c r="K627" s="7" t="n">
        <f aca="false">IF(G627&lt;0,A627,0)</f>
        <v>0</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426032420</v>
      </c>
      <c r="D628" s="25" t="n">
        <f aca="false">('Chi phí'!$C$77+'Chi phí'!$D$77*B628+'Chi phí'!$E$77*A628+'Giả định'!$B$15*('Chi phí'!$F$77+'Chi phí'!$G$77*B628+'Chi phí'!$H$77*A628))*(1+'Giả định'!$B$16)</f>
        <v>568977420</v>
      </c>
      <c r="E628" s="25" t="n">
        <f aca="false">A628/'Giả định'!$B$19*'Giả định'!$B$20+A628*'Giả định'!$B$23+'Giả định'!$B$24</f>
        <v>460705882.352941</v>
      </c>
      <c r="F628" s="25" t="n">
        <f aca="false">E628-D628</f>
        <v>-108271537.647059</v>
      </c>
      <c r="G628" s="25" t="n">
        <f aca="false">E628-C628</f>
        <v>34673462.3529411</v>
      </c>
      <c r="H628" s="7" t="str">
        <f aca="false">IF(F628&gt;=0,A628,"")</f>
        <v/>
      </c>
      <c r="I628" s="7" t="n">
        <f aca="false">IF(F628&lt;0,A628,0)</f>
        <v>623</v>
      </c>
      <c r="J628" s="7" t="n">
        <f aca="false">IF(G628&gt;=0,A628,"")</f>
        <v>623</v>
      </c>
      <c r="K628" s="7" t="n">
        <f aca="false">IF(G628&lt;0,A628,0)</f>
        <v>0</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426069160</v>
      </c>
      <c r="D629" s="25" t="n">
        <f aca="false">('Chi phí'!$C$77+'Chi phí'!$D$77*B629+'Chi phí'!$E$77*A629+'Giả định'!$B$15*('Chi phí'!$F$77+'Chi phí'!$G$77*B629+'Chi phí'!$H$77*A629))*(1+'Giả định'!$B$16)</f>
        <v>569014160</v>
      </c>
      <c r="E629" s="25" t="n">
        <f aca="false">A629/'Giả định'!$B$19*'Giả định'!$B$20+A629*'Giả định'!$B$23+'Giả định'!$B$24</f>
        <v>461445378.151261</v>
      </c>
      <c r="F629" s="25" t="n">
        <f aca="false">E629-D629</f>
        <v>-107568781.848739</v>
      </c>
      <c r="G629" s="25" t="n">
        <f aca="false">E629-C629</f>
        <v>35376218.1512605</v>
      </c>
      <c r="H629" s="7" t="str">
        <f aca="false">IF(F629&gt;=0,A629,"")</f>
        <v/>
      </c>
      <c r="I629" s="7" t="n">
        <f aca="false">IF(F629&lt;0,A629,0)</f>
        <v>624</v>
      </c>
      <c r="J629" s="7" t="n">
        <f aca="false">IF(G629&gt;=0,A629,"")</f>
        <v>624</v>
      </c>
      <c r="K629" s="7" t="n">
        <f aca="false">IF(G629&lt;0,A629,0)</f>
        <v>0</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426105900</v>
      </c>
      <c r="D630" s="25" t="n">
        <f aca="false">('Chi phí'!$C$77+'Chi phí'!$D$77*B630+'Chi phí'!$E$77*A630+'Giả định'!$B$15*('Chi phí'!$F$77+'Chi phí'!$G$77*B630+'Chi phí'!$H$77*A630))*(1+'Giả định'!$B$16)</f>
        <v>569050900</v>
      </c>
      <c r="E630" s="25" t="n">
        <f aca="false">A630/'Giả định'!$B$19*'Giả định'!$B$20+A630*'Giả định'!$B$23+'Giả định'!$B$24</f>
        <v>462184873.94958</v>
      </c>
      <c r="F630" s="25" t="n">
        <f aca="false">E630-D630</f>
        <v>-106866026.05042</v>
      </c>
      <c r="G630" s="25" t="n">
        <f aca="false">E630-C630</f>
        <v>36078973.9495798</v>
      </c>
      <c r="H630" s="7" t="str">
        <f aca="false">IF(F630&gt;=0,A630,"")</f>
        <v/>
      </c>
      <c r="I630" s="7" t="n">
        <f aca="false">IF(F630&lt;0,A630,0)</f>
        <v>625</v>
      </c>
      <c r="J630" s="7" t="n">
        <f aca="false">IF(G630&gt;=0,A630,"")</f>
        <v>625</v>
      </c>
      <c r="K630" s="7" t="n">
        <f aca="false">IF(G630&lt;0,A630,0)</f>
        <v>0</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426142640</v>
      </c>
      <c r="D631" s="25" t="n">
        <f aca="false">('Chi phí'!$C$77+'Chi phí'!$D$77*B631+'Chi phí'!$E$77*A631+'Giả định'!$B$15*('Chi phí'!$F$77+'Chi phí'!$G$77*B631+'Chi phí'!$H$77*A631))*(1+'Giả định'!$B$16)</f>
        <v>569087640</v>
      </c>
      <c r="E631" s="25" t="n">
        <f aca="false">A631/'Giả định'!$B$19*'Giả định'!$B$20+A631*'Giả định'!$B$23+'Giả định'!$B$24</f>
        <v>462924369.747899</v>
      </c>
      <c r="F631" s="25" t="n">
        <f aca="false">E631-D631</f>
        <v>-106163270.252101</v>
      </c>
      <c r="G631" s="25" t="n">
        <f aca="false">E631-C631</f>
        <v>36781729.7478992</v>
      </c>
      <c r="H631" s="7" t="str">
        <f aca="false">IF(F631&gt;=0,A631,"")</f>
        <v/>
      </c>
      <c r="I631" s="7" t="n">
        <f aca="false">IF(F631&lt;0,A631,0)</f>
        <v>626</v>
      </c>
      <c r="J631" s="7" t="n">
        <f aca="false">IF(G631&gt;=0,A631,"")</f>
        <v>626</v>
      </c>
      <c r="K631" s="7" t="n">
        <f aca="false">IF(G631&lt;0,A631,0)</f>
        <v>0</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426179380</v>
      </c>
      <c r="D632" s="25" t="n">
        <f aca="false">('Chi phí'!$C$77+'Chi phí'!$D$77*B632+'Chi phí'!$E$77*A632+'Giả định'!$B$15*('Chi phí'!$F$77+'Chi phí'!$G$77*B632+'Chi phí'!$H$77*A632))*(1+'Giả định'!$B$16)</f>
        <v>569124380</v>
      </c>
      <c r="E632" s="25" t="n">
        <f aca="false">A632/'Giả định'!$B$19*'Giả định'!$B$20+A632*'Giả định'!$B$23+'Giả định'!$B$24</f>
        <v>463663865.546219</v>
      </c>
      <c r="F632" s="25" t="n">
        <f aca="false">E632-D632</f>
        <v>-105460514.453781</v>
      </c>
      <c r="G632" s="25" t="n">
        <f aca="false">E632-C632</f>
        <v>37484485.5462185</v>
      </c>
      <c r="H632" s="7" t="str">
        <f aca="false">IF(F632&gt;=0,A632,"")</f>
        <v/>
      </c>
      <c r="I632" s="7" t="n">
        <f aca="false">IF(F632&lt;0,A632,0)</f>
        <v>627</v>
      </c>
      <c r="J632" s="7" t="n">
        <f aca="false">IF(G632&gt;=0,A632,"")</f>
        <v>627</v>
      </c>
      <c r="K632" s="7" t="n">
        <f aca="false">IF(G632&lt;0,A632,0)</f>
        <v>0</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426216120</v>
      </c>
      <c r="D633" s="25" t="n">
        <f aca="false">('Chi phí'!$C$77+'Chi phí'!$D$77*B633+'Chi phí'!$E$77*A633+'Giả định'!$B$15*('Chi phí'!$F$77+'Chi phí'!$G$77*B633+'Chi phí'!$H$77*A633))*(1+'Giả định'!$B$16)</f>
        <v>569161120</v>
      </c>
      <c r="E633" s="25" t="n">
        <f aca="false">A633/'Giả định'!$B$19*'Giả định'!$B$20+A633*'Giả định'!$B$23+'Giả định'!$B$24</f>
        <v>464403361.344538</v>
      </c>
      <c r="F633" s="25" t="n">
        <f aca="false">E633-D633</f>
        <v>-104757758.655462</v>
      </c>
      <c r="G633" s="25" t="n">
        <f aca="false">E633-C633</f>
        <v>38187241.3445378</v>
      </c>
      <c r="H633" s="7" t="str">
        <f aca="false">IF(F633&gt;=0,A633,"")</f>
        <v/>
      </c>
      <c r="I633" s="7" t="n">
        <f aca="false">IF(F633&lt;0,A633,0)</f>
        <v>628</v>
      </c>
      <c r="J633" s="7" t="n">
        <f aca="false">IF(G633&gt;=0,A633,"")</f>
        <v>628</v>
      </c>
      <c r="K633" s="7" t="n">
        <f aca="false">IF(G633&lt;0,A633,0)</f>
        <v>0</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426252860</v>
      </c>
      <c r="D634" s="25" t="n">
        <f aca="false">('Chi phí'!$C$77+'Chi phí'!$D$77*B634+'Chi phí'!$E$77*A634+'Giả định'!$B$15*('Chi phí'!$F$77+'Chi phí'!$G$77*B634+'Chi phí'!$H$77*A634))*(1+'Giả định'!$B$16)</f>
        <v>569197860</v>
      </c>
      <c r="E634" s="25" t="n">
        <f aca="false">A634/'Giả định'!$B$19*'Giả định'!$B$20+A634*'Giả định'!$B$23+'Giả định'!$B$24</f>
        <v>465142857.142857</v>
      </c>
      <c r="F634" s="25" t="n">
        <f aca="false">E634-D634</f>
        <v>-104055002.857143</v>
      </c>
      <c r="G634" s="25" t="n">
        <f aca="false">E634-C634</f>
        <v>38889997.1428571</v>
      </c>
      <c r="H634" s="7" t="str">
        <f aca="false">IF(F634&gt;=0,A634,"")</f>
        <v/>
      </c>
      <c r="I634" s="7" t="n">
        <f aca="false">IF(F634&lt;0,A634,0)</f>
        <v>629</v>
      </c>
      <c r="J634" s="7" t="n">
        <f aca="false">IF(G634&gt;=0,A634,"")</f>
        <v>629</v>
      </c>
      <c r="K634" s="7" t="n">
        <f aca="false">IF(G634&lt;0,A634,0)</f>
        <v>0</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426289600</v>
      </c>
      <c r="D635" s="25" t="n">
        <f aca="false">('Chi phí'!$C$77+'Chi phí'!$D$77*B635+'Chi phí'!$E$77*A635+'Giả định'!$B$15*('Chi phí'!$F$77+'Chi phí'!$G$77*B635+'Chi phí'!$H$77*A635))*(1+'Giả định'!$B$16)</f>
        <v>569234600</v>
      </c>
      <c r="E635" s="25" t="n">
        <f aca="false">A635/'Giả định'!$B$19*'Giả định'!$B$20+A635*'Giả định'!$B$23+'Giả định'!$B$24</f>
        <v>465882352.941177</v>
      </c>
      <c r="F635" s="25" t="n">
        <f aca="false">E635-D635</f>
        <v>-103352247.058823</v>
      </c>
      <c r="G635" s="25" t="n">
        <f aca="false">E635-C635</f>
        <v>39592752.9411765</v>
      </c>
      <c r="H635" s="7" t="str">
        <f aca="false">IF(F635&gt;=0,A635,"")</f>
        <v/>
      </c>
      <c r="I635" s="7" t="n">
        <f aca="false">IF(F635&lt;0,A635,0)</f>
        <v>630</v>
      </c>
      <c r="J635" s="7" t="n">
        <f aca="false">IF(G635&gt;=0,A635,"")</f>
        <v>630</v>
      </c>
      <c r="K635" s="7" t="n">
        <f aca="false">IF(G635&lt;0,A635,0)</f>
        <v>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431711940</v>
      </c>
      <c r="D636" s="25" t="n">
        <f aca="false">('Chi phí'!$C$77+'Chi phí'!$D$77*B636+'Chi phí'!$E$77*A636+'Giả định'!$B$15*('Chi phí'!$F$77+'Chi phí'!$G$77*B636+'Chi phí'!$H$77*A636))*(1+'Giả định'!$B$16)</f>
        <v>574656940</v>
      </c>
      <c r="E636" s="25" t="n">
        <f aca="false">A636/'Giả định'!$B$19*'Giả định'!$B$20+A636*'Giả định'!$B$23+'Giả định'!$B$24</f>
        <v>466621848.739496</v>
      </c>
      <c r="F636" s="25" t="n">
        <f aca="false">E636-D636</f>
        <v>-108035091.260504</v>
      </c>
      <c r="G636" s="25" t="n">
        <f aca="false">E636-C636</f>
        <v>34909908.7394958</v>
      </c>
      <c r="H636" s="7" t="str">
        <f aca="false">IF(F636&gt;=0,A636,"")</f>
        <v/>
      </c>
      <c r="I636" s="7" t="n">
        <f aca="false">IF(F636&lt;0,A636,0)</f>
        <v>631</v>
      </c>
      <c r="J636" s="7" t="n">
        <f aca="false">IF(G636&gt;=0,A636,"")</f>
        <v>631</v>
      </c>
      <c r="K636" s="7" t="n">
        <f aca="false">IF(G636&lt;0,A636,0)</f>
        <v>0</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431748680</v>
      </c>
      <c r="D637" s="25" t="n">
        <f aca="false">('Chi phí'!$C$77+'Chi phí'!$D$77*B637+'Chi phí'!$E$77*A637+'Giả định'!$B$15*('Chi phí'!$F$77+'Chi phí'!$G$77*B637+'Chi phí'!$H$77*A637))*(1+'Giả định'!$B$16)</f>
        <v>574693680</v>
      </c>
      <c r="E637" s="25" t="n">
        <f aca="false">A637/'Giả định'!$B$19*'Giả định'!$B$20+A637*'Giả định'!$B$23+'Giả định'!$B$24</f>
        <v>467361344.537815</v>
      </c>
      <c r="F637" s="25" t="n">
        <f aca="false">E637-D637</f>
        <v>-107332335.462185</v>
      </c>
      <c r="G637" s="25" t="n">
        <f aca="false">E637-C637</f>
        <v>35612664.5378151</v>
      </c>
      <c r="H637" s="7" t="str">
        <f aca="false">IF(F637&gt;=0,A637,"")</f>
        <v/>
      </c>
      <c r="I637" s="7" t="n">
        <f aca="false">IF(F637&lt;0,A637,0)</f>
        <v>632</v>
      </c>
      <c r="J637" s="7" t="n">
        <f aca="false">IF(G637&gt;=0,A637,"")</f>
        <v>632</v>
      </c>
      <c r="K637" s="7" t="n">
        <f aca="false">IF(G637&lt;0,A637,0)</f>
        <v>0</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431785420</v>
      </c>
      <c r="D638" s="25" t="n">
        <f aca="false">('Chi phí'!$C$77+'Chi phí'!$D$77*B638+'Chi phí'!$E$77*A638+'Giả định'!$B$15*('Chi phí'!$F$77+'Chi phí'!$G$77*B638+'Chi phí'!$H$77*A638))*(1+'Giả định'!$B$16)</f>
        <v>574730420</v>
      </c>
      <c r="E638" s="25" t="n">
        <f aca="false">A638/'Giả định'!$B$19*'Giả định'!$B$20+A638*'Giả định'!$B$23+'Giả định'!$B$24</f>
        <v>468100840.336135</v>
      </c>
      <c r="F638" s="25" t="n">
        <f aca="false">E638-D638</f>
        <v>-106629579.663866</v>
      </c>
      <c r="G638" s="25" t="n">
        <f aca="false">E638-C638</f>
        <v>36315420.3361344</v>
      </c>
      <c r="H638" s="7" t="str">
        <f aca="false">IF(F638&gt;=0,A638,"")</f>
        <v/>
      </c>
      <c r="I638" s="7" t="n">
        <f aca="false">IF(F638&lt;0,A638,0)</f>
        <v>633</v>
      </c>
      <c r="J638" s="7" t="n">
        <f aca="false">IF(G638&gt;=0,A638,"")</f>
        <v>633</v>
      </c>
      <c r="K638" s="7" t="n">
        <f aca="false">IF(G638&lt;0,A638,0)</f>
        <v>0</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431822160</v>
      </c>
      <c r="D639" s="25" t="n">
        <f aca="false">('Chi phí'!$C$77+'Chi phí'!$D$77*B639+'Chi phí'!$E$77*A639+'Giả định'!$B$15*('Chi phí'!$F$77+'Chi phí'!$G$77*B639+'Chi phí'!$H$77*A639))*(1+'Giả định'!$B$16)</f>
        <v>574767160</v>
      </c>
      <c r="E639" s="25" t="n">
        <f aca="false">A639/'Giả định'!$B$19*'Giả định'!$B$20+A639*'Giả định'!$B$23+'Giả định'!$B$24</f>
        <v>468840336.134454</v>
      </c>
      <c r="F639" s="25" t="n">
        <f aca="false">E639-D639</f>
        <v>-105926823.865546</v>
      </c>
      <c r="G639" s="25" t="n">
        <f aca="false">E639-C639</f>
        <v>37018176.1344537</v>
      </c>
      <c r="H639" s="7" t="str">
        <f aca="false">IF(F639&gt;=0,A639,"")</f>
        <v/>
      </c>
      <c r="I639" s="7" t="n">
        <f aca="false">IF(F639&lt;0,A639,0)</f>
        <v>634</v>
      </c>
      <c r="J639" s="7" t="n">
        <f aca="false">IF(G639&gt;=0,A639,"")</f>
        <v>634</v>
      </c>
      <c r="K639" s="7" t="n">
        <f aca="false">IF(G639&lt;0,A639,0)</f>
        <v>0</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431858900</v>
      </c>
      <c r="D640" s="25" t="n">
        <f aca="false">('Chi phí'!$C$77+'Chi phí'!$D$77*B640+'Chi phí'!$E$77*A640+'Giả định'!$B$15*('Chi phí'!$F$77+'Chi phí'!$G$77*B640+'Chi phí'!$H$77*A640))*(1+'Giả định'!$B$16)</f>
        <v>574803900</v>
      </c>
      <c r="E640" s="25" t="n">
        <f aca="false">A640/'Giả định'!$B$19*'Giả định'!$B$20+A640*'Giả định'!$B$23+'Giả định'!$B$24</f>
        <v>469579831.932773</v>
      </c>
      <c r="F640" s="25" t="n">
        <f aca="false">E640-D640</f>
        <v>-105224068.067227</v>
      </c>
      <c r="G640" s="25" t="n">
        <f aca="false">E640-C640</f>
        <v>37720931.9327731</v>
      </c>
      <c r="H640" s="7" t="str">
        <f aca="false">IF(F640&gt;=0,A640,"")</f>
        <v/>
      </c>
      <c r="I640" s="7" t="n">
        <f aca="false">IF(F640&lt;0,A640,0)</f>
        <v>635</v>
      </c>
      <c r="J640" s="7" t="n">
        <f aca="false">IF(G640&gt;=0,A640,"")</f>
        <v>635</v>
      </c>
      <c r="K640" s="7" t="n">
        <f aca="false">IF(G640&lt;0,A640,0)</f>
        <v>0</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431895640</v>
      </c>
      <c r="D641" s="25" t="n">
        <f aca="false">('Chi phí'!$C$77+'Chi phí'!$D$77*B641+'Chi phí'!$E$77*A641+'Giả định'!$B$15*('Chi phí'!$F$77+'Chi phí'!$G$77*B641+'Chi phí'!$H$77*A641))*(1+'Giả định'!$B$16)</f>
        <v>574840640</v>
      </c>
      <c r="E641" s="25" t="n">
        <f aca="false">A641/'Giả định'!$B$19*'Giả định'!$B$20+A641*'Giả định'!$B$23+'Giả định'!$B$24</f>
        <v>470319327.731093</v>
      </c>
      <c r="F641" s="25" t="n">
        <f aca="false">E641-D641</f>
        <v>-104521312.268907</v>
      </c>
      <c r="G641" s="25" t="n">
        <f aca="false">E641-C641</f>
        <v>38423687.7310925</v>
      </c>
      <c r="H641" s="7" t="str">
        <f aca="false">IF(F641&gt;=0,A641,"")</f>
        <v/>
      </c>
      <c r="I641" s="7" t="n">
        <f aca="false">IF(F641&lt;0,A641,0)</f>
        <v>636</v>
      </c>
      <c r="J641" s="7" t="n">
        <f aca="false">IF(G641&gt;=0,A641,"")</f>
        <v>636</v>
      </c>
      <c r="K641" s="7" t="n">
        <f aca="false">IF(G641&lt;0,A641,0)</f>
        <v>0</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431932380</v>
      </c>
      <c r="D642" s="25" t="n">
        <f aca="false">('Chi phí'!$C$77+'Chi phí'!$D$77*B642+'Chi phí'!$E$77*A642+'Giả định'!$B$15*('Chi phí'!$F$77+'Chi phí'!$G$77*B642+'Chi phí'!$H$77*A642))*(1+'Giả định'!$B$16)</f>
        <v>574877380</v>
      </c>
      <c r="E642" s="25" t="n">
        <f aca="false">A642/'Giả định'!$B$19*'Giả định'!$B$20+A642*'Giả định'!$B$23+'Giả định'!$B$24</f>
        <v>471058823.529412</v>
      </c>
      <c r="F642" s="25" t="n">
        <f aca="false">E642-D642</f>
        <v>-103818556.470588</v>
      </c>
      <c r="G642" s="25" t="n">
        <f aca="false">E642-C642</f>
        <v>39126443.5294118</v>
      </c>
      <c r="H642" s="7" t="str">
        <f aca="false">IF(F642&gt;=0,A642,"")</f>
        <v/>
      </c>
      <c r="I642" s="7" t="n">
        <f aca="false">IF(F642&lt;0,A642,0)</f>
        <v>637</v>
      </c>
      <c r="J642" s="7" t="n">
        <f aca="false">IF(G642&gt;=0,A642,"")</f>
        <v>637</v>
      </c>
      <c r="K642" s="7" t="n">
        <f aca="false">IF(G642&lt;0,A642,0)</f>
        <v>0</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431969120</v>
      </c>
      <c r="D643" s="25" t="n">
        <f aca="false">('Chi phí'!$C$77+'Chi phí'!$D$77*B643+'Chi phí'!$E$77*A643+'Giả định'!$B$15*('Chi phí'!$F$77+'Chi phí'!$G$77*B643+'Chi phí'!$H$77*A643))*(1+'Giả định'!$B$16)</f>
        <v>574914120</v>
      </c>
      <c r="E643" s="25" t="n">
        <f aca="false">A643/'Giả định'!$B$19*'Giả định'!$B$20+A643*'Giả định'!$B$23+'Giả định'!$B$24</f>
        <v>471798319.327731</v>
      </c>
      <c r="F643" s="25" t="n">
        <f aca="false">E643-D643</f>
        <v>-103115800.672269</v>
      </c>
      <c r="G643" s="25" t="n">
        <f aca="false">E643-C643</f>
        <v>39829199.3277311</v>
      </c>
      <c r="H643" s="7" t="str">
        <f aca="false">IF(F643&gt;=0,A643,"")</f>
        <v/>
      </c>
      <c r="I643" s="7" t="n">
        <f aca="false">IF(F643&lt;0,A643,0)</f>
        <v>638</v>
      </c>
      <c r="J643" s="7" t="n">
        <f aca="false">IF(G643&gt;=0,A643,"")</f>
        <v>638</v>
      </c>
      <c r="K643" s="7" t="n">
        <f aca="false">IF(G643&lt;0,A643,0)</f>
        <v>0</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432005860</v>
      </c>
      <c r="D644" s="25" t="n">
        <f aca="false">('Chi phí'!$C$77+'Chi phí'!$D$77*B644+'Chi phí'!$E$77*A644+'Giả định'!$B$15*('Chi phí'!$F$77+'Chi phí'!$G$77*B644+'Chi phí'!$H$77*A644))*(1+'Giả định'!$B$16)</f>
        <v>574950860</v>
      </c>
      <c r="E644" s="25" t="n">
        <f aca="false">A644/'Giả định'!$B$19*'Giả định'!$B$20+A644*'Giả định'!$B$23+'Giả định'!$B$24</f>
        <v>472537815.126051</v>
      </c>
      <c r="F644" s="25" t="n">
        <f aca="false">E644-D644</f>
        <v>-102413044.87395</v>
      </c>
      <c r="G644" s="25" t="n">
        <f aca="false">E644-C644</f>
        <v>40531955.1260504</v>
      </c>
      <c r="H644" s="7" t="str">
        <f aca="false">IF(F644&gt;=0,A644,"")</f>
        <v/>
      </c>
      <c r="I644" s="7" t="n">
        <f aca="false">IF(F644&lt;0,A644,0)</f>
        <v>639</v>
      </c>
      <c r="J644" s="7" t="n">
        <f aca="false">IF(G644&gt;=0,A644,"")</f>
        <v>639</v>
      </c>
      <c r="K644" s="7" t="n">
        <f aca="false">IF(G644&lt;0,A644,0)</f>
        <v>0</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432042600</v>
      </c>
      <c r="D645" s="25" t="n">
        <f aca="false">('Chi phí'!$C$77+'Chi phí'!$D$77*B645+'Chi phí'!$E$77*A645+'Giả định'!$B$15*('Chi phí'!$F$77+'Chi phí'!$G$77*B645+'Chi phí'!$H$77*A645))*(1+'Giả định'!$B$16)</f>
        <v>574987600</v>
      </c>
      <c r="E645" s="25" t="n">
        <f aca="false">A645/'Giả định'!$B$19*'Giả định'!$B$20+A645*'Giả định'!$B$23+'Giả định'!$B$24</f>
        <v>473277310.92437</v>
      </c>
      <c r="F645" s="25" t="n">
        <f aca="false">E645-D645</f>
        <v>-101710289.07563</v>
      </c>
      <c r="G645" s="25" t="n">
        <f aca="false">E645-C645</f>
        <v>41234710.9243698</v>
      </c>
      <c r="H645" s="7" t="str">
        <f aca="false">IF(F645&gt;=0,A645,"")</f>
        <v/>
      </c>
      <c r="I645" s="7" t="n">
        <f aca="false">IF(F645&lt;0,A645,0)</f>
        <v>640</v>
      </c>
      <c r="J645" s="7" t="n">
        <f aca="false">IF(G645&gt;=0,A645,"")</f>
        <v>640</v>
      </c>
      <c r="K645" s="7" t="n">
        <f aca="false">IF(G645&lt;0,A645,0)</f>
        <v>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437464940</v>
      </c>
      <c r="D646" s="25" t="n">
        <f aca="false">('Chi phí'!$C$77+'Chi phí'!$D$77*B646+'Chi phí'!$E$77*A646+'Giả định'!$B$15*('Chi phí'!$F$77+'Chi phí'!$G$77*B646+'Chi phí'!$H$77*A646))*(1+'Giả định'!$B$16)</f>
        <v>580409940</v>
      </c>
      <c r="E646" s="25" t="n">
        <f aca="false">A646/'Giả định'!$B$19*'Giả định'!$B$20+A646*'Giả định'!$B$23+'Giả định'!$B$24</f>
        <v>474016806.722689</v>
      </c>
      <c r="F646" s="25" t="n">
        <f aca="false">E646-D646</f>
        <v>-106393133.277311</v>
      </c>
      <c r="G646" s="25" t="n">
        <f aca="false">E646-C646</f>
        <v>36551866.722689</v>
      </c>
      <c r="H646" s="7" t="str">
        <f aca="false">IF(F646&gt;=0,A646,"")</f>
        <v/>
      </c>
      <c r="I646" s="7" t="n">
        <f aca="false">IF(F646&lt;0,A646,0)</f>
        <v>641</v>
      </c>
      <c r="J646" s="7" t="n">
        <f aca="false">IF(G646&gt;=0,A646,"")</f>
        <v>641</v>
      </c>
      <c r="K646" s="7" t="n">
        <f aca="false">IF(G646&lt;0,A646,0)</f>
        <v>0</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437501680</v>
      </c>
      <c r="D647" s="25" t="n">
        <f aca="false">('Chi phí'!$C$77+'Chi phí'!$D$77*B647+'Chi phí'!$E$77*A647+'Giả định'!$B$15*('Chi phí'!$F$77+'Chi phí'!$G$77*B647+'Chi phí'!$H$77*A647))*(1+'Giả định'!$B$16)</f>
        <v>580446680</v>
      </c>
      <c r="E647" s="25" t="n">
        <f aca="false">A647/'Giả định'!$B$19*'Giả định'!$B$20+A647*'Giả định'!$B$23+'Giả định'!$B$24</f>
        <v>474756302.521008</v>
      </c>
      <c r="F647" s="25" t="n">
        <f aca="false">E647-D647</f>
        <v>-105690377.478992</v>
      </c>
      <c r="G647" s="25" t="n">
        <f aca="false">E647-C647</f>
        <v>37254622.5210084</v>
      </c>
      <c r="H647" s="7" t="str">
        <f aca="false">IF(F647&gt;=0,A647,"")</f>
        <v/>
      </c>
      <c r="I647" s="7" t="n">
        <f aca="false">IF(F647&lt;0,A647,0)</f>
        <v>642</v>
      </c>
      <c r="J647" s="7" t="n">
        <f aca="false">IF(G647&gt;=0,A647,"")</f>
        <v>642</v>
      </c>
      <c r="K647" s="7" t="n">
        <f aca="false">IF(G647&lt;0,A647,0)</f>
        <v>0</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437538420</v>
      </c>
      <c r="D648" s="25" t="n">
        <f aca="false">('Chi phí'!$C$77+'Chi phí'!$D$77*B648+'Chi phí'!$E$77*A648+'Giả định'!$B$15*('Chi phí'!$F$77+'Chi phí'!$G$77*B648+'Chi phí'!$H$77*A648))*(1+'Giả định'!$B$16)</f>
        <v>580483420</v>
      </c>
      <c r="E648" s="25" t="n">
        <f aca="false">A648/'Giả định'!$B$19*'Giả định'!$B$20+A648*'Giả định'!$B$23+'Giả định'!$B$24</f>
        <v>475495798.319328</v>
      </c>
      <c r="F648" s="25" t="n">
        <f aca="false">E648-D648</f>
        <v>-104987621.680672</v>
      </c>
      <c r="G648" s="25" t="n">
        <f aca="false">E648-C648</f>
        <v>37957378.3193277</v>
      </c>
      <c r="H648" s="7" t="str">
        <f aca="false">IF(F648&gt;=0,A648,"")</f>
        <v/>
      </c>
      <c r="I648" s="7" t="n">
        <f aca="false">IF(F648&lt;0,A648,0)</f>
        <v>643</v>
      </c>
      <c r="J648" s="7" t="n">
        <f aca="false">IF(G648&gt;=0,A648,"")</f>
        <v>643</v>
      </c>
      <c r="K648" s="7" t="n">
        <f aca="false">IF(G648&lt;0,A648,0)</f>
        <v>0</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437575160</v>
      </c>
      <c r="D649" s="25" t="n">
        <f aca="false">('Chi phí'!$C$77+'Chi phí'!$D$77*B649+'Chi phí'!$E$77*A649+'Giả định'!$B$15*('Chi phí'!$F$77+'Chi phí'!$G$77*B649+'Chi phí'!$H$77*A649))*(1+'Giả định'!$B$16)</f>
        <v>580520160</v>
      </c>
      <c r="E649" s="25" t="n">
        <f aca="false">A649/'Giả định'!$B$19*'Giả định'!$B$20+A649*'Giả định'!$B$23+'Giả định'!$B$24</f>
        <v>476235294.117647</v>
      </c>
      <c r="F649" s="25" t="n">
        <f aca="false">E649-D649</f>
        <v>-104284865.882353</v>
      </c>
      <c r="G649" s="25" t="n">
        <f aca="false">E649-C649</f>
        <v>38660134.1176471</v>
      </c>
      <c r="H649" s="7" t="str">
        <f aca="false">IF(F649&gt;=0,A649,"")</f>
        <v/>
      </c>
      <c r="I649" s="7" t="n">
        <f aca="false">IF(F649&lt;0,A649,0)</f>
        <v>644</v>
      </c>
      <c r="J649" s="7" t="n">
        <f aca="false">IF(G649&gt;=0,A649,"")</f>
        <v>644</v>
      </c>
      <c r="K649" s="7" t="n">
        <f aca="false">IF(G649&lt;0,A649,0)</f>
        <v>0</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437611900</v>
      </c>
      <c r="D650" s="25" t="n">
        <f aca="false">('Chi phí'!$C$77+'Chi phí'!$D$77*B650+'Chi phí'!$E$77*A650+'Giả định'!$B$15*('Chi phí'!$F$77+'Chi phí'!$G$77*B650+'Chi phí'!$H$77*A650))*(1+'Giả định'!$B$16)</f>
        <v>580556900</v>
      </c>
      <c r="E650" s="25" t="n">
        <f aca="false">A650/'Giả định'!$B$19*'Giả định'!$B$20+A650*'Giả định'!$B$23+'Giả định'!$B$24</f>
        <v>476974789.915966</v>
      </c>
      <c r="F650" s="25" t="n">
        <f aca="false">E650-D650</f>
        <v>-103582110.084034</v>
      </c>
      <c r="G650" s="25" t="n">
        <f aca="false">E650-C650</f>
        <v>39362889.9159663</v>
      </c>
      <c r="H650" s="7" t="str">
        <f aca="false">IF(F650&gt;=0,A650,"")</f>
        <v/>
      </c>
      <c r="I650" s="7" t="n">
        <f aca="false">IF(F650&lt;0,A650,0)</f>
        <v>645</v>
      </c>
      <c r="J650" s="7" t="n">
        <f aca="false">IF(G650&gt;=0,A650,"")</f>
        <v>645</v>
      </c>
      <c r="K650" s="7" t="n">
        <f aca="false">IF(G650&lt;0,A650,0)</f>
        <v>0</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437648640</v>
      </c>
      <c r="D651" s="25" t="n">
        <f aca="false">('Chi phí'!$C$77+'Chi phí'!$D$77*B651+'Chi phí'!$E$77*A651+'Giả định'!$B$15*('Chi phí'!$F$77+'Chi phí'!$G$77*B651+'Chi phí'!$H$77*A651))*(1+'Giả định'!$B$16)</f>
        <v>580593640</v>
      </c>
      <c r="E651" s="25" t="n">
        <f aca="false">A651/'Giả định'!$B$19*'Giả định'!$B$20+A651*'Giả định'!$B$23+'Giả định'!$B$24</f>
        <v>477714285.714286</v>
      </c>
      <c r="F651" s="25" t="n">
        <f aca="false">E651-D651</f>
        <v>-102879354.285714</v>
      </c>
      <c r="G651" s="25" t="n">
        <f aca="false">E651-C651</f>
        <v>40065645.7142857</v>
      </c>
      <c r="H651" s="7" t="str">
        <f aca="false">IF(F651&gt;=0,A651,"")</f>
        <v/>
      </c>
      <c r="I651" s="7" t="n">
        <f aca="false">IF(F651&lt;0,A651,0)</f>
        <v>646</v>
      </c>
      <c r="J651" s="7" t="n">
        <f aca="false">IF(G651&gt;=0,A651,"")</f>
        <v>646</v>
      </c>
      <c r="K651" s="7" t="n">
        <f aca="false">IF(G651&lt;0,A651,0)</f>
        <v>0</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437685380</v>
      </c>
      <c r="D652" s="25" t="n">
        <f aca="false">('Chi phí'!$C$77+'Chi phí'!$D$77*B652+'Chi phí'!$E$77*A652+'Giả định'!$B$15*('Chi phí'!$F$77+'Chi phí'!$G$77*B652+'Chi phí'!$H$77*A652))*(1+'Giả định'!$B$16)</f>
        <v>580630380</v>
      </c>
      <c r="E652" s="25" t="n">
        <f aca="false">A652/'Giả định'!$B$19*'Giả định'!$B$20+A652*'Giả định'!$B$23+'Giả định'!$B$24</f>
        <v>478453781.512605</v>
      </c>
      <c r="F652" s="25" t="n">
        <f aca="false">E652-D652</f>
        <v>-102176598.487395</v>
      </c>
      <c r="G652" s="25" t="n">
        <f aca="false">E652-C652</f>
        <v>40768401.512605</v>
      </c>
      <c r="H652" s="7" t="str">
        <f aca="false">IF(F652&gt;=0,A652,"")</f>
        <v/>
      </c>
      <c r="I652" s="7" t="n">
        <f aca="false">IF(F652&lt;0,A652,0)</f>
        <v>647</v>
      </c>
      <c r="J652" s="7" t="n">
        <f aca="false">IF(G652&gt;=0,A652,"")</f>
        <v>647</v>
      </c>
      <c r="K652" s="7" t="n">
        <f aca="false">IF(G652&lt;0,A652,0)</f>
        <v>0</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437722120</v>
      </c>
      <c r="D653" s="25" t="n">
        <f aca="false">('Chi phí'!$C$77+'Chi phí'!$D$77*B653+'Chi phí'!$E$77*A653+'Giả định'!$B$15*('Chi phí'!$F$77+'Chi phí'!$G$77*B653+'Chi phí'!$H$77*A653))*(1+'Giả định'!$B$16)</f>
        <v>580667120</v>
      </c>
      <c r="E653" s="25" t="n">
        <f aca="false">A653/'Giả định'!$B$19*'Giả định'!$B$20+A653*'Giả định'!$B$23+'Giả định'!$B$24</f>
        <v>479193277.310924</v>
      </c>
      <c r="F653" s="25" t="n">
        <f aca="false">E653-D653</f>
        <v>-101473842.689076</v>
      </c>
      <c r="G653" s="25" t="n">
        <f aca="false">E653-C653</f>
        <v>41471157.3109244</v>
      </c>
      <c r="H653" s="7" t="str">
        <f aca="false">IF(F653&gt;=0,A653,"")</f>
        <v/>
      </c>
      <c r="I653" s="7" t="n">
        <f aca="false">IF(F653&lt;0,A653,0)</f>
        <v>648</v>
      </c>
      <c r="J653" s="7" t="n">
        <f aca="false">IF(G653&gt;=0,A653,"")</f>
        <v>648</v>
      </c>
      <c r="K653" s="7" t="n">
        <f aca="false">IF(G653&lt;0,A653,0)</f>
        <v>0</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437758860</v>
      </c>
      <c r="D654" s="25" t="n">
        <f aca="false">('Chi phí'!$C$77+'Chi phí'!$D$77*B654+'Chi phí'!$E$77*A654+'Giả định'!$B$15*('Chi phí'!$F$77+'Chi phí'!$G$77*B654+'Chi phí'!$H$77*A654))*(1+'Giả định'!$B$16)</f>
        <v>580703860</v>
      </c>
      <c r="E654" s="25" t="n">
        <f aca="false">A654/'Giả định'!$B$19*'Giả định'!$B$20+A654*'Giả định'!$B$23+'Giả định'!$B$24</f>
        <v>479932773.109244</v>
      </c>
      <c r="F654" s="25" t="n">
        <f aca="false">E654-D654</f>
        <v>-100771086.890756</v>
      </c>
      <c r="G654" s="25" t="n">
        <f aca="false">E654-C654</f>
        <v>42173913.1092437</v>
      </c>
      <c r="H654" s="7" t="str">
        <f aca="false">IF(F654&gt;=0,A654,"")</f>
        <v/>
      </c>
      <c r="I654" s="7" t="n">
        <f aca="false">IF(F654&lt;0,A654,0)</f>
        <v>649</v>
      </c>
      <c r="J654" s="7" t="n">
        <f aca="false">IF(G654&gt;=0,A654,"")</f>
        <v>649</v>
      </c>
      <c r="K654" s="7" t="n">
        <f aca="false">IF(G654&lt;0,A654,0)</f>
        <v>0</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437795600</v>
      </c>
      <c r="D655" s="25" t="n">
        <f aca="false">('Chi phí'!$C$77+'Chi phí'!$D$77*B655+'Chi phí'!$E$77*A655+'Giả định'!$B$15*('Chi phí'!$F$77+'Chi phí'!$G$77*B655+'Chi phí'!$H$77*A655))*(1+'Giả định'!$B$16)</f>
        <v>580740600</v>
      </c>
      <c r="E655" s="25" t="n">
        <f aca="false">A655/'Giả định'!$B$19*'Giả định'!$B$20+A655*'Giả định'!$B$23+'Giả định'!$B$24</f>
        <v>480672268.907563</v>
      </c>
      <c r="F655" s="25" t="n">
        <f aca="false">E655-D655</f>
        <v>-100068331.092437</v>
      </c>
      <c r="G655" s="25" t="n">
        <f aca="false">E655-C655</f>
        <v>42876668.907563</v>
      </c>
      <c r="H655" s="7" t="str">
        <f aca="false">IF(F655&gt;=0,A655,"")</f>
        <v/>
      </c>
      <c r="I655" s="7" t="n">
        <f aca="false">IF(F655&lt;0,A655,0)</f>
        <v>650</v>
      </c>
      <c r="J655" s="7" t="n">
        <f aca="false">IF(G655&gt;=0,A655,"")</f>
        <v>650</v>
      </c>
      <c r="K655" s="7" t="n">
        <f aca="false">IF(G655&lt;0,A655,0)</f>
        <v>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443217940</v>
      </c>
      <c r="D656" s="25" t="n">
        <f aca="false">('Chi phí'!$C$77+'Chi phí'!$D$77*B656+'Chi phí'!$E$77*A656+'Giả định'!$B$15*('Chi phí'!$F$77+'Chi phí'!$G$77*B656+'Chi phí'!$H$77*A656))*(1+'Giả định'!$B$16)</f>
        <v>586162940</v>
      </c>
      <c r="E656" s="25" t="n">
        <f aca="false">A656/'Giả định'!$B$19*'Giả định'!$B$20+A656*'Giả định'!$B$23+'Giả định'!$B$24</f>
        <v>481411764.705882</v>
      </c>
      <c r="F656" s="25" t="n">
        <f aca="false">E656-D656</f>
        <v>-104751175.294118</v>
      </c>
      <c r="G656" s="25" t="n">
        <f aca="false">E656-C656</f>
        <v>38193824.7058824</v>
      </c>
      <c r="H656" s="7" t="str">
        <f aca="false">IF(F656&gt;=0,A656,"")</f>
        <v/>
      </c>
      <c r="I656" s="7" t="n">
        <f aca="false">IF(F656&lt;0,A656,0)</f>
        <v>651</v>
      </c>
      <c r="J656" s="7" t="n">
        <f aca="false">IF(G656&gt;=0,A656,"")</f>
        <v>651</v>
      </c>
      <c r="K656" s="7" t="n">
        <f aca="false">IF(G656&lt;0,A656,0)</f>
        <v>0</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443254680</v>
      </c>
      <c r="D657" s="25" t="n">
        <f aca="false">('Chi phí'!$C$77+'Chi phí'!$D$77*B657+'Chi phí'!$E$77*A657+'Giả định'!$B$15*('Chi phí'!$F$77+'Chi phí'!$G$77*B657+'Chi phí'!$H$77*A657))*(1+'Giả định'!$B$16)</f>
        <v>586199680</v>
      </c>
      <c r="E657" s="25" t="n">
        <f aca="false">A657/'Giả định'!$B$19*'Giả định'!$B$20+A657*'Giả định'!$B$23+'Giả định'!$B$24</f>
        <v>482151260.504202</v>
      </c>
      <c r="F657" s="25" t="n">
        <f aca="false">E657-D657</f>
        <v>-104048419.495798</v>
      </c>
      <c r="G657" s="25" t="n">
        <f aca="false">E657-C657</f>
        <v>38896580.5042017</v>
      </c>
      <c r="H657" s="7" t="str">
        <f aca="false">IF(F657&gt;=0,A657,"")</f>
        <v/>
      </c>
      <c r="I657" s="7" t="n">
        <f aca="false">IF(F657&lt;0,A657,0)</f>
        <v>652</v>
      </c>
      <c r="J657" s="7" t="n">
        <f aca="false">IF(G657&gt;=0,A657,"")</f>
        <v>652</v>
      </c>
      <c r="K657" s="7" t="n">
        <f aca="false">IF(G657&lt;0,A657,0)</f>
        <v>0</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443291420</v>
      </c>
      <c r="D658" s="25" t="n">
        <f aca="false">('Chi phí'!$C$77+'Chi phí'!$D$77*B658+'Chi phí'!$E$77*A658+'Giả định'!$B$15*('Chi phí'!$F$77+'Chi phí'!$G$77*B658+'Chi phí'!$H$77*A658))*(1+'Giả định'!$B$16)</f>
        <v>586236420</v>
      </c>
      <c r="E658" s="25" t="n">
        <f aca="false">A658/'Giả định'!$B$19*'Giả định'!$B$20+A658*'Giả định'!$B$23+'Giả định'!$B$24</f>
        <v>482890756.302521</v>
      </c>
      <c r="F658" s="25" t="n">
        <f aca="false">E658-D658</f>
        <v>-103345663.697479</v>
      </c>
      <c r="G658" s="25" t="n">
        <f aca="false">E658-C658</f>
        <v>39599336.302521</v>
      </c>
      <c r="H658" s="7" t="str">
        <f aca="false">IF(F658&gt;=0,A658,"")</f>
        <v/>
      </c>
      <c r="I658" s="7" t="n">
        <f aca="false">IF(F658&lt;0,A658,0)</f>
        <v>653</v>
      </c>
      <c r="J658" s="7" t="n">
        <f aca="false">IF(G658&gt;=0,A658,"")</f>
        <v>653</v>
      </c>
      <c r="K658" s="7" t="n">
        <f aca="false">IF(G658&lt;0,A658,0)</f>
        <v>0</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443328160</v>
      </c>
      <c r="D659" s="25" t="n">
        <f aca="false">('Chi phí'!$C$77+'Chi phí'!$D$77*B659+'Chi phí'!$E$77*A659+'Giả định'!$B$15*('Chi phí'!$F$77+'Chi phí'!$G$77*B659+'Chi phí'!$H$77*A659))*(1+'Giả định'!$B$16)</f>
        <v>586273160</v>
      </c>
      <c r="E659" s="25" t="n">
        <f aca="false">A659/'Giả định'!$B$19*'Giả định'!$B$20+A659*'Giả định'!$B$23+'Giả định'!$B$24</f>
        <v>483630252.10084</v>
      </c>
      <c r="F659" s="25" t="n">
        <f aca="false">E659-D659</f>
        <v>-102642907.89916</v>
      </c>
      <c r="G659" s="25" t="n">
        <f aca="false">E659-C659</f>
        <v>40302092.1008403</v>
      </c>
      <c r="H659" s="7" t="str">
        <f aca="false">IF(F659&gt;=0,A659,"")</f>
        <v/>
      </c>
      <c r="I659" s="7" t="n">
        <f aca="false">IF(F659&lt;0,A659,0)</f>
        <v>654</v>
      </c>
      <c r="J659" s="7" t="n">
        <f aca="false">IF(G659&gt;=0,A659,"")</f>
        <v>654</v>
      </c>
      <c r="K659" s="7" t="n">
        <f aca="false">IF(G659&lt;0,A659,0)</f>
        <v>0</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443364900</v>
      </c>
      <c r="D660" s="25" t="n">
        <f aca="false">('Chi phí'!$C$77+'Chi phí'!$D$77*B660+'Chi phí'!$E$77*A660+'Giả định'!$B$15*('Chi phí'!$F$77+'Chi phí'!$G$77*B660+'Chi phí'!$H$77*A660))*(1+'Giả định'!$B$16)</f>
        <v>586309900</v>
      </c>
      <c r="E660" s="25" t="n">
        <f aca="false">A660/'Giả định'!$B$19*'Giả định'!$B$20+A660*'Giả định'!$B$23+'Giả định'!$B$24</f>
        <v>484369747.89916</v>
      </c>
      <c r="F660" s="25" t="n">
        <f aca="false">E660-D660</f>
        <v>-101940152.10084</v>
      </c>
      <c r="G660" s="25" t="n">
        <f aca="false">E660-C660</f>
        <v>41004847.8991596</v>
      </c>
      <c r="H660" s="7" t="str">
        <f aca="false">IF(F660&gt;=0,A660,"")</f>
        <v/>
      </c>
      <c r="I660" s="7" t="n">
        <f aca="false">IF(F660&lt;0,A660,0)</f>
        <v>655</v>
      </c>
      <c r="J660" s="7" t="n">
        <f aca="false">IF(G660&gt;=0,A660,"")</f>
        <v>655</v>
      </c>
      <c r="K660" s="7" t="n">
        <f aca="false">IF(G660&lt;0,A660,0)</f>
        <v>0</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443401640</v>
      </c>
      <c r="D661" s="25" t="n">
        <f aca="false">('Chi phí'!$C$77+'Chi phí'!$D$77*B661+'Chi phí'!$E$77*A661+'Giả định'!$B$15*('Chi phí'!$F$77+'Chi phí'!$G$77*B661+'Chi phí'!$H$77*A661))*(1+'Giả định'!$B$16)</f>
        <v>586346640</v>
      </c>
      <c r="E661" s="25" t="n">
        <f aca="false">A661/'Giả định'!$B$19*'Giả định'!$B$20+A661*'Giả định'!$B$23+'Giả định'!$B$24</f>
        <v>485109243.697479</v>
      </c>
      <c r="F661" s="25" t="n">
        <f aca="false">E661-D661</f>
        <v>-101237396.302521</v>
      </c>
      <c r="G661" s="25" t="n">
        <f aca="false">E661-C661</f>
        <v>41707603.697479</v>
      </c>
      <c r="H661" s="7" t="str">
        <f aca="false">IF(F661&gt;=0,A661,"")</f>
        <v/>
      </c>
      <c r="I661" s="7" t="n">
        <f aca="false">IF(F661&lt;0,A661,0)</f>
        <v>656</v>
      </c>
      <c r="J661" s="7" t="n">
        <f aca="false">IF(G661&gt;=0,A661,"")</f>
        <v>656</v>
      </c>
      <c r="K661" s="7" t="n">
        <f aca="false">IF(G661&lt;0,A661,0)</f>
        <v>0</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443438380</v>
      </c>
      <c r="D662" s="25" t="n">
        <f aca="false">('Chi phí'!$C$77+'Chi phí'!$D$77*B662+'Chi phí'!$E$77*A662+'Giả định'!$B$15*('Chi phí'!$F$77+'Chi phí'!$G$77*B662+'Chi phí'!$H$77*A662))*(1+'Giả định'!$B$16)</f>
        <v>586383380</v>
      </c>
      <c r="E662" s="25" t="n">
        <f aca="false">A662/'Giả định'!$B$19*'Giả định'!$B$20+A662*'Giả định'!$B$23+'Giả định'!$B$24</f>
        <v>485848739.495798</v>
      </c>
      <c r="F662" s="25" t="n">
        <f aca="false">E662-D662</f>
        <v>-100534640.504202</v>
      </c>
      <c r="G662" s="25" t="n">
        <f aca="false">E662-C662</f>
        <v>42410359.4957983</v>
      </c>
      <c r="H662" s="7" t="str">
        <f aca="false">IF(F662&gt;=0,A662,"")</f>
        <v/>
      </c>
      <c r="I662" s="7" t="n">
        <f aca="false">IF(F662&lt;0,A662,0)</f>
        <v>657</v>
      </c>
      <c r="J662" s="7" t="n">
        <f aca="false">IF(G662&gt;=0,A662,"")</f>
        <v>657</v>
      </c>
      <c r="K662" s="7" t="n">
        <f aca="false">IF(G662&lt;0,A662,0)</f>
        <v>0</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443475120</v>
      </c>
      <c r="D663" s="25" t="n">
        <f aca="false">('Chi phí'!$C$77+'Chi phí'!$D$77*B663+'Chi phí'!$E$77*A663+'Giả định'!$B$15*('Chi phí'!$F$77+'Chi phí'!$G$77*B663+'Chi phí'!$H$77*A663))*(1+'Giả định'!$B$16)</f>
        <v>586420120</v>
      </c>
      <c r="E663" s="25" t="n">
        <f aca="false">A663/'Giả định'!$B$19*'Giả định'!$B$20+A663*'Giả định'!$B$23+'Giả định'!$B$24</f>
        <v>486588235.294118</v>
      </c>
      <c r="F663" s="25" t="n">
        <f aca="false">E663-D663</f>
        <v>-99831884.7058823</v>
      </c>
      <c r="G663" s="25" t="n">
        <f aca="false">E663-C663</f>
        <v>43113115.2941176</v>
      </c>
      <c r="H663" s="7" t="str">
        <f aca="false">IF(F663&gt;=0,A663,"")</f>
        <v/>
      </c>
      <c r="I663" s="7" t="n">
        <f aca="false">IF(F663&lt;0,A663,0)</f>
        <v>658</v>
      </c>
      <c r="J663" s="7" t="n">
        <f aca="false">IF(G663&gt;=0,A663,"")</f>
        <v>658</v>
      </c>
      <c r="K663" s="7" t="n">
        <f aca="false">IF(G663&lt;0,A663,0)</f>
        <v>0</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443511860</v>
      </c>
      <c r="D664" s="25" t="n">
        <f aca="false">('Chi phí'!$C$77+'Chi phí'!$D$77*B664+'Chi phí'!$E$77*A664+'Giả định'!$B$15*('Chi phí'!$F$77+'Chi phí'!$G$77*B664+'Chi phí'!$H$77*A664))*(1+'Giả định'!$B$16)</f>
        <v>586456860</v>
      </c>
      <c r="E664" s="25" t="n">
        <f aca="false">A664/'Giả định'!$B$19*'Giả định'!$B$20+A664*'Giả định'!$B$23+'Giả định'!$B$24</f>
        <v>487327731.092437</v>
      </c>
      <c r="F664" s="25" t="n">
        <f aca="false">E664-D664</f>
        <v>-99129128.907563</v>
      </c>
      <c r="G664" s="25" t="n">
        <f aca="false">E664-C664</f>
        <v>43815871.0924369</v>
      </c>
      <c r="H664" s="7" t="str">
        <f aca="false">IF(F664&gt;=0,A664,"")</f>
        <v/>
      </c>
      <c r="I664" s="7" t="n">
        <f aca="false">IF(F664&lt;0,A664,0)</f>
        <v>659</v>
      </c>
      <c r="J664" s="7" t="n">
        <f aca="false">IF(G664&gt;=0,A664,"")</f>
        <v>659</v>
      </c>
      <c r="K664" s="7" t="n">
        <f aca="false">IF(G664&lt;0,A664,0)</f>
        <v>0</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443548600</v>
      </c>
      <c r="D665" s="25" t="n">
        <f aca="false">('Chi phí'!$C$77+'Chi phí'!$D$77*B665+'Chi phí'!$E$77*A665+'Giả định'!$B$15*('Chi phí'!$F$77+'Chi phí'!$G$77*B665+'Chi phí'!$H$77*A665))*(1+'Giả định'!$B$16)</f>
        <v>586493600</v>
      </c>
      <c r="E665" s="25" t="n">
        <f aca="false">A665/'Giả định'!$B$19*'Giả định'!$B$20+A665*'Giả định'!$B$23+'Giả định'!$B$24</f>
        <v>488067226.890756</v>
      </c>
      <c r="F665" s="25" t="n">
        <f aca="false">E665-D665</f>
        <v>-98426373.1092436</v>
      </c>
      <c r="G665" s="25" t="n">
        <f aca="false">E665-C665</f>
        <v>44518626.8907563</v>
      </c>
      <c r="H665" s="7" t="str">
        <f aca="false">IF(F665&gt;=0,A665,"")</f>
        <v/>
      </c>
      <c r="I665" s="7" t="n">
        <f aca="false">IF(F665&lt;0,A665,0)</f>
        <v>660</v>
      </c>
      <c r="J665" s="7" t="n">
        <f aca="false">IF(G665&gt;=0,A665,"")</f>
        <v>660</v>
      </c>
      <c r="K665" s="7" t="n">
        <f aca="false">IF(G665&lt;0,A665,0)</f>
        <v>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448970940</v>
      </c>
      <c r="D666" s="25" t="n">
        <f aca="false">('Chi phí'!$C$77+'Chi phí'!$D$77*B666+'Chi phí'!$E$77*A666+'Giả định'!$B$15*('Chi phí'!$F$77+'Chi phí'!$G$77*B666+'Chi phí'!$H$77*A666))*(1+'Giả định'!$B$16)</f>
        <v>591915940</v>
      </c>
      <c r="E666" s="25" t="n">
        <f aca="false">A666/'Giả định'!$B$19*'Giả định'!$B$20+A666*'Giả định'!$B$23+'Giả định'!$B$24</f>
        <v>488806722.689076</v>
      </c>
      <c r="F666" s="25" t="n">
        <f aca="false">E666-D666</f>
        <v>-103109217.310924</v>
      </c>
      <c r="G666" s="25" t="n">
        <f aca="false">E666-C666</f>
        <v>39835782.6890757</v>
      </c>
      <c r="H666" s="7" t="str">
        <f aca="false">IF(F666&gt;=0,A666,"")</f>
        <v/>
      </c>
      <c r="I666" s="7" t="n">
        <f aca="false">IF(F666&lt;0,A666,0)</f>
        <v>661</v>
      </c>
      <c r="J666" s="7" t="n">
        <f aca="false">IF(G666&gt;=0,A666,"")</f>
        <v>661</v>
      </c>
      <c r="K666" s="7" t="n">
        <f aca="false">IF(G666&lt;0,A666,0)</f>
        <v>0</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449007680</v>
      </c>
      <c r="D667" s="25" t="n">
        <f aca="false">('Chi phí'!$C$77+'Chi phí'!$D$77*B667+'Chi phí'!$E$77*A667+'Giả định'!$B$15*('Chi phí'!$F$77+'Chi phí'!$G$77*B667+'Chi phí'!$H$77*A667))*(1+'Giả định'!$B$16)</f>
        <v>591952680</v>
      </c>
      <c r="E667" s="25" t="n">
        <f aca="false">A667/'Giả định'!$B$19*'Giả định'!$B$20+A667*'Giả định'!$B$23+'Giả định'!$B$24</f>
        <v>489546218.487395</v>
      </c>
      <c r="F667" s="25" t="n">
        <f aca="false">E667-D667</f>
        <v>-102406461.512605</v>
      </c>
      <c r="G667" s="25" t="n">
        <f aca="false">E667-C667</f>
        <v>40538538.4873949</v>
      </c>
      <c r="H667" s="7" t="str">
        <f aca="false">IF(F667&gt;=0,A667,"")</f>
        <v/>
      </c>
      <c r="I667" s="7" t="n">
        <f aca="false">IF(F667&lt;0,A667,0)</f>
        <v>662</v>
      </c>
      <c r="J667" s="7" t="n">
        <f aca="false">IF(G667&gt;=0,A667,"")</f>
        <v>662</v>
      </c>
      <c r="K667" s="7" t="n">
        <f aca="false">IF(G667&lt;0,A667,0)</f>
        <v>0</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449044420</v>
      </c>
      <c r="D668" s="25" t="n">
        <f aca="false">('Chi phí'!$C$77+'Chi phí'!$D$77*B668+'Chi phí'!$E$77*A668+'Giả định'!$B$15*('Chi phí'!$F$77+'Chi phí'!$G$77*B668+'Chi phí'!$H$77*A668))*(1+'Giả định'!$B$16)</f>
        <v>591989420</v>
      </c>
      <c r="E668" s="25" t="n">
        <f aca="false">A668/'Giả định'!$B$19*'Giả định'!$B$20+A668*'Giả định'!$B$23+'Giả định'!$B$24</f>
        <v>490285714.285714</v>
      </c>
      <c r="F668" s="25" t="n">
        <f aca="false">E668-D668</f>
        <v>-101703705.714286</v>
      </c>
      <c r="G668" s="25" t="n">
        <f aca="false">E668-C668</f>
        <v>41241294.2857143</v>
      </c>
      <c r="H668" s="7" t="str">
        <f aca="false">IF(F668&gt;=0,A668,"")</f>
        <v/>
      </c>
      <c r="I668" s="7" t="n">
        <f aca="false">IF(F668&lt;0,A668,0)</f>
        <v>663</v>
      </c>
      <c r="J668" s="7" t="n">
        <f aca="false">IF(G668&gt;=0,A668,"")</f>
        <v>663</v>
      </c>
      <c r="K668" s="7" t="n">
        <f aca="false">IF(G668&lt;0,A668,0)</f>
        <v>0</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449081160</v>
      </c>
      <c r="D669" s="25" t="n">
        <f aca="false">('Chi phí'!$C$77+'Chi phí'!$D$77*B669+'Chi phí'!$E$77*A669+'Giả định'!$B$15*('Chi phí'!$F$77+'Chi phí'!$G$77*B669+'Chi phí'!$H$77*A669))*(1+'Giả định'!$B$16)</f>
        <v>592026160</v>
      </c>
      <c r="E669" s="25" t="n">
        <f aca="false">A669/'Giả định'!$B$19*'Giả định'!$B$20+A669*'Giả định'!$B$23+'Giả định'!$B$24</f>
        <v>491025210.084034</v>
      </c>
      <c r="F669" s="25" t="n">
        <f aca="false">E669-D669</f>
        <v>-101000949.915966</v>
      </c>
      <c r="G669" s="25" t="n">
        <f aca="false">E669-C669</f>
        <v>41944050.0840336</v>
      </c>
      <c r="H669" s="7" t="str">
        <f aca="false">IF(F669&gt;=0,A669,"")</f>
        <v/>
      </c>
      <c r="I669" s="7" t="n">
        <f aca="false">IF(F669&lt;0,A669,0)</f>
        <v>664</v>
      </c>
      <c r="J669" s="7" t="n">
        <f aca="false">IF(G669&gt;=0,A669,"")</f>
        <v>664</v>
      </c>
      <c r="K669" s="7" t="n">
        <f aca="false">IF(G669&lt;0,A669,0)</f>
        <v>0</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449117900</v>
      </c>
      <c r="D670" s="25" t="n">
        <f aca="false">('Chi phí'!$C$77+'Chi phí'!$D$77*B670+'Chi phí'!$E$77*A670+'Giả định'!$B$15*('Chi phí'!$F$77+'Chi phí'!$G$77*B670+'Chi phí'!$H$77*A670))*(1+'Giả định'!$B$16)</f>
        <v>592062900</v>
      </c>
      <c r="E670" s="25" t="n">
        <f aca="false">A670/'Giả định'!$B$19*'Giả định'!$B$20+A670*'Giả định'!$B$23+'Giả định'!$B$24</f>
        <v>491764705.882353</v>
      </c>
      <c r="F670" s="25" t="n">
        <f aca="false">E670-D670</f>
        <v>-100298194.117647</v>
      </c>
      <c r="G670" s="25" t="n">
        <f aca="false">E670-C670</f>
        <v>42646805.882353</v>
      </c>
      <c r="H670" s="7" t="str">
        <f aca="false">IF(F670&gt;=0,A670,"")</f>
        <v/>
      </c>
      <c r="I670" s="7" t="n">
        <f aca="false">IF(F670&lt;0,A670,0)</f>
        <v>665</v>
      </c>
      <c r="J670" s="7" t="n">
        <f aca="false">IF(G670&gt;=0,A670,"")</f>
        <v>665</v>
      </c>
      <c r="K670" s="7" t="n">
        <f aca="false">IF(G670&lt;0,A670,0)</f>
        <v>0</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449154640</v>
      </c>
      <c r="D671" s="25" t="n">
        <f aca="false">('Chi phí'!$C$77+'Chi phí'!$D$77*B671+'Chi phí'!$E$77*A671+'Giả định'!$B$15*('Chi phí'!$F$77+'Chi phí'!$G$77*B671+'Chi phí'!$H$77*A671))*(1+'Giả định'!$B$16)</f>
        <v>592099640</v>
      </c>
      <c r="E671" s="25" t="n">
        <f aca="false">A671/'Giả định'!$B$19*'Giả định'!$B$20+A671*'Giả định'!$B$23+'Giả định'!$B$24</f>
        <v>492504201.680672</v>
      </c>
      <c r="F671" s="25" t="n">
        <f aca="false">E671-D671</f>
        <v>-99595438.3193277</v>
      </c>
      <c r="G671" s="25" t="n">
        <f aca="false">E671-C671</f>
        <v>43349561.6806722</v>
      </c>
      <c r="H671" s="7" t="str">
        <f aca="false">IF(F671&gt;=0,A671,"")</f>
        <v/>
      </c>
      <c r="I671" s="7" t="n">
        <f aca="false">IF(F671&lt;0,A671,0)</f>
        <v>666</v>
      </c>
      <c r="J671" s="7" t="n">
        <f aca="false">IF(G671&gt;=0,A671,"")</f>
        <v>666</v>
      </c>
      <c r="K671" s="7" t="n">
        <f aca="false">IF(G671&lt;0,A671,0)</f>
        <v>0</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449191380</v>
      </c>
      <c r="D672" s="25" t="n">
        <f aca="false">('Chi phí'!$C$77+'Chi phí'!$D$77*B672+'Chi phí'!$E$77*A672+'Giả định'!$B$15*('Chi phí'!$F$77+'Chi phí'!$G$77*B672+'Chi phí'!$H$77*A672))*(1+'Giả định'!$B$16)</f>
        <v>592136380</v>
      </c>
      <c r="E672" s="25" t="n">
        <f aca="false">A672/'Giả định'!$B$19*'Giả định'!$B$20+A672*'Giả định'!$B$23+'Giả định'!$B$24</f>
        <v>493243697.478992</v>
      </c>
      <c r="F672" s="25" t="n">
        <f aca="false">E672-D672</f>
        <v>-98892682.5210084</v>
      </c>
      <c r="G672" s="25" t="n">
        <f aca="false">E672-C672</f>
        <v>44052317.4789916</v>
      </c>
      <c r="H672" s="7" t="str">
        <f aca="false">IF(F672&gt;=0,A672,"")</f>
        <v/>
      </c>
      <c r="I672" s="7" t="n">
        <f aca="false">IF(F672&lt;0,A672,0)</f>
        <v>667</v>
      </c>
      <c r="J672" s="7" t="n">
        <f aca="false">IF(G672&gt;=0,A672,"")</f>
        <v>667</v>
      </c>
      <c r="K672" s="7" t="n">
        <f aca="false">IF(G672&lt;0,A672,0)</f>
        <v>0</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449228120</v>
      </c>
      <c r="D673" s="25" t="n">
        <f aca="false">('Chi phí'!$C$77+'Chi phí'!$D$77*B673+'Chi phí'!$E$77*A673+'Giả định'!$B$15*('Chi phí'!$F$77+'Chi phí'!$G$77*B673+'Chi phí'!$H$77*A673))*(1+'Giả định'!$B$16)</f>
        <v>592173120</v>
      </c>
      <c r="E673" s="25" t="n">
        <f aca="false">A673/'Giả định'!$B$19*'Giả định'!$B$20+A673*'Giả định'!$B$23+'Giả định'!$B$24</f>
        <v>493983193.277311</v>
      </c>
      <c r="F673" s="25" t="n">
        <f aca="false">E673-D673</f>
        <v>-98189926.722689</v>
      </c>
      <c r="G673" s="25" t="n">
        <f aca="false">E673-C673</f>
        <v>44755073.2773109</v>
      </c>
      <c r="H673" s="7" t="str">
        <f aca="false">IF(F673&gt;=0,A673,"")</f>
        <v/>
      </c>
      <c r="I673" s="7" t="n">
        <f aca="false">IF(F673&lt;0,A673,0)</f>
        <v>668</v>
      </c>
      <c r="J673" s="7" t="n">
        <f aca="false">IF(G673&gt;=0,A673,"")</f>
        <v>668</v>
      </c>
      <c r="K673" s="7" t="n">
        <f aca="false">IF(G673&lt;0,A673,0)</f>
        <v>0</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449264860</v>
      </c>
      <c r="D674" s="25" t="n">
        <f aca="false">('Chi phí'!$C$77+'Chi phí'!$D$77*B674+'Chi phí'!$E$77*A674+'Giả định'!$B$15*('Chi phí'!$F$77+'Chi phí'!$G$77*B674+'Chi phí'!$H$77*A674))*(1+'Giả định'!$B$16)</f>
        <v>592209860</v>
      </c>
      <c r="E674" s="25" t="n">
        <f aca="false">A674/'Giả định'!$B$19*'Giả định'!$B$20+A674*'Giả định'!$B$23+'Giả định'!$B$24</f>
        <v>494722689.07563</v>
      </c>
      <c r="F674" s="25" t="n">
        <f aca="false">E674-D674</f>
        <v>-97487170.9243698</v>
      </c>
      <c r="G674" s="25" t="n">
        <f aca="false">E674-C674</f>
        <v>45457829.0756302</v>
      </c>
      <c r="H674" s="7" t="str">
        <f aca="false">IF(F674&gt;=0,A674,"")</f>
        <v/>
      </c>
      <c r="I674" s="7" t="n">
        <f aca="false">IF(F674&lt;0,A674,0)</f>
        <v>669</v>
      </c>
      <c r="J674" s="7" t="n">
        <f aca="false">IF(G674&gt;=0,A674,"")</f>
        <v>669</v>
      </c>
      <c r="K674" s="7" t="n">
        <f aca="false">IF(G674&lt;0,A674,0)</f>
        <v>0</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449301600</v>
      </c>
      <c r="D675" s="25" t="n">
        <f aca="false">('Chi phí'!$C$77+'Chi phí'!$D$77*B675+'Chi phí'!$E$77*A675+'Giả định'!$B$15*('Chi phí'!$F$77+'Chi phí'!$G$77*B675+'Chi phí'!$H$77*A675))*(1+'Giả định'!$B$16)</f>
        <v>592246600</v>
      </c>
      <c r="E675" s="25" t="n">
        <f aca="false">A675/'Giả định'!$B$19*'Giả định'!$B$20+A675*'Giả định'!$B$23+'Giả định'!$B$24</f>
        <v>495462184.87395</v>
      </c>
      <c r="F675" s="25" t="n">
        <f aca="false">E675-D675</f>
        <v>-96784415.1260504</v>
      </c>
      <c r="G675" s="25" t="n">
        <f aca="false">E675-C675</f>
        <v>46160584.8739495</v>
      </c>
      <c r="H675" s="7" t="str">
        <f aca="false">IF(F675&gt;=0,A675,"")</f>
        <v/>
      </c>
      <c r="I675" s="7" t="n">
        <f aca="false">IF(F675&lt;0,A675,0)</f>
        <v>670</v>
      </c>
      <c r="J675" s="7" t="n">
        <f aca="false">IF(G675&gt;=0,A675,"")</f>
        <v>670</v>
      </c>
      <c r="K675" s="7" t="n">
        <f aca="false">IF(G675&lt;0,A675,0)</f>
        <v>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454723940</v>
      </c>
      <c r="D676" s="25" t="n">
        <f aca="false">('Chi phí'!$C$77+'Chi phí'!$D$77*B676+'Chi phí'!$E$77*A676+'Giả định'!$B$15*('Chi phí'!$F$77+'Chi phí'!$G$77*B676+'Chi phí'!$H$77*A676))*(1+'Giả định'!$B$16)</f>
        <v>597668940</v>
      </c>
      <c r="E676" s="25" t="n">
        <f aca="false">A676/'Giả định'!$B$19*'Giả định'!$B$20+A676*'Giả định'!$B$23+'Giả định'!$B$24</f>
        <v>496201680.672269</v>
      </c>
      <c r="F676" s="25" t="n">
        <f aca="false">E676-D676</f>
        <v>-101467259.327731</v>
      </c>
      <c r="G676" s="25" t="n">
        <f aca="false">E676-C676</f>
        <v>41477740.6722689</v>
      </c>
      <c r="H676" s="7" t="str">
        <f aca="false">IF(F676&gt;=0,A676,"")</f>
        <v/>
      </c>
      <c r="I676" s="7" t="n">
        <f aca="false">IF(F676&lt;0,A676,0)</f>
        <v>671</v>
      </c>
      <c r="J676" s="7" t="n">
        <f aca="false">IF(G676&gt;=0,A676,"")</f>
        <v>671</v>
      </c>
      <c r="K676" s="7" t="n">
        <f aca="false">IF(G676&lt;0,A676,0)</f>
        <v>0</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454760680</v>
      </c>
      <c r="D677" s="25" t="n">
        <f aca="false">('Chi phí'!$C$77+'Chi phí'!$D$77*B677+'Chi phí'!$E$77*A677+'Giả định'!$B$15*('Chi phí'!$F$77+'Chi phí'!$G$77*B677+'Chi phí'!$H$77*A677))*(1+'Giả định'!$B$16)</f>
        <v>597705680</v>
      </c>
      <c r="E677" s="25" t="n">
        <f aca="false">A677/'Giả định'!$B$19*'Giả định'!$B$20+A677*'Giả định'!$B$23+'Giả định'!$B$24</f>
        <v>496941176.470588</v>
      </c>
      <c r="F677" s="25" t="n">
        <f aca="false">E677-D677</f>
        <v>-100764503.529412</v>
      </c>
      <c r="G677" s="25" t="n">
        <f aca="false">E677-C677</f>
        <v>42180496.4705883</v>
      </c>
      <c r="H677" s="7" t="str">
        <f aca="false">IF(F677&gt;=0,A677,"")</f>
        <v/>
      </c>
      <c r="I677" s="7" t="n">
        <f aca="false">IF(F677&lt;0,A677,0)</f>
        <v>672</v>
      </c>
      <c r="J677" s="7" t="n">
        <f aca="false">IF(G677&gt;=0,A677,"")</f>
        <v>672</v>
      </c>
      <c r="K677" s="7" t="n">
        <f aca="false">IF(G677&lt;0,A677,0)</f>
        <v>0</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454797420</v>
      </c>
      <c r="D678" s="25" t="n">
        <f aca="false">('Chi phí'!$C$77+'Chi phí'!$D$77*B678+'Chi phí'!$E$77*A678+'Giả định'!$B$15*('Chi phí'!$F$77+'Chi phí'!$G$77*B678+'Chi phí'!$H$77*A678))*(1+'Giả định'!$B$16)</f>
        <v>597742420</v>
      </c>
      <c r="E678" s="25" t="n">
        <f aca="false">A678/'Giả định'!$B$19*'Giả định'!$B$20+A678*'Giả định'!$B$23+'Giả định'!$B$24</f>
        <v>497680672.268908</v>
      </c>
      <c r="F678" s="25" t="n">
        <f aca="false">E678-D678</f>
        <v>-100061747.731092</v>
      </c>
      <c r="G678" s="25" t="n">
        <f aca="false">E678-C678</f>
        <v>42883252.2689076</v>
      </c>
      <c r="H678" s="7" t="str">
        <f aca="false">IF(F678&gt;=0,A678,"")</f>
        <v/>
      </c>
      <c r="I678" s="7" t="n">
        <f aca="false">IF(F678&lt;0,A678,0)</f>
        <v>673</v>
      </c>
      <c r="J678" s="7" t="n">
        <f aca="false">IF(G678&gt;=0,A678,"")</f>
        <v>673</v>
      </c>
      <c r="K678" s="7" t="n">
        <f aca="false">IF(G678&lt;0,A678,0)</f>
        <v>0</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454834160</v>
      </c>
      <c r="D679" s="25" t="n">
        <f aca="false">('Chi phí'!$C$77+'Chi phí'!$D$77*B679+'Chi phí'!$E$77*A679+'Giả định'!$B$15*('Chi phí'!$F$77+'Chi phí'!$G$77*B679+'Chi phí'!$H$77*A679))*(1+'Giả định'!$B$16)</f>
        <v>597779160</v>
      </c>
      <c r="E679" s="25" t="n">
        <f aca="false">A679/'Giả định'!$B$19*'Giả định'!$B$20+A679*'Giả định'!$B$23+'Giả định'!$B$24</f>
        <v>498420168.067227</v>
      </c>
      <c r="F679" s="25" t="n">
        <f aca="false">E679-D679</f>
        <v>-99358991.9327731</v>
      </c>
      <c r="G679" s="25" t="n">
        <f aca="false">E679-C679</f>
        <v>43586008.0672269</v>
      </c>
      <c r="H679" s="7" t="str">
        <f aca="false">IF(F679&gt;=0,A679,"")</f>
        <v/>
      </c>
      <c r="I679" s="7" t="n">
        <f aca="false">IF(F679&lt;0,A679,0)</f>
        <v>674</v>
      </c>
      <c r="J679" s="7" t="n">
        <f aca="false">IF(G679&gt;=0,A679,"")</f>
        <v>674</v>
      </c>
      <c r="K679" s="7" t="n">
        <f aca="false">IF(G679&lt;0,A679,0)</f>
        <v>0</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454870900</v>
      </c>
      <c r="D680" s="25" t="n">
        <f aca="false">('Chi phí'!$C$77+'Chi phí'!$D$77*B680+'Chi phí'!$E$77*A680+'Giả định'!$B$15*('Chi phí'!$F$77+'Chi phí'!$G$77*B680+'Chi phí'!$H$77*A680))*(1+'Giả định'!$B$16)</f>
        <v>597815900</v>
      </c>
      <c r="E680" s="25" t="n">
        <f aca="false">A680/'Giả định'!$B$19*'Giả định'!$B$20+A680*'Giả định'!$B$23+'Giả định'!$B$24</f>
        <v>499159663.865546</v>
      </c>
      <c r="F680" s="25" t="n">
        <f aca="false">E680-D680</f>
        <v>-98656236.1344537</v>
      </c>
      <c r="G680" s="25" t="n">
        <f aca="false">E680-C680</f>
        <v>44288763.8655462</v>
      </c>
      <c r="H680" s="7" t="str">
        <f aca="false">IF(F680&gt;=0,A680,"")</f>
        <v/>
      </c>
      <c r="I680" s="7" t="n">
        <f aca="false">IF(F680&lt;0,A680,0)</f>
        <v>675</v>
      </c>
      <c r="J680" s="7" t="n">
        <f aca="false">IF(G680&gt;=0,A680,"")</f>
        <v>675</v>
      </c>
      <c r="K680" s="7" t="n">
        <f aca="false">IF(G680&lt;0,A680,0)</f>
        <v>0</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454907640</v>
      </c>
      <c r="D681" s="25" t="n">
        <f aca="false">('Chi phí'!$C$77+'Chi phí'!$D$77*B681+'Chi phí'!$E$77*A681+'Giả định'!$B$15*('Chi phí'!$F$77+'Chi phí'!$G$77*B681+'Chi phí'!$H$77*A681))*(1+'Giả định'!$B$16)</f>
        <v>597852640</v>
      </c>
      <c r="E681" s="25" t="n">
        <f aca="false">A681/'Giả định'!$B$19*'Giả định'!$B$20+A681*'Giả định'!$B$23+'Giả định'!$B$24</f>
        <v>499899159.663866</v>
      </c>
      <c r="F681" s="25" t="n">
        <f aca="false">E681-D681</f>
        <v>-97953480.3361344</v>
      </c>
      <c r="G681" s="25" t="n">
        <f aca="false">E681-C681</f>
        <v>44991519.6638655</v>
      </c>
      <c r="H681" s="7" t="str">
        <f aca="false">IF(F681&gt;=0,A681,"")</f>
        <v/>
      </c>
      <c r="I681" s="7" t="n">
        <f aca="false">IF(F681&lt;0,A681,0)</f>
        <v>676</v>
      </c>
      <c r="J681" s="7" t="n">
        <f aca="false">IF(G681&gt;=0,A681,"")</f>
        <v>676</v>
      </c>
      <c r="K681" s="7" t="n">
        <f aca="false">IF(G681&lt;0,A681,0)</f>
        <v>0</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454944380</v>
      </c>
      <c r="D682" s="25" t="n">
        <f aca="false">('Chi phí'!$C$77+'Chi phí'!$D$77*B682+'Chi phí'!$E$77*A682+'Giả định'!$B$15*('Chi phí'!$F$77+'Chi phí'!$G$77*B682+'Chi phí'!$H$77*A682))*(1+'Giả định'!$B$16)</f>
        <v>597889380</v>
      </c>
      <c r="E682" s="25" t="n">
        <f aca="false">A682/'Giả định'!$B$19*'Giả định'!$B$20+A682*'Giả định'!$B$23+'Giả định'!$B$24</f>
        <v>500638655.462185</v>
      </c>
      <c r="F682" s="25" t="n">
        <f aca="false">E682-D682</f>
        <v>-97250724.5378151</v>
      </c>
      <c r="G682" s="25" t="n">
        <f aca="false">E682-C682</f>
        <v>45694275.4621849</v>
      </c>
      <c r="H682" s="7" t="str">
        <f aca="false">IF(F682&gt;=0,A682,"")</f>
        <v/>
      </c>
      <c r="I682" s="7" t="n">
        <f aca="false">IF(F682&lt;0,A682,0)</f>
        <v>677</v>
      </c>
      <c r="J682" s="7" t="n">
        <f aca="false">IF(G682&gt;=0,A682,"")</f>
        <v>677</v>
      </c>
      <c r="K682" s="7" t="n">
        <f aca="false">IF(G682&lt;0,A682,0)</f>
        <v>0</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454981120</v>
      </c>
      <c r="D683" s="25" t="n">
        <f aca="false">('Chi phí'!$C$77+'Chi phí'!$D$77*B683+'Chi phí'!$E$77*A683+'Giả định'!$B$15*('Chi phí'!$F$77+'Chi phí'!$G$77*B683+'Chi phí'!$H$77*A683))*(1+'Giả định'!$B$16)</f>
        <v>597926120</v>
      </c>
      <c r="E683" s="25" t="n">
        <f aca="false">A683/'Giả định'!$B$19*'Giả định'!$B$20+A683*'Giả định'!$B$23+'Giả định'!$B$24</f>
        <v>501378151.260504</v>
      </c>
      <c r="F683" s="25" t="n">
        <f aca="false">E683-D683</f>
        <v>-96547968.7394958</v>
      </c>
      <c r="G683" s="25" t="n">
        <f aca="false">E683-C683</f>
        <v>46397031.2605042</v>
      </c>
      <c r="H683" s="7" t="str">
        <f aca="false">IF(F683&gt;=0,A683,"")</f>
        <v/>
      </c>
      <c r="I683" s="7" t="n">
        <f aca="false">IF(F683&lt;0,A683,0)</f>
        <v>678</v>
      </c>
      <c r="J683" s="7" t="n">
        <f aca="false">IF(G683&gt;=0,A683,"")</f>
        <v>678</v>
      </c>
      <c r="K683" s="7" t="n">
        <f aca="false">IF(G683&lt;0,A683,0)</f>
        <v>0</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455017860</v>
      </c>
      <c r="D684" s="25" t="n">
        <f aca="false">('Chi phí'!$C$77+'Chi phí'!$D$77*B684+'Chi phí'!$E$77*A684+'Giả định'!$B$15*('Chi phí'!$F$77+'Chi phí'!$G$77*B684+'Chi phí'!$H$77*A684))*(1+'Giả định'!$B$16)</f>
        <v>597962860</v>
      </c>
      <c r="E684" s="25" t="n">
        <f aca="false">A684/'Giả định'!$B$19*'Giả định'!$B$20+A684*'Giả định'!$B$23+'Giả định'!$B$24</f>
        <v>502117647.058824</v>
      </c>
      <c r="F684" s="25" t="n">
        <f aca="false">E684-D684</f>
        <v>-95845212.9411764</v>
      </c>
      <c r="G684" s="25" t="n">
        <f aca="false">E684-C684</f>
        <v>47099787.0588235</v>
      </c>
      <c r="H684" s="7" t="str">
        <f aca="false">IF(F684&gt;=0,A684,"")</f>
        <v/>
      </c>
      <c r="I684" s="7" t="n">
        <f aca="false">IF(F684&lt;0,A684,0)</f>
        <v>679</v>
      </c>
      <c r="J684" s="7" t="n">
        <f aca="false">IF(G684&gt;=0,A684,"")</f>
        <v>679</v>
      </c>
      <c r="K684" s="7" t="n">
        <f aca="false">IF(G684&lt;0,A684,0)</f>
        <v>0</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455054600</v>
      </c>
      <c r="D685" s="25" t="n">
        <f aca="false">('Chi phí'!$C$77+'Chi phí'!$D$77*B685+'Chi phí'!$E$77*A685+'Giả định'!$B$15*('Chi phí'!$F$77+'Chi phí'!$G$77*B685+'Chi phí'!$H$77*A685))*(1+'Giả định'!$B$16)</f>
        <v>597999600</v>
      </c>
      <c r="E685" s="25" t="n">
        <f aca="false">A685/'Giả định'!$B$19*'Giả định'!$B$20+A685*'Giả định'!$B$23+'Giả định'!$B$24</f>
        <v>502857142.857143</v>
      </c>
      <c r="F685" s="25" t="n">
        <f aca="false">E685-D685</f>
        <v>-95142457.1428571</v>
      </c>
      <c r="G685" s="25" t="n">
        <f aca="false">E685-C685</f>
        <v>47802542.8571428</v>
      </c>
      <c r="H685" s="7" t="str">
        <f aca="false">IF(F685&gt;=0,A685,"")</f>
        <v/>
      </c>
      <c r="I685" s="7" t="n">
        <f aca="false">IF(F685&lt;0,A685,0)</f>
        <v>680</v>
      </c>
      <c r="J685" s="7" t="n">
        <f aca="false">IF(G685&gt;=0,A685,"")</f>
        <v>680</v>
      </c>
      <c r="K685" s="7" t="n">
        <f aca="false">IF(G685&lt;0,A685,0)</f>
        <v>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460476940</v>
      </c>
      <c r="D686" s="25" t="n">
        <f aca="false">('Chi phí'!$C$77+'Chi phí'!$D$77*B686+'Chi phí'!$E$77*A686+'Giả định'!$B$15*('Chi phí'!$F$77+'Chi phí'!$G$77*B686+'Chi phí'!$H$77*A686))*(1+'Giả định'!$B$16)</f>
        <v>603421940</v>
      </c>
      <c r="E686" s="25" t="n">
        <f aca="false">A686/'Giả định'!$B$19*'Giả định'!$B$20+A686*'Giả định'!$B$23+'Giả định'!$B$24</f>
        <v>503596638.655462</v>
      </c>
      <c r="F686" s="25" t="n">
        <f aca="false">E686-D686</f>
        <v>-99825301.3445378</v>
      </c>
      <c r="G686" s="25" t="n">
        <f aca="false">E686-C686</f>
        <v>43119698.6554621</v>
      </c>
      <c r="H686" s="7" t="str">
        <f aca="false">IF(F686&gt;=0,A686,"")</f>
        <v/>
      </c>
      <c r="I686" s="7" t="n">
        <f aca="false">IF(F686&lt;0,A686,0)</f>
        <v>681</v>
      </c>
      <c r="J686" s="7" t="n">
        <f aca="false">IF(G686&gt;=0,A686,"")</f>
        <v>681</v>
      </c>
      <c r="K686" s="7" t="n">
        <f aca="false">IF(G686&lt;0,A686,0)</f>
        <v>0</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460513680</v>
      </c>
      <c r="D687" s="25" t="n">
        <f aca="false">('Chi phí'!$C$77+'Chi phí'!$D$77*B687+'Chi phí'!$E$77*A687+'Giả định'!$B$15*('Chi phí'!$F$77+'Chi phí'!$G$77*B687+'Chi phí'!$H$77*A687))*(1+'Giả định'!$B$16)</f>
        <v>603458680</v>
      </c>
      <c r="E687" s="25" t="n">
        <f aca="false">A687/'Giả định'!$B$19*'Giả định'!$B$20+A687*'Giả định'!$B$23+'Giả định'!$B$24</f>
        <v>504336134.453782</v>
      </c>
      <c r="F687" s="25" t="n">
        <f aca="false">E687-D687</f>
        <v>-99122545.5462185</v>
      </c>
      <c r="G687" s="25" t="n">
        <f aca="false">E687-C687</f>
        <v>43822454.4537815</v>
      </c>
      <c r="H687" s="7" t="str">
        <f aca="false">IF(F687&gt;=0,A687,"")</f>
        <v/>
      </c>
      <c r="I687" s="7" t="n">
        <f aca="false">IF(F687&lt;0,A687,0)</f>
        <v>682</v>
      </c>
      <c r="J687" s="7" t="n">
        <f aca="false">IF(G687&gt;=0,A687,"")</f>
        <v>682</v>
      </c>
      <c r="K687" s="7" t="n">
        <f aca="false">IF(G687&lt;0,A687,0)</f>
        <v>0</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460550420</v>
      </c>
      <c r="D688" s="25" t="n">
        <f aca="false">('Chi phí'!$C$77+'Chi phí'!$D$77*B688+'Chi phí'!$E$77*A688+'Giả định'!$B$15*('Chi phí'!$F$77+'Chi phí'!$G$77*B688+'Chi phí'!$H$77*A688))*(1+'Giả định'!$B$16)</f>
        <v>603495420</v>
      </c>
      <c r="E688" s="25" t="n">
        <f aca="false">A688/'Giả định'!$B$19*'Giả định'!$B$20+A688*'Giả định'!$B$23+'Giả định'!$B$24</f>
        <v>505075630.252101</v>
      </c>
      <c r="F688" s="25" t="n">
        <f aca="false">E688-D688</f>
        <v>-98419789.7478992</v>
      </c>
      <c r="G688" s="25" t="n">
        <f aca="false">E688-C688</f>
        <v>44525210.2521008</v>
      </c>
      <c r="H688" s="7" t="str">
        <f aca="false">IF(F688&gt;=0,A688,"")</f>
        <v/>
      </c>
      <c r="I688" s="7" t="n">
        <f aca="false">IF(F688&lt;0,A688,0)</f>
        <v>683</v>
      </c>
      <c r="J688" s="7" t="n">
        <f aca="false">IF(G688&gt;=0,A688,"")</f>
        <v>683</v>
      </c>
      <c r="K688" s="7" t="n">
        <f aca="false">IF(G688&lt;0,A688,0)</f>
        <v>0</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460587160</v>
      </c>
      <c r="D689" s="25" t="n">
        <f aca="false">('Chi phí'!$C$77+'Chi phí'!$D$77*B689+'Chi phí'!$E$77*A689+'Giả định'!$B$15*('Chi phí'!$F$77+'Chi phí'!$G$77*B689+'Chi phí'!$H$77*A689))*(1+'Giả định'!$B$16)</f>
        <v>603532160</v>
      </c>
      <c r="E689" s="25" t="n">
        <f aca="false">A689/'Giả định'!$B$19*'Giả định'!$B$20+A689*'Giả định'!$B$23+'Giả định'!$B$24</f>
        <v>505815126.05042</v>
      </c>
      <c r="F689" s="25" t="n">
        <f aca="false">E689-D689</f>
        <v>-97717033.9495798</v>
      </c>
      <c r="G689" s="25" t="n">
        <f aca="false">E689-C689</f>
        <v>45227966.0504202</v>
      </c>
      <c r="H689" s="7" t="str">
        <f aca="false">IF(F689&gt;=0,A689,"")</f>
        <v/>
      </c>
      <c r="I689" s="7" t="n">
        <f aca="false">IF(F689&lt;0,A689,0)</f>
        <v>684</v>
      </c>
      <c r="J689" s="7" t="n">
        <f aca="false">IF(G689&gt;=0,A689,"")</f>
        <v>684</v>
      </c>
      <c r="K689" s="7" t="n">
        <f aca="false">IF(G689&lt;0,A689,0)</f>
        <v>0</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460623900</v>
      </c>
      <c r="D690" s="25" t="n">
        <f aca="false">('Chi phí'!$C$77+'Chi phí'!$D$77*B690+'Chi phí'!$E$77*A690+'Giả định'!$B$15*('Chi phí'!$F$77+'Chi phí'!$G$77*B690+'Chi phí'!$H$77*A690))*(1+'Giả định'!$B$16)</f>
        <v>603568900</v>
      </c>
      <c r="E690" s="25" t="n">
        <f aca="false">A690/'Giả định'!$B$19*'Giả định'!$B$20+A690*'Giả định'!$B$23+'Giả định'!$B$24</f>
        <v>506554621.84874</v>
      </c>
      <c r="F690" s="25" t="n">
        <f aca="false">E690-D690</f>
        <v>-97014278.1512604</v>
      </c>
      <c r="G690" s="25" t="n">
        <f aca="false">E690-C690</f>
        <v>45930721.8487395</v>
      </c>
      <c r="H690" s="7" t="str">
        <f aca="false">IF(F690&gt;=0,A690,"")</f>
        <v/>
      </c>
      <c r="I690" s="7" t="n">
        <f aca="false">IF(F690&lt;0,A690,0)</f>
        <v>685</v>
      </c>
      <c r="J690" s="7" t="n">
        <f aca="false">IF(G690&gt;=0,A690,"")</f>
        <v>685</v>
      </c>
      <c r="K690" s="7" t="n">
        <f aca="false">IF(G690&lt;0,A690,0)</f>
        <v>0</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460660640</v>
      </c>
      <c r="D691" s="25" t="n">
        <f aca="false">('Chi phí'!$C$77+'Chi phí'!$D$77*B691+'Chi phí'!$E$77*A691+'Giả định'!$B$15*('Chi phí'!$F$77+'Chi phí'!$G$77*B691+'Chi phí'!$H$77*A691))*(1+'Giả định'!$B$16)</f>
        <v>603605640</v>
      </c>
      <c r="E691" s="25" t="n">
        <f aca="false">A691/'Giả định'!$B$19*'Giả định'!$B$20+A691*'Giả định'!$B$23+'Giả định'!$B$24</f>
        <v>507294117.647059</v>
      </c>
      <c r="F691" s="25" t="n">
        <f aca="false">E691-D691</f>
        <v>-96311522.3529411</v>
      </c>
      <c r="G691" s="25" t="n">
        <f aca="false">E691-C691</f>
        <v>46633477.6470588</v>
      </c>
      <c r="H691" s="7" t="str">
        <f aca="false">IF(F691&gt;=0,A691,"")</f>
        <v/>
      </c>
      <c r="I691" s="7" t="n">
        <f aca="false">IF(F691&lt;0,A691,0)</f>
        <v>686</v>
      </c>
      <c r="J691" s="7" t="n">
        <f aca="false">IF(G691&gt;=0,A691,"")</f>
        <v>686</v>
      </c>
      <c r="K691" s="7" t="n">
        <f aca="false">IF(G691&lt;0,A691,0)</f>
        <v>0</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460697380</v>
      </c>
      <c r="D692" s="25" t="n">
        <f aca="false">('Chi phí'!$C$77+'Chi phí'!$D$77*B692+'Chi phí'!$E$77*A692+'Giả định'!$B$15*('Chi phí'!$F$77+'Chi phí'!$G$77*B692+'Chi phí'!$H$77*A692))*(1+'Giả định'!$B$16)</f>
        <v>603642380</v>
      </c>
      <c r="E692" s="25" t="n">
        <f aca="false">A692/'Giả định'!$B$19*'Giả định'!$B$20+A692*'Giả định'!$B$23+'Giả định'!$B$24</f>
        <v>508033613.445378</v>
      </c>
      <c r="F692" s="25" t="n">
        <f aca="false">E692-D692</f>
        <v>-95608766.5546218</v>
      </c>
      <c r="G692" s="25" t="n">
        <f aca="false">E692-C692</f>
        <v>47336233.4453781</v>
      </c>
      <c r="H692" s="7" t="str">
        <f aca="false">IF(F692&gt;=0,A692,"")</f>
        <v/>
      </c>
      <c r="I692" s="7" t="n">
        <f aca="false">IF(F692&lt;0,A692,0)</f>
        <v>687</v>
      </c>
      <c r="J692" s="7" t="n">
        <f aca="false">IF(G692&gt;=0,A692,"")</f>
        <v>687</v>
      </c>
      <c r="K692" s="7" t="n">
        <f aca="false">IF(G692&lt;0,A692,0)</f>
        <v>0</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460734120</v>
      </c>
      <c r="D693" s="25" t="n">
        <f aca="false">('Chi phí'!$C$77+'Chi phí'!$D$77*B693+'Chi phí'!$E$77*A693+'Giả định'!$B$15*('Chi phí'!$F$77+'Chi phí'!$G$77*B693+'Chi phí'!$H$77*A693))*(1+'Giả định'!$B$16)</f>
        <v>603679120</v>
      </c>
      <c r="E693" s="25" t="n">
        <f aca="false">A693/'Giả định'!$B$19*'Giả định'!$B$20+A693*'Giả định'!$B$23+'Giả định'!$B$24</f>
        <v>508773109.243698</v>
      </c>
      <c r="F693" s="25" t="n">
        <f aca="false">E693-D693</f>
        <v>-94906010.7563025</v>
      </c>
      <c r="G693" s="25" t="n">
        <f aca="false">E693-C693</f>
        <v>48038989.2436975</v>
      </c>
      <c r="H693" s="7" t="str">
        <f aca="false">IF(F693&gt;=0,A693,"")</f>
        <v/>
      </c>
      <c r="I693" s="7" t="n">
        <f aca="false">IF(F693&lt;0,A693,0)</f>
        <v>688</v>
      </c>
      <c r="J693" s="7" t="n">
        <f aca="false">IF(G693&gt;=0,A693,"")</f>
        <v>688</v>
      </c>
      <c r="K693" s="7" t="n">
        <f aca="false">IF(G693&lt;0,A693,0)</f>
        <v>0</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460770860</v>
      </c>
      <c r="D694" s="25" t="n">
        <f aca="false">('Chi phí'!$C$77+'Chi phí'!$D$77*B694+'Chi phí'!$E$77*A694+'Giả định'!$B$15*('Chi phí'!$F$77+'Chi phí'!$G$77*B694+'Chi phí'!$H$77*A694))*(1+'Giả định'!$B$16)</f>
        <v>603715860</v>
      </c>
      <c r="E694" s="25" t="n">
        <f aca="false">A694/'Giả định'!$B$19*'Giả định'!$B$20+A694*'Giả định'!$B$23+'Giả định'!$B$24</f>
        <v>509512605.042017</v>
      </c>
      <c r="F694" s="25" t="n">
        <f aca="false">E694-D694</f>
        <v>-94203254.9579831</v>
      </c>
      <c r="G694" s="25" t="n">
        <f aca="false">E694-C694</f>
        <v>48741745.0420168</v>
      </c>
      <c r="H694" s="7" t="str">
        <f aca="false">IF(F694&gt;=0,A694,"")</f>
        <v/>
      </c>
      <c r="I694" s="7" t="n">
        <f aca="false">IF(F694&lt;0,A694,0)</f>
        <v>689</v>
      </c>
      <c r="J694" s="7" t="n">
        <f aca="false">IF(G694&gt;=0,A694,"")</f>
        <v>689</v>
      </c>
      <c r="K694" s="7" t="n">
        <f aca="false">IF(G694&lt;0,A694,0)</f>
        <v>0</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460807600</v>
      </c>
      <c r="D695" s="25" t="n">
        <f aca="false">('Chi phí'!$C$77+'Chi phí'!$D$77*B695+'Chi phí'!$E$77*A695+'Giả định'!$B$15*('Chi phí'!$F$77+'Chi phí'!$G$77*B695+'Chi phí'!$H$77*A695))*(1+'Giả định'!$B$16)</f>
        <v>603752600</v>
      </c>
      <c r="E695" s="25" t="n">
        <f aca="false">A695/'Giả định'!$B$19*'Giả định'!$B$20+A695*'Giả định'!$B$23+'Giả định'!$B$24</f>
        <v>510252100.840336</v>
      </c>
      <c r="F695" s="25" t="n">
        <f aca="false">E695-D695</f>
        <v>-93500499.1596639</v>
      </c>
      <c r="G695" s="25" t="n">
        <f aca="false">E695-C695</f>
        <v>49444500.8403361</v>
      </c>
      <c r="H695" s="7" t="str">
        <f aca="false">IF(F695&gt;=0,A695,"")</f>
        <v/>
      </c>
      <c r="I695" s="7" t="n">
        <f aca="false">IF(F695&lt;0,A695,0)</f>
        <v>690</v>
      </c>
      <c r="J695" s="7" t="n">
        <f aca="false">IF(G695&gt;=0,A695,"")</f>
        <v>690</v>
      </c>
      <c r="K695" s="7" t="n">
        <f aca="false">IF(G695&lt;0,A695,0)</f>
        <v>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466229940</v>
      </c>
      <c r="D696" s="25" t="n">
        <f aca="false">('Chi phí'!$C$77+'Chi phí'!$D$77*B696+'Chi phí'!$E$77*A696+'Giả định'!$B$15*('Chi phí'!$F$77+'Chi phí'!$G$77*B696+'Chi phí'!$H$77*A696))*(1+'Giả định'!$B$16)</f>
        <v>609174940</v>
      </c>
      <c r="E696" s="25" t="n">
        <f aca="false">A696/'Giả định'!$B$19*'Giả định'!$B$20+A696*'Giả định'!$B$23+'Giả định'!$B$24</f>
        <v>510991596.638656</v>
      </c>
      <c r="F696" s="25" t="n">
        <f aca="false">E696-D696</f>
        <v>-98183343.3613445</v>
      </c>
      <c r="G696" s="25" t="n">
        <f aca="false">E696-C696</f>
        <v>44761656.6386554</v>
      </c>
      <c r="H696" s="7" t="str">
        <f aca="false">IF(F696&gt;=0,A696,"")</f>
        <v/>
      </c>
      <c r="I696" s="7" t="n">
        <f aca="false">IF(F696&lt;0,A696,0)</f>
        <v>691</v>
      </c>
      <c r="J696" s="7" t="n">
        <f aca="false">IF(G696&gt;=0,A696,"")</f>
        <v>691</v>
      </c>
      <c r="K696" s="7" t="n">
        <f aca="false">IF(G696&lt;0,A696,0)</f>
        <v>0</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466266680</v>
      </c>
      <c r="D697" s="25" t="n">
        <f aca="false">('Chi phí'!$C$77+'Chi phí'!$D$77*B697+'Chi phí'!$E$77*A697+'Giả định'!$B$15*('Chi phí'!$F$77+'Chi phí'!$G$77*B697+'Chi phí'!$H$77*A697))*(1+'Giả định'!$B$16)</f>
        <v>609211680</v>
      </c>
      <c r="E697" s="25" t="n">
        <f aca="false">A697/'Giả định'!$B$19*'Giả định'!$B$20+A697*'Giả định'!$B$23+'Giả định'!$B$24</f>
        <v>511731092.436975</v>
      </c>
      <c r="F697" s="25" t="n">
        <f aca="false">E697-D697</f>
        <v>-97480587.5630252</v>
      </c>
      <c r="G697" s="25" t="n">
        <f aca="false">E697-C697</f>
        <v>45464412.4369748</v>
      </c>
      <c r="H697" s="7" t="str">
        <f aca="false">IF(F697&gt;=0,A697,"")</f>
        <v/>
      </c>
      <c r="I697" s="7" t="n">
        <f aca="false">IF(F697&lt;0,A697,0)</f>
        <v>692</v>
      </c>
      <c r="J697" s="7" t="n">
        <f aca="false">IF(G697&gt;=0,A697,"")</f>
        <v>692</v>
      </c>
      <c r="K697" s="7" t="n">
        <f aca="false">IF(G697&lt;0,A697,0)</f>
        <v>0</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466303420</v>
      </c>
      <c r="D698" s="25" t="n">
        <f aca="false">('Chi phí'!$C$77+'Chi phí'!$D$77*B698+'Chi phí'!$E$77*A698+'Giả định'!$B$15*('Chi phí'!$F$77+'Chi phí'!$G$77*B698+'Chi phí'!$H$77*A698))*(1+'Giả định'!$B$16)</f>
        <v>609248420</v>
      </c>
      <c r="E698" s="25" t="n">
        <f aca="false">A698/'Giả định'!$B$19*'Giả định'!$B$20+A698*'Giả định'!$B$23+'Giả định'!$B$24</f>
        <v>512470588.235294</v>
      </c>
      <c r="F698" s="25" t="n">
        <f aca="false">E698-D698</f>
        <v>-96777831.7647058</v>
      </c>
      <c r="G698" s="25" t="n">
        <f aca="false">E698-C698</f>
        <v>46167168.2352941</v>
      </c>
      <c r="H698" s="7" t="str">
        <f aca="false">IF(F698&gt;=0,A698,"")</f>
        <v/>
      </c>
      <c r="I698" s="7" t="n">
        <f aca="false">IF(F698&lt;0,A698,0)</f>
        <v>693</v>
      </c>
      <c r="J698" s="7" t="n">
        <f aca="false">IF(G698&gt;=0,A698,"")</f>
        <v>693</v>
      </c>
      <c r="K698" s="7" t="n">
        <f aca="false">IF(G698&lt;0,A698,0)</f>
        <v>0</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466340160</v>
      </c>
      <c r="D699" s="25" t="n">
        <f aca="false">('Chi phí'!$C$77+'Chi phí'!$D$77*B699+'Chi phí'!$E$77*A699+'Giả định'!$B$15*('Chi phí'!$F$77+'Chi phí'!$G$77*B699+'Chi phí'!$H$77*A699))*(1+'Giả định'!$B$16)</f>
        <v>609285160</v>
      </c>
      <c r="E699" s="25" t="n">
        <f aca="false">A699/'Giả định'!$B$19*'Giả định'!$B$20+A699*'Giả định'!$B$23+'Giả định'!$B$24</f>
        <v>513210084.033613</v>
      </c>
      <c r="F699" s="25" t="n">
        <f aca="false">E699-D699</f>
        <v>-96075075.9663866</v>
      </c>
      <c r="G699" s="25" t="n">
        <f aca="false">E699-C699</f>
        <v>46869924.0336134</v>
      </c>
      <c r="H699" s="7" t="str">
        <f aca="false">IF(F699&gt;=0,A699,"")</f>
        <v/>
      </c>
      <c r="I699" s="7" t="n">
        <f aca="false">IF(F699&lt;0,A699,0)</f>
        <v>694</v>
      </c>
      <c r="J699" s="7" t="n">
        <f aca="false">IF(G699&gt;=0,A699,"")</f>
        <v>694</v>
      </c>
      <c r="K699" s="7" t="n">
        <f aca="false">IF(G699&lt;0,A699,0)</f>
        <v>0</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466376900</v>
      </c>
      <c r="D700" s="25" t="n">
        <f aca="false">('Chi phí'!$C$77+'Chi phí'!$D$77*B700+'Chi phí'!$E$77*A700+'Giả định'!$B$15*('Chi phí'!$F$77+'Chi phí'!$G$77*B700+'Chi phí'!$H$77*A700))*(1+'Giả định'!$B$16)</f>
        <v>609321900</v>
      </c>
      <c r="E700" s="25" t="n">
        <f aca="false">A700/'Giả định'!$B$19*'Giả định'!$B$20+A700*'Giả định'!$B$23+'Giả định'!$B$24</f>
        <v>513949579.831933</v>
      </c>
      <c r="F700" s="25" t="n">
        <f aca="false">E700-D700</f>
        <v>-95372320.1680672</v>
      </c>
      <c r="G700" s="25" t="n">
        <f aca="false">E700-C700</f>
        <v>47572679.8319327</v>
      </c>
      <c r="H700" s="7" t="str">
        <f aca="false">IF(F700&gt;=0,A700,"")</f>
        <v/>
      </c>
      <c r="I700" s="7" t="n">
        <f aca="false">IF(F700&lt;0,A700,0)</f>
        <v>695</v>
      </c>
      <c r="J700" s="7" t="n">
        <f aca="false">IF(G700&gt;=0,A700,"")</f>
        <v>695</v>
      </c>
      <c r="K700" s="7" t="n">
        <f aca="false">IF(G700&lt;0,A700,0)</f>
        <v>0</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466413640</v>
      </c>
      <c r="D701" s="25" t="n">
        <f aca="false">('Chi phí'!$C$77+'Chi phí'!$D$77*B701+'Chi phí'!$E$77*A701+'Giả định'!$B$15*('Chi phí'!$F$77+'Chi phí'!$G$77*B701+'Chi phí'!$H$77*A701))*(1+'Giả định'!$B$16)</f>
        <v>609358640</v>
      </c>
      <c r="E701" s="25" t="n">
        <f aca="false">A701/'Giả định'!$B$19*'Giả định'!$B$20+A701*'Giả định'!$B$23+'Giả định'!$B$24</f>
        <v>514689075.630252</v>
      </c>
      <c r="F701" s="25" t="n">
        <f aca="false">E701-D701</f>
        <v>-94669564.3697478</v>
      </c>
      <c r="G701" s="25" t="n">
        <f aca="false">E701-C701</f>
        <v>48275435.6302521</v>
      </c>
      <c r="H701" s="7" t="str">
        <f aca="false">IF(F701&gt;=0,A701,"")</f>
        <v/>
      </c>
      <c r="I701" s="7" t="n">
        <f aca="false">IF(F701&lt;0,A701,0)</f>
        <v>696</v>
      </c>
      <c r="J701" s="7" t="n">
        <f aca="false">IF(G701&gt;=0,A701,"")</f>
        <v>696</v>
      </c>
      <c r="K701" s="7" t="n">
        <f aca="false">IF(G701&lt;0,A701,0)</f>
        <v>0</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466450380</v>
      </c>
      <c r="D702" s="25" t="n">
        <f aca="false">('Chi phí'!$C$77+'Chi phí'!$D$77*B702+'Chi phí'!$E$77*A702+'Giả định'!$B$15*('Chi phí'!$F$77+'Chi phí'!$G$77*B702+'Chi phí'!$H$77*A702))*(1+'Giả định'!$B$16)</f>
        <v>609395380</v>
      </c>
      <c r="E702" s="25" t="n">
        <f aca="false">A702/'Giả định'!$B$19*'Giả định'!$B$20+A702*'Giả định'!$B$23+'Giả định'!$B$24</f>
        <v>515428571.428571</v>
      </c>
      <c r="F702" s="25" t="n">
        <f aca="false">E702-D702</f>
        <v>-93966808.5714285</v>
      </c>
      <c r="G702" s="25" t="n">
        <f aca="false">E702-C702</f>
        <v>48978191.4285714</v>
      </c>
      <c r="H702" s="7" t="str">
        <f aca="false">IF(F702&gt;=0,A702,"")</f>
        <v/>
      </c>
      <c r="I702" s="7" t="n">
        <f aca="false">IF(F702&lt;0,A702,0)</f>
        <v>697</v>
      </c>
      <c r="J702" s="7" t="n">
        <f aca="false">IF(G702&gt;=0,A702,"")</f>
        <v>697</v>
      </c>
      <c r="K702" s="7" t="n">
        <f aca="false">IF(G702&lt;0,A702,0)</f>
        <v>0</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466487120</v>
      </c>
      <c r="D703" s="25" t="n">
        <f aca="false">('Chi phí'!$C$77+'Chi phí'!$D$77*B703+'Chi phí'!$E$77*A703+'Giả định'!$B$15*('Chi phí'!$F$77+'Chi phí'!$G$77*B703+'Chi phí'!$H$77*A703))*(1+'Giả định'!$B$16)</f>
        <v>609432120</v>
      </c>
      <c r="E703" s="25" t="n">
        <f aca="false">A703/'Giả định'!$B$19*'Giả định'!$B$20+A703*'Giả định'!$B$23+'Giả định'!$B$24</f>
        <v>516168067.226891</v>
      </c>
      <c r="F703" s="25" t="n">
        <f aca="false">E703-D703</f>
        <v>-93264052.7731092</v>
      </c>
      <c r="G703" s="25" t="n">
        <f aca="false">E703-C703</f>
        <v>49680947.2268907</v>
      </c>
      <c r="H703" s="7" t="str">
        <f aca="false">IF(F703&gt;=0,A703,"")</f>
        <v/>
      </c>
      <c r="I703" s="7" t="n">
        <f aca="false">IF(F703&lt;0,A703,0)</f>
        <v>698</v>
      </c>
      <c r="J703" s="7" t="n">
        <f aca="false">IF(G703&gt;=0,A703,"")</f>
        <v>698</v>
      </c>
      <c r="K703" s="7" t="n">
        <f aca="false">IF(G703&lt;0,A703,0)</f>
        <v>0</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466523860</v>
      </c>
      <c r="D704" s="25" t="n">
        <f aca="false">('Chi phí'!$C$77+'Chi phí'!$D$77*B704+'Chi phí'!$E$77*A704+'Giả định'!$B$15*('Chi phí'!$F$77+'Chi phí'!$G$77*B704+'Chi phí'!$H$77*A704))*(1+'Giả định'!$B$16)</f>
        <v>609468860</v>
      </c>
      <c r="E704" s="25" t="n">
        <f aca="false">A704/'Giả định'!$B$19*'Giả định'!$B$20+A704*'Giả định'!$B$23+'Giả định'!$B$24</f>
        <v>516907563.02521</v>
      </c>
      <c r="F704" s="25" t="n">
        <f aca="false">E704-D704</f>
        <v>-92561296.9747899</v>
      </c>
      <c r="G704" s="25" t="n">
        <f aca="false">E704-C704</f>
        <v>50383703.0252101</v>
      </c>
      <c r="H704" s="7" t="str">
        <f aca="false">IF(F704&gt;=0,A704,"")</f>
        <v/>
      </c>
      <c r="I704" s="7" t="n">
        <f aca="false">IF(F704&lt;0,A704,0)</f>
        <v>699</v>
      </c>
      <c r="J704" s="7" t="n">
        <f aca="false">IF(G704&gt;=0,A704,"")</f>
        <v>699</v>
      </c>
      <c r="K704" s="7" t="n">
        <f aca="false">IF(G704&lt;0,A704,0)</f>
        <v>0</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466560600</v>
      </c>
      <c r="D705" s="25" t="n">
        <f aca="false">('Chi phí'!$C$77+'Chi phí'!$D$77*B705+'Chi phí'!$E$77*A705+'Giả định'!$B$15*('Chi phí'!$F$77+'Chi phí'!$G$77*B705+'Chi phí'!$H$77*A705))*(1+'Giả định'!$B$16)</f>
        <v>609505600</v>
      </c>
      <c r="E705" s="25" t="n">
        <f aca="false">A705/'Giả định'!$B$19*'Giả định'!$B$20+A705*'Giả định'!$B$23+'Giả định'!$B$24</f>
        <v>517647058.82353</v>
      </c>
      <c r="F705" s="25" t="n">
        <f aca="false">E705-D705</f>
        <v>-91858541.1764705</v>
      </c>
      <c r="G705" s="25" t="n">
        <f aca="false">E705-C705</f>
        <v>51086458.8235294</v>
      </c>
      <c r="H705" s="7" t="str">
        <f aca="false">IF(F705&gt;=0,A705,"")</f>
        <v/>
      </c>
      <c r="I705" s="7" t="n">
        <f aca="false">IF(F705&lt;0,A705,0)</f>
        <v>700</v>
      </c>
      <c r="J705" s="7" t="n">
        <f aca="false">IF(G705&gt;=0,A705,"")</f>
        <v>700</v>
      </c>
      <c r="K705" s="7" t="n">
        <f aca="false">IF(G705&lt;0,A705,0)</f>
        <v>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471982940</v>
      </c>
      <c r="D706" s="25" t="n">
        <f aca="false">('Chi phí'!$C$77+'Chi phí'!$D$77*B706+'Chi phí'!$E$77*A706+'Giả định'!$B$15*('Chi phí'!$F$77+'Chi phí'!$G$77*B706+'Chi phí'!$H$77*A706))*(1+'Giả định'!$B$16)</f>
        <v>614927940</v>
      </c>
      <c r="E706" s="25" t="n">
        <f aca="false">A706/'Giả định'!$B$19*'Giả định'!$B$20+A706*'Giả định'!$B$23+'Giả định'!$B$24</f>
        <v>518386554.621849</v>
      </c>
      <c r="F706" s="25" t="n">
        <f aca="false">E706-D706</f>
        <v>-96541385.3781512</v>
      </c>
      <c r="G706" s="25" t="n">
        <f aca="false">E706-C706</f>
        <v>46403614.6218487</v>
      </c>
      <c r="H706" s="7" t="str">
        <f aca="false">IF(F706&gt;=0,A706,"")</f>
        <v/>
      </c>
      <c r="I706" s="7" t="n">
        <f aca="false">IF(F706&lt;0,A706,0)</f>
        <v>701</v>
      </c>
      <c r="J706" s="7" t="n">
        <f aca="false">IF(G706&gt;=0,A706,"")</f>
        <v>701</v>
      </c>
      <c r="K706" s="7" t="n">
        <f aca="false">IF(G706&lt;0,A706,0)</f>
        <v>0</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472019680</v>
      </c>
      <c r="D707" s="25" t="n">
        <f aca="false">('Chi phí'!$C$77+'Chi phí'!$D$77*B707+'Chi phí'!$E$77*A707+'Giả định'!$B$15*('Chi phí'!$F$77+'Chi phí'!$G$77*B707+'Chi phí'!$H$77*A707))*(1+'Giả định'!$B$16)</f>
        <v>614964680</v>
      </c>
      <c r="E707" s="25" t="n">
        <f aca="false">A707/'Giả định'!$B$19*'Giả định'!$B$20+A707*'Giả định'!$B$23+'Giả định'!$B$24</f>
        <v>519126050.420168</v>
      </c>
      <c r="F707" s="25" t="n">
        <f aca="false">E707-D707</f>
        <v>-95838629.5798319</v>
      </c>
      <c r="G707" s="25" t="n">
        <f aca="false">E707-C707</f>
        <v>47106370.420168</v>
      </c>
      <c r="H707" s="7" t="str">
        <f aca="false">IF(F707&gt;=0,A707,"")</f>
        <v/>
      </c>
      <c r="I707" s="7" t="n">
        <f aca="false">IF(F707&lt;0,A707,0)</f>
        <v>702</v>
      </c>
      <c r="J707" s="7" t="n">
        <f aca="false">IF(G707&gt;=0,A707,"")</f>
        <v>702</v>
      </c>
      <c r="K707" s="7" t="n">
        <f aca="false">IF(G707&lt;0,A707,0)</f>
        <v>0</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472056420</v>
      </c>
      <c r="D708" s="25" t="n">
        <f aca="false">('Chi phí'!$C$77+'Chi phí'!$D$77*B708+'Chi phí'!$E$77*A708+'Giả định'!$B$15*('Chi phí'!$F$77+'Chi phí'!$G$77*B708+'Chi phí'!$H$77*A708))*(1+'Giả định'!$B$16)</f>
        <v>615001420</v>
      </c>
      <c r="E708" s="25" t="n">
        <f aca="false">A708/'Giả định'!$B$19*'Giả định'!$B$20+A708*'Giả định'!$B$23+'Giả định'!$B$24</f>
        <v>519865546.218487</v>
      </c>
      <c r="F708" s="25" t="n">
        <f aca="false">E708-D708</f>
        <v>-95135873.7815126</v>
      </c>
      <c r="G708" s="25" t="n">
        <f aca="false">E708-C708</f>
        <v>47809126.2184874</v>
      </c>
      <c r="H708" s="7" t="str">
        <f aca="false">IF(F708&gt;=0,A708,"")</f>
        <v/>
      </c>
      <c r="I708" s="7" t="n">
        <f aca="false">IF(F708&lt;0,A708,0)</f>
        <v>703</v>
      </c>
      <c r="J708" s="7" t="n">
        <f aca="false">IF(G708&gt;=0,A708,"")</f>
        <v>703</v>
      </c>
      <c r="K708" s="7" t="n">
        <f aca="false">IF(G708&lt;0,A708,0)</f>
        <v>0</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472093160</v>
      </c>
      <c r="D709" s="25" t="n">
        <f aca="false">('Chi phí'!$C$77+'Chi phí'!$D$77*B709+'Chi phí'!$E$77*A709+'Giả định'!$B$15*('Chi phí'!$F$77+'Chi phí'!$G$77*B709+'Chi phí'!$H$77*A709))*(1+'Giả định'!$B$16)</f>
        <v>615038160</v>
      </c>
      <c r="E709" s="25" t="n">
        <f aca="false">A709/'Giả định'!$B$19*'Giả định'!$B$20+A709*'Giả định'!$B$23+'Giả định'!$B$24</f>
        <v>520605042.016807</v>
      </c>
      <c r="F709" s="25" t="n">
        <f aca="false">E709-D709</f>
        <v>-94433117.9831933</v>
      </c>
      <c r="G709" s="25" t="n">
        <f aca="false">E709-C709</f>
        <v>48511882.0168067</v>
      </c>
      <c r="H709" s="7" t="str">
        <f aca="false">IF(F709&gt;=0,A709,"")</f>
        <v/>
      </c>
      <c r="I709" s="7" t="n">
        <f aca="false">IF(F709&lt;0,A709,0)</f>
        <v>704</v>
      </c>
      <c r="J709" s="7" t="n">
        <f aca="false">IF(G709&gt;=0,A709,"")</f>
        <v>704</v>
      </c>
      <c r="K709" s="7" t="n">
        <f aca="false">IF(G709&lt;0,A709,0)</f>
        <v>0</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472129900</v>
      </c>
      <c r="D710" s="25" t="n">
        <f aca="false">('Chi phí'!$C$77+'Chi phí'!$D$77*B710+'Chi phí'!$E$77*A710+'Giả định'!$B$15*('Chi phí'!$F$77+'Chi phí'!$G$77*B710+'Chi phí'!$H$77*A710))*(1+'Giả định'!$B$16)</f>
        <v>615074900</v>
      </c>
      <c r="E710" s="25" t="n">
        <f aca="false">A710/'Giả định'!$B$19*'Giả định'!$B$20+A710*'Giả định'!$B$23+'Giả định'!$B$24</f>
        <v>521344537.815126</v>
      </c>
      <c r="F710" s="25" t="n">
        <f aca="false">E710-D710</f>
        <v>-93730362.1848739</v>
      </c>
      <c r="G710" s="25" t="n">
        <f aca="false">E710-C710</f>
        <v>49214637.815126</v>
      </c>
      <c r="H710" s="7" t="str">
        <f aca="false">IF(F710&gt;=0,A710,"")</f>
        <v/>
      </c>
      <c r="I710" s="7" t="n">
        <f aca="false">IF(F710&lt;0,A710,0)</f>
        <v>705</v>
      </c>
      <c r="J710" s="7" t="n">
        <f aca="false">IF(G710&gt;=0,A710,"")</f>
        <v>705</v>
      </c>
      <c r="K710" s="7" t="n">
        <f aca="false">IF(G710&lt;0,A710,0)</f>
        <v>0</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472166640</v>
      </c>
      <c r="D711" s="25" t="n">
        <f aca="false">('Chi phí'!$C$77+'Chi phí'!$D$77*B711+'Chi phí'!$E$77*A711+'Giả định'!$B$15*('Chi phí'!$F$77+'Chi phí'!$G$77*B711+'Chi phí'!$H$77*A711))*(1+'Giả định'!$B$16)</f>
        <v>615111640</v>
      </c>
      <c r="E711" s="25" t="n">
        <f aca="false">A711/'Giả định'!$B$19*'Giả định'!$B$20+A711*'Giả định'!$B$23+'Giả định'!$B$24</f>
        <v>522084033.613445</v>
      </c>
      <c r="F711" s="25" t="n">
        <f aca="false">E711-D711</f>
        <v>-93027606.3865546</v>
      </c>
      <c r="G711" s="25" t="n">
        <f aca="false">E711-C711</f>
        <v>49917393.6134453</v>
      </c>
      <c r="H711" s="7" t="str">
        <f aca="false">IF(F711&gt;=0,A711,"")</f>
        <v/>
      </c>
      <c r="I711" s="7" t="n">
        <f aca="false">IF(F711&lt;0,A711,0)</f>
        <v>706</v>
      </c>
      <c r="J711" s="7" t="n">
        <f aca="false">IF(G711&gt;=0,A711,"")</f>
        <v>706</v>
      </c>
      <c r="K711" s="7" t="n">
        <f aca="false">IF(G711&lt;0,A711,0)</f>
        <v>0</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472203380</v>
      </c>
      <c r="D712" s="25" t="n">
        <f aca="false">('Chi phí'!$C$77+'Chi phí'!$D$77*B712+'Chi phí'!$E$77*A712+'Giả định'!$B$15*('Chi phí'!$F$77+'Chi phí'!$G$77*B712+'Chi phí'!$H$77*A712))*(1+'Giả định'!$B$16)</f>
        <v>615148380</v>
      </c>
      <c r="E712" s="25" t="n">
        <f aca="false">A712/'Giả định'!$B$19*'Giả định'!$B$20+A712*'Giả định'!$B$23+'Giả định'!$B$24</f>
        <v>522823529.411765</v>
      </c>
      <c r="F712" s="25" t="n">
        <f aca="false">E712-D712</f>
        <v>-92324850.5882353</v>
      </c>
      <c r="G712" s="25" t="n">
        <f aca="false">E712-C712</f>
        <v>50620149.4117647</v>
      </c>
      <c r="H712" s="7" t="str">
        <f aca="false">IF(F712&gt;=0,A712,"")</f>
        <v/>
      </c>
      <c r="I712" s="7" t="n">
        <f aca="false">IF(F712&lt;0,A712,0)</f>
        <v>707</v>
      </c>
      <c r="J712" s="7" t="n">
        <f aca="false">IF(G712&gt;=0,A712,"")</f>
        <v>707</v>
      </c>
      <c r="K712" s="7" t="n">
        <f aca="false">IF(G712&lt;0,A712,0)</f>
        <v>0</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472240120</v>
      </c>
      <c r="D713" s="25" t="n">
        <f aca="false">('Chi phí'!$C$77+'Chi phí'!$D$77*B713+'Chi phí'!$E$77*A713+'Giả định'!$B$15*('Chi phí'!$F$77+'Chi phí'!$G$77*B713+'Chi phí'!$H$77*A713))*(1+'Giả định'!$B$16)</f>
        <v>615185120</v>
      </c>
      <c r="E713" s="25" t="n">
        <f aca="false">A713/'Giả định'!$B$19*'Giả định'!$B$20+A713*'Giả định'!$B$23+'Giả định'!$B$24</f>
        <v>523563025.210084</v>
      </c>
      <c r="F713" s="25" t="n">
        <f aca="false">E713-D713</f>
        <v>-91622094.7899159</v>
      </c>
      <c r="G713" s="25" t="n">
        <f aca="false">E713-C713</f>
        <v>51322905.210084</v>
      </c>
      <c r="H713" s="7" t="str">
        <f aca="false">IF(F713&gt;=0,A713,"")</f>
        <v/>
      </c>
      <c r="I713" s="7" t="n">
        <f aca="false">IF(F713&lt;0,A713,0)</f>
        <v>708</v>
      </c>
      <c r="J713" s="7" t="n">
        <f aca="false">IF(G713&gt;=0,A713,"")</f>
        <v>708</v>
      </c>
      <c r="K713" s="7" t="n">
        <f aca="false">IF(G713&lt;0,A713,0)</f>
        <v>0</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472276860</v>
      </c>
      <c r="D714" s="25" t="n">
        <f aca="false">('Chi phí'!$C$77+'Chi phí'!$D$77*B714+'Chi phí'!$E$77*A714+'Giả định'!$B$15*('Chi phí'!$F$77+'Chi phí'!$G$77*B714+'Chi phí'!$H$77*A714))*(1+'Giả định'!$B$16)</f>
        <v>615221860</v>
      </c>
      <c r="E714" s="25" t="n">
        <f aca="false">A714/'Giả định'!$B$19*'Giả định'!$B$20+A714*'Giả định'!$B$23+'Giả định'!$B$24</f>
        <v>524302521.008403</v>
      </c>
      <c r="F714" s="25" t="n">
        <f aca="false">E714-D714</f>
        <v>-90919338.9915966</v>
      </c>
      <c r="G714" s="25" t="n">
        <f aca="false">E714-C714</f>
        <v>52025661.0084034</v>
      </c>
      <c r="H714" s="7" t="str">
        <f aca="false">IF(F714&gt;=0,A714,"")</f>
        <v/>
      </c>
      <c r="I714" s="7" t="n">
        <f aca="false">IF(F714&lt;0,A714,0)</f>
        <v>709</v>
      </c>
      <c r="J714" s="7" t="n">
        <f aca="false">IF(G714&gt;=0,A714,"")</f>
        <v>709</v>
      </c>
      <c r="K714" s="7" t="n">
        <f aca="false">IF(G714&lt;0,A714,0)</f>
        <v>0</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472313600</v>
      </c>
      <c r="D715" s="25" t="n">
        <f aca="false">('Chi phí'!$C$77+'Chi phí'!$D$77*B715+'Chi phí'!$E$77*A715+'Giả định'!$B$15*('Chi phí'!$F$77+'Chi phí'!$G$77*B715+'Chi phí'!$H$77*A715))*(1+'Giả định'!$B$16)</f>
        <v>615258600</v>
      </c>
      <c r="E715" s="25" t="n">
        <f aca="false">A715/'Giả định'!$B$19*'Giả định'!$B$20+A715*'Giả định'!$B$23+'Giả định'!$B$24</f>
        <v>525042016.806723</v>
      </c>
      <c r="F715" s="25" t="n">
        <f aca="false">E715-D715</f>
        <v>-90216583.1932772</v>
      </c>
      <c r="G715" s="25" t="n">
        <f aca="false">E715-C715</f>
        <v>52728416.8067227</v>
      </c>
      <c r="H715" s="7" t="str">
        <f aca="false">IF(F715&gt;=0,A715,"")</f>
        <v/>
      </c>
      <c r="I715" s="7" t="n">
        <f aca="false">IF(F715&lt;0,A715,0)</f>
        <v>710</v>
      </c>
      <c r="J715" s="7" t="n">
        <f aca="false">IF(G715&gt;=0,A715,"")</f>
        <v>710</v>
      </c>
      <c r="K715" s="7" t="n">
        <f aca="false">IF(G715&lt;0,A715,0)</f>
        <v>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477735940</v>
      </c>
      <c r="D716" s="25" t="n">
        <f aca="false">('Chi phí'!$C$77+'Chi phí'!$D$77*B716+'Chi phí'!$E$77*A716+'Giả định'!$B$15*('Chi phí'!$F$77+'Chi phí'!$G$77*B716+'Chi phí'!$H$77*A716))*(1+'Giả định'!$B$16)</f>
        <v>620680940</v>
      </c>
      <c r="E716" s="25" t="n">
        <f aca="false">A716/'Giả định'!$B$19*'Giả định'!$B$20+A716*'Giả định'!$B$23+'Giả định'!$B$24</f>
        <v>525781512.605042</v>
      </c>
      <c r="F716" s="25" t="n">
        <f aca="false">E716-D716</f>
        <v>-94899427.394958</v>
      </c>
      <c r="G716" s="25" t="n">
        <f aca="false">E716-C716</f>
        <v>48045572.605042</v>
      </c>
      <c r="H716" s="7" t="str">
        <f aca="false">IF(F716&gt;=0,A716,"")</f>
        <v/>
      </c>
      <c r="I716" s="7" t="n">
        <f aca="false">IF(F716&lt;0,A716,0)</f>
        <v>711</v>
      </c>
      <c r="J716" s="7" t="n">
        <f aca="false">IF(G716&gt;=0,A716,"")</f>
        <v>711</v>
      </c>
      <c r="K716" s="7" t="n">
        <f aca="false">IF(G716&lt;0,A716,0)</f>
        <v>0</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477772680</v>
      </c>
      <c r="D717" s="25" t="n">
        <f aca="false">('Chi phí'!$C$77+'Chi phí'!$D$77*B717+'Chi phí'!$E$77*A717+'Giả định'!$B$15*('Chi phí'!$F$77+'Chi phí'!$G$77*B717+'Chi phí'!$H$77*A717))*(1+'Giả định'!$B$16)</f>
        <v>620717680</v>
      </c>
      <c r="E717" s="25" t="n">
        <f aca="false">A717/'Giả định'!$B$19*'Giả định'!$B$20+A717*'Giả định'!$B$23+'Giả định'!$B$24</f>
        <v>526521008.403361</v>
      </c>
      <c r="F717" s="25" t="n">
        <f aca="false">E717-D717</f>
        <v>-94196671.5966386</v>
      </c>
      <c r="G717" s="25" t="n">
        <f aca="false">E717-C717</f>
        <v>48748328.4033613</v>
      </c>
      <c r="H717" s="7" t="str">
        <f aca="false">IF(F717&gt;=0,A717,"")</f>
        <v/>
      </c>
      <c r="I717" s="7" t="n">
        <f aca="false">IF(F717&lt;0,A717,0)</f>
        <v>712</v>
      </c>
      <c r="J717" s="7" t="n">
        <f aca="false">IF(G717&gt;=0,A717,"")</f>
        <v>712</v>
      </c>
      <c r="K717" s="7" t="n">
        <f aca="false">IF(G717&lt;0,A717,0)</f>
        <v>0</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477809420</v>
      </c>
      <c r="D718" s="25" t="n">
        <f aca="false">('Chi phí'!$C$77+'Chi phí'!$D$77*B718+'Chi phí'!$E$77*A718+'Giả định'!$B$15*('Chi phí'!$F$77+'Chi phí'!$G$77*B718+'Chi phí'!$H$77*A718))*(1+'Giả định'!$B$16)</f>
        <v>620754420</v>
      </c>
      <c r="E718" s="25" t="n">
        <f aca="false">A718/'Giả định'!$B$19*'Giả định'!$B$20+A718*'Giả định'!$B$23+'Giả định'!$B$24</f>
        <v>527260504.201681</v>
      </c>
      <c r="F718" s="25" t="n">
        <f aca="false">E718-D718</f>
        <v>-93493915.7983193</v>
      </c>
      <c r="G718" s="25" t="n">
        <f aca="false">E718-C718</f>
        <v>49451084.2016807</v>
      </c>
      <c r="H718" s="7" t="str">
        <f aca="false">IF(F718&gt;=0,A718,"")</f>
        <v/>
      </c>
      <c r="I718" s="7" t="n">
        <f aca="false">IF(F718&lt;0,A718,0)</f>
        <v>713</v>
      </c>
      <c r="J718" s="7" t="n">
        <f aca="false">IF(G718&gt;=0,A718,"")</f>
        <v>713</v>
      </c>
      <c r="K718" s="7" t="n">
        <f aca="false">IF(G718&lt;0,A718,0)</f>
        <v>0</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477846160</v>
      </c>
      <c r="D719" s="25" t="n">
        <f aca="false">('Chi phí'!$C$77+'Chi phí'!$D$77*B719+'Chi phí'!$E$77*A719+'Giả định'!$B$15*('Chi phí'!$F$77+'Chi phí'!$G$77*B719+'Chi phí'!$H$77*A719))*(1+'Giả định'!$B$16)</f>
        <v>620791160</v>
      </c>
      <c r="E719" s="25" t="n">
        <f aca="false">A719/'Giả định'!$B$19*'Giả định'!$B$20+A719*'Giả định'!$B$23+'Giả định'!$B$24</f>
        <v>528000000</v>
      </c>
      <c r="F719" s="25" t="n">
        <f aca="false">E719-D719</f>
        <v>-92791159.9999999</v>
      </c>
      <c r="G719" s="25" t="n">
        <f aca="false">E719-C719</f>
        <v>50153840</v>
      </c>
      <c r="H719" s="7" t="str">
        <f aca="false">IF(F719&gt;=0,A719,"")</f>
        <v/>
      </c>
      <c r="I719" s="7" t="n">
        <f aca="false">IF(F719&lt;0,A719,0)</f>
        <v>714</v>
      </c>
      <c r="J719" s="7" t="n">
        <f aca="false">IF(G719&gt;=0,A719,"")</f>
        <v>714</v>
      </c>
      <c r="K719" s="7" t="n">
        <f aca="false">IF(G719&lt;0,A719,0)</f>
        <v>0</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477882900</v>
      </c>
      <c r="D720" s="25" t="n">
        <f aca="false">('Chi phí'!$C$77+'Chi phí'!$D$77*B720+'Chi phí'!$E$77*A720+'Giả định'!$B$15*('Chi phí'!$F$77+'Chi phí'!$G$77*B720+'Chi phí'!$H$77*A720))*(1+'Giả định'!$B$16)</f>
        <v>620827900</v>
      </c>
      <c r="E720" s="25" t="n">
        <f aca="false">A720/'Giả định'!$B$19*'Giả định'!$B$20+A720*'Giả định'!$B$23+'Giả định'!$B$24</f>
        <v>528739495.798319</v>
      </c>
      <c r="F720" s="25" t="n">
        <f aca="false">E720-D720</f>
        <v>-92088404.2016807</v>
      </c>
      <c r="G720" s="25" t="n">
        <f aca="false">E720-C720</f>
        <v>50856595.7983193</v>
      </c>
      <c r="H720" s="7" t="str">
        <f aca="false">IF(F720&gt;=0,A720,"")</f>
        <v/>
      </c>
      <c r="I720" s="7" t="n">
        <f aca="false">IF(F720&lt;0,A720,0)</f>
        <v>715</v>
      </c>
      <c r="J720" s="7" t="n">
        <f aca="false">IF(G720&gt;=0,A720,"")</f>
        <v>715</v>
      </c>
      <c r="K720" s="7" t="n">
        <f aca="false">IF(G720&lt;0,A720,0)</f>
        <v>0</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477919640</v>
      </c>
      <c r="D721" s="25" t="n">
        <f aca="false">('Chi phí'!$C$77+'Chi phí'!$D$77*B721+'Chi phí'!$E$77*A721+'Giả định'!$B$15*('Chi phí'!$F$77+'Chi phí'!$G$77*B721+'Chi phí'!$H$77*A721))*(1+'Giả định'!$B$16)</f>
        <v>620864640</v>
      </c>
      <c r="E721" s="25" t="n">
        <f aca="false">A721/'Giả định'!$B$19*'Giả định'!$B$20+A721*'Giả định'!$B$23+'Giả định'!$B$24</f>
        <v>529478991.596639</v>
      </c>
      <c r="F721" s="25" t="n">
        <f aca="false">E721-D721</f>
        <v>-91385648.4033613</v>
      </c>
      <c r="G721" s="25" t="n">
        <f aca="false">E721-C721</f>
        <v>51559351.5966386</v>
      </c>
      <c r="H721" s="7" t="str">
        <f aca="false">IF(F721&gt;=0,A721,"")</f>
        <v/>
      </c>
      <c r="I721" s="7" t="n">
        <f aca="false">IF(F721&lt;0,A721,0)</f>
        <v>716</v>
      </c>
      <c r="J721" s="7" t="n">
        <f aca="false">IF(G721&gt;=0,A721,"")</f>
        <v>716</v>
      </c>
      <c r="K721" s="7" t="n">
        <f aca="false">IF(G721&lt;0,A721,0)</f>
        <v>0</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477956380</v>
      </c>
      <c r="D722" s="25" t="n">
        <f aca="false">('Chi phí'!$C$77+'Chi phí'!$D$77*B722+'Chi phí'!$E$77*A722+'Giả định'!$B$15*('Chi phí'!$F$77+'Chi phí'!$G$77*B722+'Chi phí'!$H$77*A722))*(1+'Giả định'!$B$16)</f>
        <v>620901380</v>
      </c>
      <c r="E722" s="25" t="n">
        <f aca="false">A722/'Giả định'!$B$19*'Giả định'!$B$20+A722*'Giả định'!$B$23+'Giả định'!$B$24</f>
        <v>530218487.394958</v>
      </c>
      <c r="F722" s="25" t="n">
        <f aca="false">E722-D722</f>
        <v>-90682892.6050419</v>
      </c>
      <c r="G722" s="25" t="n">
        <f aca="false">E722-C722</f>
        <v>52262107.394958</v>
      </c>
      <c r="H722" s="7" t="str">
        <f aca="false">IF(F722&gt;=0,A722,"")</f>
        <v/>
      </c>
      <c r="I722" s="7" t="n">
        <f aca="false">IF(F722&lt;0,A722,0)</f>
        <v>717</v>
      </c>
      <c r="J722" s="7" t="n">
        <f aca="false">IF(G722&gt;=0,A722,"")</f>
        <v>717</v>
      </c>
      <c r="K722" s="7" t="n">
        <f aca="false">IF(G722&lt;0,A722,0)</f>
        <v>0</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477993120</v>
      </c>
      <c r="D723" s="25" t="n">
        <f aca="false">('Chi phí'!$C$77+'Chi phí'!$D$77*B723+'Chi phí'!$E$77*A723+'Giả định'!$B$15*('Chi phí'!$F$77+'Chi phí'!$G$77*B723+'Chi phí'!$H$77*A723))*(1+'Giả định'!$B$16)</f>
        <v>620938120</v>
      </c>
      <c r="E723" s="25" t="n">
        <f aca="false">A723/'Giả định'!$B$19*'Giả định'!$B$20+A723*'Giả định'!$B$23+'Giả định'!$B$24</f>
        <v>530957983.193277</v>
      </c>
      <c r="F723" s="25" t="n">
        <f aca="false">E723-D723</f>
        <v>-89980136.8067227</v>
      </c>
      <c r="G723" s="25" t="n">
        <f aca="false">E723-C723</f>
        <v>52964863.1932772</v>
      </c>
      <c r="H723" s="7" t="str">
        <f aca="false">IF(F723&gt;=0,A723,"")</f>
        <v/>
      </c>
      <c r="I723" s="7" t="n">
        <f aca="false">IF(F723&lt;0,A723,0)</f>
        <v>718</v>
      </c>
      <c r="J723" s="7" t="n">
        <f aca="false">IF(G723&gt;=0,A723,"")</f>
        <v>718</v>
      </c>
      <c r="K723" s="7" t="n">
        <f aca="false">IF(G723&lt;0,A723,0)</f>
        <v>0</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478029860</v>
      </c>
      <c r="D724" s="25" t="n">
        <f aca="false">('Chi phí'!$C$77+'Chi phí'!$D$77*B724+'Chi phí'!$E$77*A724+'Giả định'!$B$15*('Chi phí'!$F$77+'Chi phí'!$G$77*B724+'Chi phí'!$H$77*A724))*(1+'Giả định'!$B$16)</f>
        <v>620974860</v>
      </c>
      <c r="E724" s="25" t="n">
        <f aca="false">A724/'Giả định'!$B$19*'Giả định'!$B$20+A724*'Giả định'!$B$23+'Giả định'!$B$24</f>
        <v>531697478.991597</v>
      </c>
      <c r="F724" s="25" t="n">
        <f aca="false">E724-D724</f>
        <v>-89277381.0084034</v>
      </c>
      <c r="G724" s="25" t="n">
        <f aca="false">E724-C724</f>
        <v>53667618.9915965</v>
      </c>
      <c r="H724" s="7" t="str">
        <f aca="false">IF(F724&gt;=0,A724,"")</f>
        <v/>
      </c>
      <c r="I724" s="7" t="n">
        <f aca="false">IF(F724&lt;0,A724,0)</f>
        <v>719</v>
      </c>
      <c r="J724" s="7" t="n">
        <f aca="false">IF(G724&gt;=0,A724,"")</f>
        <v>719</v>
      </c>
      <c r="K724" s="7" t="n">
        <f aca="false">IF(G724&lt;0,A724,0)</f>
        <v>0</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478066600</v>
      </c>
      <c r="D725" s="25" t="n">
        <f aca="false">('Chi phí'!$C$77+'Chi phí'!$D$77*B725+'Chi phí'!$E$77*A725+'Giả định'!$B$15*('Chi phí'!$F$77+'Chi phí'!$G$77*B725+'Chi phí'!$H$77*A725))*(1+'Giả định'!$B$16)</f>
        <v>621011600</v>
      </c>
      <c r="E725" s="25" t="n">
        <f aca="false">A725/'Giả định'!$B$19*'Giả định'!$B$20+A725*'Giả định'!$B$23+'Giả định'!$B$24</f>
        <v>532436974.789916</v>
      </c>
      <c r="F725" s="25" t="n">
        <f aca="false">E725-D725</f>
        <v>-88574625.210084</v>
      </c>
      <c r="G725" s="25" t="n">
        <f aca="false">E725-C725</f>
        <v>54370374.789916</v>
      </c>
      <c r="H725" s="7" t="str">
        <f aca="false">IF(F725&gt;=0,A725,"")</f>
        <v/>
      </c>
      <c r="I725" s="7" t="n">
        <f aca="false">IF(F725&lt;0,A725,0)</f>
        <v>720</v>
      </c>
      <c r="J725" s="7" t="n">
        <f aca="false">IF(G725&gt;=0,A725,"")</f>
        <v>720</v>
      </c>
      <c r="K725" s="7" t="n">
        <f aca="false">IF(G725&lt;0,A725,0)</f>
        <v>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483488940</v>
      </c>
      <c r="D726" s="25" t="n">
        <f aca="false">('Chi phí'!$C$77+'Chi phí'!$D$77*B726+'Chi phí'!$E$77*A726+'Giả định'!$B$15*('Chi phí'!$F$77+'Chi phí'!$G$77*B726+'Chi phí'!$H$77*A726))*(1+'Giả định'!$B$16)</f>
        <v>626433940</v>
      </c>
      <c r="E726" s="25" t="n">
        <f aca="false">A726/'Giả định'!$B$19*'Giả định'!$B$20+A726*'Giả định'!$B$23+'Giả định'!$B$24</f>
        <v>533176470.588235</v>
      </c>
      <c r="F726" s="25" t="n">
        <f aca="false">E726-D726</f>
        <v>-93257469.4117647</v>
      </c>
      <c r="G726" s="25" t="n">
        <f aca="false">E726-C726</f>
        <v>49687530.5882353</v>
      </c>
      <c r="H726" s="7" t="str">
        <f aca="false">IF(F726&gt;=0,A726,"")</f>
        <v/>
      </c>
      <c r="I726" s="7" t="n">
        <f aca="false">IF(F726&lt;0,A726,0)</f>
        <v>721</v>
      </c>
      <c r="J726" s="7" t="n">
        <f aca="false">IF(G726&gt;=0,A726,"")</f>
        <v>721</v>
      </c>
      <c r="K726" s="7" t="n">
        <f aca="false">IF(G726&lt;0,A726,0)</f>
        <v>0</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483525680</v>
      </c>
      <c r="D727" s="25" t="n">
        <f aca="false">('Chi phí'!$C$77+'Chi phí'!$D$77*B727+'Chi phí'!$E$77*A727+'Giả định'!$B$15*('Chi phí'!$F$77+'Chi phí'!$G$77*B727+'Chi phí'!$H$77*A727))*(1+'Giả định'!$B$16)</f>
        <v>626470680</v>
      </c>
      <c r="E727" s="25" t="n">
        <f aca="false">A727/'Giả định'!$B$19*'Giả định'!$B$20+A727*'Giả định'!$B$23+'Giả định'!$B$24</f>
        <v>533915966.386555</v>
      </c>
      <c r="F727" s="25" t="n">
        <f aca="false">E727-D727</f>
        <v>-92554713.6134453</v>
      </c>
      <c r="G727" s="25" t="n">
        <f aca="false">E727-C727</f>
        <v>50390286.3865547</v>
      </c>
      <c r="H727" s="7" t="str">
        <f aca="false">IF(F727&gt;=0,A727,"")</f>
        <v/>
      </c>
      <c r="I727" s="7" t="n">
        <f aca="false">IF(F727&lt;0,A727,0)</f>
        <v>722</v>
      </c>
      <c r="J727" s="7" t="n">
        <f aca="false">IF(G727&gt;=0,A727,"")</f>
        <v>722</v>
      </c>
      <c r="K727" s="7" t="n">
        <f aca="false">IF(G727&lt;0,A727,0)</f>
        <v>0</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483562420</v>
      </c>
      <c r="D728" s="25" t="n">
        <f aca="false">('Chi phí'!$C$77+'Chi phí'!$D$77*B728+'Chi phí'!$E$77*A728+'Giả định'!$B$15*('Chi phí'!$F$77+'Chi phí'!$G$77*B728+'Chi phí'!$H$77*A728))*(1+'Giả định'!$B$16)</f>
        <v>626507420</v>
      </c>
      <c r="E728" s="25" t="n">
        <f aca="false">A728/'Giả định'!$B$19*'Giả định'!$B$20+A728*'Giả định'!$B$23+'Giả định'!$B$24</f>
        <v>534655462.184874</v>
      </c>
      <c r="F728" s="25" t="n">
        <f aca="false">E728-D728</f>
        <v>-91851957.815126</v>
      </c>
      <c r="G728" s="25" t="n">
        <f aca="false">E728-C728</f>
        <v>51093042.1848739</v>
      </c>
      <c r="H728" s="7" t="str">
        <f aca="false">IF(F728&gt;=0,A728,"")</f>
        <v/>
      </c>
      <c r="I728" s="7" t="n">
        <f aca="false">IF(F728&lt;0,A728,0)</f>
        <v>723</v>
      </c>
      <c r="J728" s="7" t="n">
        <f aca="false">IF(G728&gt;=0,A728,"")</f>
        <v>723</v>
      </c>
      <c r="K728" s="7" t="n">
        <f aca="false">IF(G728&lt;0,A728,0)</f>
        <v>0</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483599160</v>
      </c>
      <c r="D729" s="25" t="n">
        <f aca="false">('Chi phí'!$C$77+'Chi phí'!$D$77*B729+'Chi phí'!$E$77*A729+'Giả định'!$B$15*('Chi phí'!$F$77+'Chi phí'!$G$77*B729+'Chi phí'!$H$77*A729))*(1+'Giả định'!$B$16)</f>
        <v>626544160</v>
      </c>
      <c r="E729" s="25" t="n">
        <f aca="false">A729/'Giả định'!$B$19*'Giả định'!$B$20+A729*'Giả định'!$B$23+'Giả định'!$B$24</f>
        <v>535394957.983193</v>
      </c>
      <c r="F729" s="25" t="n">
        <f aca="false">E729-D729</f>
        <v>-91149202.0168066</v>
      </c>
      <c r="G729" s="25" t="n">
        <f aca="false">E729-C729</f>
        <v>51795797.9831933</v>
      </c>
      <c r="H729" s="7" t="str">
        <f aca="false">IF(F729&gt;=0,A729,"")</f>
        <v/>
      </c>
      <c r="I729" s="7" t="n">
        <f aca="false">IF(F729&lt;0,A729,0)</f>
        <v>724</v>
      </c>
      <c r="J729" s="7" t="n">
        <f aca="false">IF(G729&gt;=0,A729,"")</f>
        <v>724</v>
      </c>
      <c r="K729" s="7" t="n">
        <f aca="false">IF(G729&lt;0,A729,0)</f>
        <v>0</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483635900</v>
      </c>
      <c r="D730" s="25" t="n">
        <f aca="false">('Chi phí'!$C$77+'Chi phí'!$D$77*B730+'Chi phí'!$E$77*A730+'Giả định'!$B$15*('Chi phí'!$F$77+'Chi phí'!$G$77*B730+'Chi phí'!$H$77*A730))*(1+'Giả định'!$B$16)</f>
        <v>626580900</v>
      </c>
      <c r="E730" s="25" t="n">
        <f aca="false">A730/'Giả định'!$B$19*'Giả định'!$B$20+A730*'Giả định'!$B$23+'Giả định'!$B$24</f>
        <v>536134453.781513</v>
      </c>
      <c r="F730" s="25" t="n">
        <f aca="false">E730-D730</f>
        <v>-90446446.2184874</v>
      </c>
      <c r="G730" s="25" t="n">
        <f aca="false">E730-C730</f>
        <v>52498553.7815126</v>
      </c>
      <c r="H730" s="7" t="str">
        <f aca="false">IF(F730&gt;=0,A730,"")</f>
        <v/>
      </c>
      <c r="I730" s="7" t="n">
        <f aca="false">IF(F730&lt;0,A730,0)</f>
        <v>725</v>
      </c>
      <c r="J730" s="7" t="n">
        <f aca="false">IF(G730&gt;=0,A730,"")</f>
        <v>725</v>
      </c>
      <c r="K730" s="7" t="n">
        <f aca="false">IF(G730&lt;0,A730,0)</f>
        <v>0</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483672640</v>
      </c>
      <c r="D731" s="25" t="n">
        <f aca="false">('Chi phí'!$C$77+'Chi phí'!$D$77*B731+'Chi phí'!$E$77*A731+'Giả định'!$B$15*('Chi phí'!$F$77+'Chi phí'!$G$77*B731+'Chi phí'!$H$77*A731))*(1+'Giả định'!$B$16)</f>
        <v>626617640</v>
      </c>
      <c r="E731" s="25" t="n">
        <f aca="false">A731/'Giả định'!$B$19*'Giả định'!$B$20+A731*'Giả định'!$B$23+'Giả định'!$B$24</f>
        <v>536873949.579832</v>
      </c>
      <c r="F731" s="25" t="n">
        <f aca="false">E731-D731</f>
        <v>-89743690.420168</v>
      </c>
      <c r="G731" s="25" t="n">
        <f aca="false">E731-C731</f>
        <v>53201309.5798319</v>
      </c>
      <c r="H731" s="7" t="str">
        <f aca="false">IF(F731&gt;=0,A731,"")</f>
        <v/>
      </c>
      <c r="I731" s="7" t="n">
        <f aca="false">IF(F731&lt;0,A731,0)</f>
        <v>726</v>
      </c>
      <c r="J731" s="7" t="n">
        <f aca="false">IF(G731&gt;=0,A731,"")</f>
        <v>726</v>
      </c>
      <c r="K731" s="7" t="n">
        <f aca="false">IF(G731&lt;0,A731,0)</f>
        <v>0</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483709380</v>
      </c>
      <c r="D732" s="25" t="n">
        <f aca="false">('Chi phí'!$C$77+'Chi phí'!$D$77*B732+'Chi phí'!$E$77*A732+'Giả định'!$B$15*('Chi phí'!$F$77+'Chi phí'!$G$77*B732+'Chi phí'!$H$77*A732))*(1+'Giả định'!$B$16)</f>
        <v>626654380</v>
      </c>
      <c r="E732" s="25" t="n">
        <f aca="false">A732/'Giả định'!$B$19*'Giả định'!$B$20+A732*'Giả định'!$B$23+'Giả định'!$B$24</f>
        <v>537613445.378151</v>
      </c>
      <c r="F732" s="25" t="n">
        <f aca="false">E732-D732</f>
        <v>-89040934.6218487</v>
      </c>
      <c r="G732" s="25" t="n">
        <f aca="false">E732-C732</f>
        <v>53904065.3781512</v>
      </c>
      <c r="H732" s="7" t="str">
        <f aca="false">IF(F732&gt;=0,A732,"")</f>
        <v/>
      </c>
      <c r="I732" s="7" t="n">
        <f aca="false">IF(F732&lt;0,A732,0)</f>
        <v>727</v>
      </c>
      <c r="J732" s="7" t="n">
        <f aca="false">IF(G732&gt;=0,A732,"")</f>
        <v>727</v>
      </c>
      <c r="K732" s="7" t="n">
        <f aca="false">IF(G732&lt;0,A732,0)</f>
        <v>0</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483746120</v>
      </c>
      <c r="D733" s="25" t="n">
        <f aca="false">('Chi phí'!$C$77+'Chi phí'!$D$77*B733+'Chi phí'!$E$77*A733+'Giả định'!$B$15*('Chi phí'!$F$77+'Chi phí'!$G$77*B733+'Chi phí'!$H$77*A733))*(1+'Giả định'!$B$16)</f>
        <v>626691120</v>
      </c>
      <c r="E733" s="25" t="n">
        <f aca="false">A733/'Giả định'!$B$19*'Giả định'!$B$20+A733*'Giả định'!$B$23+'Giả định'!$B$24</f>
        <v>538352941.176471</v>
      </c>
      <c r="F733" s="25" t="n">
        <f aca="false">E733-D733</f>
        <v>-88338178.8235294</v>
      </c>
      <c r="G733" s="25" t="n">
        <f aca="false">E733-C733</f>
        <v>54606821.1764706</v>
      </c>
      <c r="H733" s="7" t="str">
        <f aca="false">IF(F733&gt;=0,A733,"")</f>
        <v/>
      </c>
      <c r="I733" s="7" t="n">
        <f aca="false">IF(F733&lt;0,A733,0)</f>
        <v>728</v>
      </c>
      <c r="J733" s="7" t="n">
        <f aca="false">IF(G733&gt;=0,A733,"")</f>
        <v>728</v>
      </c>
      <c r="K733" s="7" t="n">
        <f aca="false">IF(G733&lt;0,A733,0)</f>
        <v>0</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483782860</v>
      </c>
      <c r="D734" s="25" t="n">
        <f aca="false">('Chi phí'!$C$77+'Chi phí'!$D$77*B734+'Chi phí'!$E$77*A734+'Giả định'!$B$15*('Chi phí'!$F$77+'Chi phí'!$G$77*B734+'Chi phí'!$H$77*A734))*(1+'Giả định'!$B$16)</f>
        <v>626727860</v>
      </c>
      <c r="E734" s="25" t="n">
        <f aca="false">A734/'Giả định'!$B$19*'Giả định'!$B$20+A734*'Giả định'!$B$23+'Giả định'!$B$24</f>
        <v>539092436.97479</v>
      </c>
      <c r="F734" s="25" t="n">
        <f aca="false">E734-D734</f>
        <v>-87635423.02521</v>
      </c>
      <c r="G734" s="25" t="n">
        <f aca="false">E734-C734</f>
        <v>55309576.9747899</v>
      </c>
      <c r="H734" s="7" t="str">
        <f aca="false">IF(F734&gt;=0,A734,"")</f>
        <v/>
      </c>
      <c r="I734" s="7" t="n">
        <f aca="false">IF(F734&lt;0,A734,0)</f>
        <v>729</v>
      </c>
      <c r="J734" s="7" t="n">
        <f aca="false">IF(G734&gt;=0,A734,"")</f>
        <v>729</v>
      </c>
      <c r="K734" s="7" t="n">
        <f aca="false">IF(G734&lt;0,A734,0)</f>
        <v>0</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483819600</v>
      </c>
      <c r="D735" s="25" t="n">
        <f aca="false">('Chi phí'!$C$77+'Chi phí'!$D$77*B735+'Chi phí'!$E$77*A735+'Giả định'!$B$15*('Chi phí'!$F$77+'Chi phí'!$G$77*B735+'Chi phí'!$H$77*A735))*(1+'Giả định'!$B$16)</f>
        <v>626764600</v>
      </c>
      <c r="E735" s="25" t="n">
        <f aca="false">A735/'Giả định'!$B$19*'Giả định'!$B$20+A735*'Giả định'!$B$23+'Giả định'!$B$24</f>
        <v>539831932.773109</v>
      </c>
      <c r="F735" s="25" t="n">
        <f aca="false">E735-D735</f>
        <v>-86932667.2268907</v>
      </c>
      <c r="G735" s="25" t="n">
        <f aca="false">E735-C735</f>
        <v>56012332.7731093</v>
      </c>
      <c r="H735" s="7" t="str">
        <f aca="false">IF(F735&gt;=0,A735,"")</f>
        <v/>
      </c>
      <c r="I735" s="7" t="n">
        <f aca="false">IF(F735&lt;0,A735,0)</f>
        <v>730</v>
      </c>
      <c r="J735" s="7" t="n">
        <f aca="false">IF(G735&gt;=0,A735,"")</f>
        <v>730</v>
      </c>
      <c r="K735" s="7" t="n">
        <f aca="false">IF(G735&lt;0,A735,0)</f>
        <v>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489241940</v>
      </c>
      <c r="D736" s="25" t="n">
        <f aca="false">('Chi phí'!$C$77+'Chi phí'!$D$77*B736+'Chi phí'!$E$77*A736+'Giả định'!$B$15*('Chi phí'!$F$77+'Chi phí'!$G$77*B736+'Chi phí'!$H$77*A736))*(1+'Giả định'!$B$16)</f>
        <v>632186940</v>
      </c>
      <c r="E736" s="25" t="n">
        <f aca="false">A736/'Giả định'!$B$19*'Giả định'!$B$20+A736*'Giả định'!$B$23+'Giả định'!$B$24</f>
        <v>540571428.571429</v>
      </c>
      <c r="F736" s="25" t="n">
        <f aca="false">E736-D736</f>
        <v>-91615511.4285713</v>
      </c>
      <c r="G736" s="25" t="n">
        <f aca="false">E736-C736</f>
        <v>51329488.5714286</v>
      </c>
      <c r="H736" s="7" t="str">
        <f aca="false">IF(F736&gt;=0,A736,"")</f>
        <v/>
      </c>
      <c r="I736" s="7" t="n">
        <f aca="false">IF(F736&lt;0,A736,0)</f>
        <v>731</v>
      </c>
      <c r="J736" s="7" t="n">
        <f aca="false">IF(G736&gt;=0,A736,"")</f>
        <v>731</v>
      </c>
      <c r="K736" s="7" t="n">
        <f aca="false">IF(G736&lt;0,A736,0)</f>
        <v>0</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489278680</v>
      </c>
      <c r="D737" s="25" t="n">
        <f aca="false">('Chi phí'!$C$77+'Chi phí'!$D$77*B737+'Chi phí'!$E$77*A737+'Giả định'!$B$15*('Chi phí'!$F$77+'Chi phí'!$G$77*B737+'Chi phí'!$H$77*A737))*(1+'Giả định'!$B$16)</f>
        <v>632223680</v>
      </c>
      <c r="E737" s="25" t="n">
        <f aca="false">A737/'Giả định'!$B$19*'Giả định'!$B$20+A737*'Giả định'!$B$23+'Giả định'!$B$24</f>
        <v>541310924.369748</v>
      </c>
      <c r="F737" s="25" t="n">
        <f aca="false">E737-D737</f>
        <v>-90912755.6302521</v>
      </c>
      <c r="G737" s="25" t="n">
        <f aca="false">E737-C737</f>
        <v>52032244.3697478</v>
      </c>
      <c r="H737" s="7" t="str">
        <f aca="false">IF(F737&gt;=0,A737,"")</f>
        <v/>
      </c>
      <c r="I737" s="7" t="n">
        <f aca="false">IF(F737&lt;0,A737,0)</f>
        <v>732</v>
      </c>
      <c r="J737" s="7" t="n">
        <f aca="false">IF(G737&gt;=0,A737,"")</f>
        <v>732</v>
      </c>
      <c r="K737" s="7" t="n">
        <f aca="false">IF(G737&lt;0,A737,0)</f>
        <v>0</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489315420</v>
      </c>
      <c r="D738" s="25" t="n">
        <f aca="false">('Chi phí'!$C$77+'Chi phí'!$D$77*B738+'Chi phí'!$E$77*A738+'Giả định'!$B$15*('Chi phí'!$F$77+'Chi phí'!$G$77*B738+'Chi phí'!$H$77*A738))*(1+'Giả định'!$B$16)</f>
        <v>632260420</v>
      </c>
      <c r="E738" s="25" t="n">
        <f aca="false">A738/'Giả định'!$B$19*'Giả định'!$B$20+A738*'Giả định'!$B$23+'Giả định'!$B$24</f>
        <v>542050420.168067</v>
      </c>
      <c r="F738" s="25" t="n">
        <f aca="false">E738-D738</f>
        <v>-90209999.8319328</v>
      </c>
      <c r="G738" s="25" t="n">
        <f aca="false">E738-C738</f>
        <v>52735000.1680672</v>
      </c>
      <c r="H738" s="7" t="str">
        <f aca="false">IF(F738&gt;=0,A738,"")</f>
        <v/>
      </c>
      <c r="I738" s="7" t="n">
        <f aca="false">IF(F738&lt;0,A738,0)</f>
        <v>733</v>
      </c>
      <c r="J738" s="7" t="n">
        <f aca="false">IF(G738&gt;=0,A738,"")</f>
        <v>733</v>
      </c>
      <c r="K738" s="7" t="n">
        <f aca="false">IF(G738&lt;0,A738,0)</f>
        <v>0</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489352160</v>
      </c>
      <c r="D739" s="25" t="n">
        <f aca="false">('Chi phí'!$C$77+'Chi phí'!$D$77*B739+'Chi phí'!$E$77*A739+'Giả định'!$B$15*('Chi phí'!$F$77+'Chi phí'!$G$77*B739+'Chi phí'!$H$77*A739))*(1+'Giả định'!$B$16)</f>
        <v>632297160</v>
      </c>
      <c r="E739" s="25" t="n">
        <f aca="false">A739/'Giả định'!$B$19*'Giả định'!$B$20+A739*'Giả định'!$B$23+'Giả định'!$B$24</f>
        <v>542789915.966387</v>
      </c>
      <c r="F739" s="25" t="n">
        <f aca="false">E739-D739</f>
        <v>-89507244.0336134</v>
      </c>
      <c r="G739" s="25" t="n">
        <f aca="false">E739-C739</f>
        <v>53437755.9663865</v>
      </c>
      <c r="H739" s="7" t="str">
        <f aca="false">IF(F739&gt;=0,A739,"")</f>
        <v/>
      </c>
      <c r="I739" s="7" t="n">
        <f aca="false">IF(F739&lt;0,A739,0)</f>
        <v>734</v>
      </c>
      <c r="J739" s="7" t="n">
        <f aca="false">IF(G739&gt;=0,A739,"")</f>
        <v>734</v>
      </c>
      <c r="K739" s="7" t="n">
        <f aca="false">IF(G739&lt;0,A739,0)</f>
        <v>0</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489388900</v>
      </c>
      <c r="D740" s="25" t="n">
        <f aca="false">('Chi phí'!$C$77+'Chi phí'!$D$77*B740+'Chi phí'!$E$77*A740+'Giả định'!$B$15*('Chi phí'!$F$77+'Chi phí'!$G$77*B740+'Chi phí'!$H$77*A740))*(1+'Giả định'!$B$16)</f>
        <v>632333900</v>
      </c>
      <c r="E740" s="25" t="n">
        <f aca="false">A740/'Giả định'!$B$19*'Giả định'!$B$20+A740*'Giả định'!$B$23+'Giả định'!$B$24</f>
        <v>543529411.764706</v>
      </c>
      <c r="F740" s="25" t="n">
        <f aca="false">E740-D740</f>
        <v>-88804488.2352941</v>
      </c>
      <c r="G740" s="25" t="n">
        <f aca="false">E740-C740</f>
        <v>54140511.7647058</v>
      </c>
      <c r="H740" s="7" t="str">
        <f aca="false">IF(F740&gt;=0,A740,"")</f>
        <v/>
      </c>
      <c r="I740" s="7" t="n">
        <f aca="false">IF(F740&lt;0,A740,0)</f>
        <v>735</v>
      </c>
      <c r="J740" s="7" t="n">
        <f aca="false">IF(G740&gt;=0,A740,"")</f>
        <v>735</v>
      </c>
      <c r="K740" s="7" t="n">
        <f aca="false">IF(G740&lt;0,A740,0)</f>
        <v>0</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489425640</v>
      </c>
      <c r="D741" s="25" t="n">
        <f aca="false">('Chi phí'!$C$77+'Chi phí'!$D$77*B741+'Chi phí'!$E$77*A741+'Giả định'!$B$15*('Chi phí'!$F$77+'Chi phí'!$G$77*B741+'Chi phí'!$H$77*A741))*(1+'Giả định'!$B$16)</f>
        <v>632370640</v>
      </c>
      <c r="E741" s="25" t="n">
        <f aca="false">A741/'Giả định'!$B$19*'Giả định'!$B$20+A741*'Giả định'!$B$23+'Giả định'!$B$24</f>
        <v>544268907.563025</v>
      </c>
      <c r="F741" s="25" t="n">
        <f aca="false">E741-D741</f>
        <v>-88101732.4369748</v>
      </c>
      <c r="G741" s="25" t="n">
        <f aca="false">E741-C741</f>
        <v>54843267.5630252</v>
      </c>
      <c r="H741" s="7" t="str">
        <f aca="false">IF(F741&gt;=0,A741,"")</f>
        <v/>
      </c>
      <c r="I741" s="7" t="n">
        <f aca="false">IF(F741&lt;0,A741,0)</f>
        <v>736</v>
      </c>
      <c r="J741" s="7" t="n">
        <f aca="false">IF(G741&gt;=0,A741,"")</f>
        <v>736</v>
      </c>
      <c r="K741" s="7" t="n">
        <f aca="false">IF(G741&lt;0,A741,0)</f>
        <v>0</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489462380</v>
      </c>
      <c r="D742" s="25" t="n">
        <f aca="false">('Chi phí'!$C$77+'Chi phí'!$D$77*B742+'Chi phí'!$E$77*A742+'Giả định'!$B$15*('Chi phí'!$F$77+'Chi phí'!$G$77*B742+'Chi phí'!$H$77*A742))*(1+'Giả định'!$B$16)</f>
        <v>632407380</v>
      </c>
      <c r="E742" s="25" t="n">
        <f aca="false">A742/'Giả định'!$B$19*'Giả định'!$B$20+A742*'Giả định'!$B$23+'Giả định'!$B$24</f>
        <v>545008403.361345</v>
      </c>
      <c r="F742" s="25" t="n">
        <f aca="false">E742-D742</f>
        <v>-87398976.6386554</v>
      </c>
      <c r="G742" s="25" t="n">
        <f aca="false">E742-C742</f>
        <v>55546023.3613445</v>
      </c>
      <c r="H742" s="7" t="str">
        <f aca="false">IF(F742&gt;=0,A742,"")</f>
        <v/>
      </c>
      <c r="I742" s="7" t="n">
        <f aca="false">IF(F742&lt;0,A742,0)</f>
        <v>737</v>
      </c>
      <c r="J742" s="7" t="n">
        <f aca="false">IF(G742&gt;=0,A742,"")</f>
        <v>737</v>
      </c>
      <c r="K742" s="7" t="n">
        <f aca="false">IF(G742&lt;0,A742,0)</f>
        <v>0</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489499120</v>
      </c>
      <c r="D743" s="25" t="n">
        <f aca="false">('Chi phí'!$C$77+'Chi phí'!$D$77*B743+'Chi phí'!$E$77*A743+'Giả định'!$B$15*('Chi phí'!$F$77+'Chi phí'!$G$77*B743+'Chi phí'!$H$77*A743))*(1+'Giả định'!$B$16)</f>
        <v>632444120</v>
      </c>
      <c r="E743" s="25" t="n">
        <f aca="false">A743/'Giả định'!$B$19*'Giả định'!$B$20+A743*'Giả định'!$B$23+'Giả định'!$B$24</f>
        <v>545747899.159664</v>
      </c>
      <c r="F743" s="25" t="n">
        <f aca="false">E743-D743</f>
        <v>-86696220.840336</v>
      </c>
      <c r="G743" s="25" t="n">
        <f aca="false">E743-C743</f>
        <v>56248779.159664</v>
      </c>
      <c r="H743" s="7" t="str">
        <f aca="false">IF(F743&gt;=0,A743,"")</f>
        <v/>
      </c>
      <c r="I743" s="7" t="n">
        <f aca="false">IF(F743&lt;0,A743,0)</f>
        <v>738</v>
      </c>
      <c r="J743" s="7" t="n">
        <f aca="false">IF(G743&gt;=0,A743,"")</f>
        <v>738</v>
      </c>
      <c r="K743" s="7" t="n">
        <f aca="false">IF(G743&lt;0,A743,0)</f>
        <v>0</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489535860</v>
      </c>
      <c r="D744" s="25" t="n">
        <f aca="false">('Chi phí'!$C$77+'Chi phí'!$D$77*B744+'Chi phí'!$E$77*A744+'Giả định'!$B$15*('Chi phí'!$F$77+'Chi phí'!$G$77*B744+'Chi phí'!$H$77*A744))*(1+'Giả định'!$B$16)</f>
        <v>632480860</v>
      </c>
      <c r="E744" s="25" t="n">
        <f aca="false">A744/'Giả định'!$B$19*'Giả định'!$B$20+A744*'Giả định'!$B$23+'Giả định'!$B$24</f>
        <v>546487394.957983</v>
      </c>
      <c r="F744" s="25" t="n">
        <f aca="false">E744-D744</f>
        <v>-85993465.0420167</v>
      </c>
      <c r="G744" s="25" t="n">
        <f aca="false">E744-C744</f>
        <v>56951534.9579832</v>
      </c>
      <c r="H744" s="7" t="str">
        <f aca="false">IF(F744&gt;=0,A744,"")</f>
        <v/>
      </c>
      <c r="I744" s="7" t="n">
        <f aca="false">IF(F744&lt;0,A744,0)</f>
        <v>739</v>
      </c>
      <c r="J744" s="7" t="n">
        <f aca="false">IF(G744&gt;=0,A744,"")</f>
        <v>739</v>
      </c>
      <c r="K744" s="7" t="n">
        <f aca="false">IF(G744&lt;0,A744,0)</f>
        <v>0</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489572600</v>
      </c>
      <c r="D745" s="25" t="n">
        <f aca="false">('Chi phí'!$C$77+'Chi phí'!$D$77*B745+'Chi phí'!$E$77*A745+'Giả định'!$B$15*('Chi phí'!$F$77+'Chi phí'!$G$77*B745+'Chi phí'!$H$77*A745))*(1+'Giả định'!$B$16)</f>
        <v>632517600</v>
      </c>
      <c r="E745" s="25" t="n">
        <f aca="false">A745/'Giả định'!$B$19*'Giả định'!$B$20+A745*'Giả định'!$B$23+'Giả định'!$B$24</f>
        <v>547226890.756303</v>
      </c>
      <c r="F745" s="25" t="n">
        <f aca="false">E745-D745</f>
        <v>-85290709.2436975</v>
      </c>
      <c r="G745" s="25" t="n">
        <f aca="false">E745-C745</f>
        <v>57654290.7563024</v>
      </c>
      <c r="H745" s="7" t="str">
        <f aca="false">IF(F745&gt;=0,A745,"")</f>
        <v/>
      </c>
      <c r="I745" s="7" t="n">
        <f aca="false">IF(F745&lt;0,A745,0)</f>
        <v>740</v>
      </c>
      <c r="J745" s="7" t="n">
        <f aca="false">IF(G745&gt;=0,A745,"")</f>
        <v>740</v>
      </c>
      <c r="K745" s="7" t="n">
        <f aca="false">IF(G745&lt;0,A745,0)</f>
        <v>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494994940</v>
      </c>
      <c r="D746" s="25" t="n">
        <f aca="false">('Chi phí'!$C$77+'Chi phí'!$D$77*B746+'Chi phí'!$E$77*A746+'Giả định'!$B$15*('Chi phí'!$F$77+'Chi phí'!$G$77*B746+'Chi phí'!$H$77*A746))*(1+'Giả định'!$B$16)</f>
        <v>637939940</v>
      </c>
      <c r="E746" s="25" t="n">
        <f aca="false">A746/'Giả định'!$B$19*'Giả định'!$B$20+A746*'Giả định'!$B$23+'Giả định'!$B$24</f>
        <v>547966386.554622</v>
      </c>
      <c r="F746" s="25" t="n">
        <f aca="false">E746-D746</f>
        <v>-89973553.4453781</v>
      </c>
      <c r="G746" s="25" t="n">
        <f aca="false">E746-C746</f>
        <v>52971446.5546219</v>
      </c>
      <c r="H746" s="7" t="str">
        <f aca="false">IF(F746&gt;=0,A746,"")</f>
        <v/>
      </c>
      <c r="I746" s="7" t="n">
        <f aca="false">IF(F746&lt;0,A746,0)</f>
        <v>741</v>
      </c>
      <c r="J746" s="7" t="n">
        <f aca="false">IF(G746&gt;=0,A746,"")</f>
        <v>741</v>
      </c>
      <c r="K746" s="7" t="n">
        <f aca="false">IF(G746&lt;0,A746,0)</f>
        <v>0</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495031680</v>
      </c>
      <c r="D747" s="25" t="n">
        <f aca="false">('Chi phí'!$C$77+'Chi phí'!$D$77*B747+'Chi phí'!$E$77*A747+'Giả định'!$B$15*('Chi phí'!$F$77+'Chi phí'!$G$77*B747+'Chi phí'!$H$77*A747))*(1+'Giả định'!$B$16)</f>
        <v>637976680</v>
      </c>
      <c r="E747" s="25" t="n">
        <f aca="false">A747/'Giả định'!$B$19*'Giả định'!$B$20+A747*'Giả định'!$B$23+'Giả định'!$B$24</f>
        <v>548705882.352941</v>
      </c>
      <c r="F747" s="25" t="n">
        <f aca="false">E747-D747</f>
        <v>-89270797.6470588</v>
      </c>
      <c r="G747" s="25" t="n">
        <f aca="false">E747-C747</f>
        <v>53674202.3529411</v>
      </c>
      <c r="H747" s="7" t="str">
        <f aca="false">IF(F747&gt;=0,A747,"")</f>
        <v/>
      </c>
      <c r="I747" s="7" t="n">
        <f aca="false">IF(F747&lt;0,A747,0)</f>
        <v>742</v>
      </c>
      <c r="J747" s="7" t="n">
        <f aca="false">IF(G747&gt;=0,A747,"")</f>
        <v>742</v>
      </c>
      <c r="K747" s="7" t="n">
        <f aca="false">IF(G747&lt;0,A747,0)</f>
        <v>0</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495068420</v>
      </c>
      <c r="D748" s="25" t="n">
        <f aca="false">('Chi phí'!$C$77+'Chi phí'!$D$77*B748+'Chi phí'!$E$77*A748+'Giả định'!$B$15*('Chi phí'!$F$77+'Chi phí'!$G$77*B748+'Chi phí'!$H$77*A748))*(1+'Giả định'!$B$16)</f>
        <v>638013420</v>
      </c>
      <c r="E748" s="25" t="n">
        <f aca="false">A748/'Giả định'!$B$19*'Giả định'!$B$20+A748*'Giả định'!$B$23+'Giả định'!$B$24</f>
        <v>549445378.151261</v>
      </c>
      <c r="F748" s="25" t="n">
        <f aca="false">E748-D748</f>
        <v>-88568041.8487394</v>
      </c>
      <c r="G748" s="25" t="n">
        <f aca="false">E748-C748</f>
        <v>54376958.1512606</v>
      </c>
      <c r="H748" s="7" t="str">
        <f aca="false">IF(F748&gt;=0,A748,"")</f>
        <v/>
      </c>
      <c r="I748" s="7" t="n">
        <f aca="false">IF(F748&lt;0,A748,0)</f>
        <v>743</v>
      </c>
      <c r="J748" s="7" t="n">
        <f aca="false">IF(G748&gt;=0,A748,"")</f>
        <v>743</v>
      </c>
      <c r="K748" s="7" t="n">
        <f aca="false">IF(G748&lt;0,A748,0)</f>
        <v>0</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495105160</v>
      </c>
      <c r="D749" s="25" t="n">
        <f aca="false">('Chi phí'!$C$77+'Chi phí'!$D$77*B749+'Chi phí'!$E$77*A749+'Giả định'!$B$15*('Chi phí'!$F$77+'Chi phí'!$G$77*B749+'Chi phí'!$H$77*A749))*(1+'Giả định'!$B$16)</f>
        <v>638050160</v>
      </c>
      <c r="E749" s="25" t="n">
        <f aca="false">A749/'Giả định'!$B$19*'Giả định'!$B$20+A749*'Giả định'!$B$23+'Giả định'!$B$24</f>
        <v>550184873.94958</v>
      </c>
      <c r="F749" s="25" t="n">
        <f aca="false">E749-D749</f>
        <v>-87865286.0504202</v>
      </c>
      <c r="G749" s="25" t="n">
        <f aca="false">E749-C749</f>
        <v>55079713.9495798</v>
      </c>
      <c r="H749" s="7" t="str">
        <f aca="false">IF(F749&gt;=0,A749,"")</f>
        <v/>
      </c>
      <c r="I749" s="7" t="n">
        <f aca="false">IF(F749&lt;0,A749,0)</f>
        <v>744</v>
      </c>
      <c r="J749" s="7" t="n">
        <f aca="false">IF(G749&gt;=0,A749,"")</f>
        <v>744</v>
      </c>
      <c r="K749" s="7" t="n">
        <f aca="false">IF(G749&lt;0,A749,0)</f>
        <v>0</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495141900</v>
      </c>
      <c r="D750" s="25" t="n">
        <f aca="false">('Chi phí'!$C$77+'Chi phí'!$D$77*B750+'Chi phí'!$E$77*A750+'Giả định'!$B$15*('Chi phí'!$F$77+'Chi phí'!$G$77*B750+'Chi phí'!$H$77*A750))*(1+'Giả định'!$B$16)</f>
        <v>638086900</v>
      </c>
      <c r="E750" s="25" t="n">
        <f aca="false">A750/'Giả định'!$B$19*'Giả định'!$B$20+A750*'Giả định'!$B$23+'Giả định'!$B$24</f>
        <v>550924369.747899</v>
      </c>
      <c r="F750" s="25" t="n">
        <f aca="false">E750-D750</f>
        <v>-87162530.2521007</v>
      </c>
      <c r="G750" s="25" t="n">
        <f aca="false">E750-C750</f>
        <v>55782469.7478992</v>
      </c>
      <c r="H750" s="7" t="str">
        <f aca="false">IF(F750&gt;=0,A750,"")</f>
        <v/>
      </c>
      <c r="I750" s="7" t="n">
        <f aca="false">IF(F750&lt;0,A750,0)</f>
        <v>745</v>
      </c>
      <c r="J750" s="7" t="n">
        <f aca="false">IF(G750&gt;=0,A750,"")</f>
        <v>745</v>
      </c>
      <c r="K750" s="7" t="n">
        <f aca="false">IF(G750&lt;0,A750,0)</f>
        <v>0</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495178640</v>
      </c>
      <c r="D751" s="25" t="n">
        <f aca="false">('Chi phí'!$C$77+'Chi phí'!$D$77*B751+'Chi phí'!$E$77*A751+'Giả định'!$B$15*('Chi phí'!$F$77+'Chi phí'!$G$77*B751+'Chi phí'!$H$77*A751))*(1+'Giả định'!$B$16)</f>
        <v>638123640</v>
      </c>
      <c r="E751" s="25" t="n">
        <f aca="false">A751/'Giả định'!$B$19*'Giả định'!$B$20+A751*'Giả định'!$B$23+'Giả định'!$B$24</f>
        <v>551663865.546219</v>
      </c>
      <c r="F751" s="25" t="n">
        <f aca="false">E751-D751</f>
        <v>-86459774.4537815</v>
      </c>
      <c r="G751" s="25" t="n">
        <f aca="false">E751-C751</f>
        <v>56485225.5462185</v>
      </c>
      <c r="H751" s="7" t="str">
        <f aca="false">IF(F751&gt;=0,A751,"")</f>
        <v/>
      </c>
      <c r="I751" s="7" t="n">
        <f aca="false">IF(F751&lt;0,A751,0)</f>
        <v>746</v>
      </c>
      <c r="J751" s="7" t="n">
        <f aca="false">IF(G751&gt;=0,A751,"")</f>
        <v>746</v>
      </c>
      <c r="K751" s="7" t="n">
        <f aca="false">IF(G751&lt;0,A751,0)</f>
        <v>0</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495215380</v>
      </c>
      <c r="D752" s="25" t="n">
        <f aca="false">('Chi phí'!$C$77+'Chi phí'!$D$77*B752+'Chi phí'!$E$77*A752+'Giả định'!$B$15*('Chi phí'!$F$77+'Chi phí'!$G$77*B752+'Chi phí'!$H$77*A752))*(1+'Giả định'!$B$16)</f>
        <v>638160380</v>
      </c>
      <c r="E752" s="25" t="n">
        <f aca="false">A752/'Giả định'!$B$19*'Giả định'!$B$20+A752*'Giả định'!$B$23+'Giả định'!$B$24</f>
        <v>552403361.344538</v>
      </c>
      <c r="F752" s="25" t="n">
        <f aca="false">E752-D752</f>
        <v>-85757018.6554623</v>
      </c>
      <c r="G752" s="25" t="n">
        <f aca="false">E752-C752</f>
        <v>57187981.3445377</v>
      </c>
      <c r="H752" s="7" t="str">
        <f aca="false">IF(F752&gt;=0,A752,"")</f>
        <v/>
      </c>
      <c r="I752" s="7" t="n">
        <f aca="false">IF(F752&lt;0,A752,0)</f>
        <v>747</v>
      </c>
      <c r="J752" s="7" t="n">
        <f aca="false">IF(G752&gt;=0,A752,"")</f>
        <v>747</v>
      </c>
      <c r="K752" s="7" t="n">
        <f aca="false">IF(G752&lt;0,A752,0)</f>
        <v>0</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495252120</v>
      </c>
      <c r="D753" s="25" t="n">
        <f aca="false">('Chi phí'!$C$77+'Chi phí'!$D$77*B753+'Chi phí'!$E$77*A753+'Giả định'!$B$15*('Chi phí'!$F$77+'Chi phí'!$G$77*B753+'Chi phí'!$H$77*A753))*(1+'Giả định'!$B$16)</f>
        <v>638197120</v>
      </c>
      <c r="E753" s="25" t="n">
        <f aca="false">A753/'Giả định'!$B$19*'Giả định'!$B$20+A753*'Giả định'!$B$23+'Giả định'!$B$24</f>
        <v>553142857.142857</v>
      </c>
      <c r="F753" s="25" t="n">
        <f aca="false">E753-D753</f>
        <v>-85054262.8571428</v>
      </c>
      <c r="G753" s="25" t="n">
        <f aca="false">E753-C753</f>
        <v>57890737.1428571</v>
      </c>
      <c r="H753" s="7" t="str">
        <f aca="false">IF(F753&gt;=0,A753,"")</f>
        <v/>
      </c>
      <c r="I753" s="7" t="n">
        <f aca="false">IF(F753&lt;0,A753,0)</f>
        <v>748</v>
      </c>
      <c r="J753" s="7" t="n">
        <f aca="false">IF(G753&gt;=0,A753,"")</f>
        <v>748</v>
      </c>
      <c r="K753" s="7" t="n">
        <f aca="false">IF(G753&lt;0,A753,0)</f>
        <v>0</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495288860</v>
      </c>
      <c r="D754" s="25" t="n">
        <f aca="false">('Chi phí'!$C$77+'Chi phí'!$D$77*B754+'Chi phí'!$E$77*A754+'Giả định'!$B$15*('Chi phí'!$F$77+'Chi phí'!$G$77*B754+'Chi phí'!$H$77*A754))*(1+'Giả định'!$B$16)</f>
        <v>638233860</v>
      </c>
      <c r="E754" s="25" t="n">
        <f aca="false">A754/'Giả định'!$B$19*'Giả định'!$B$20+A754*'Giả định'!$B$23+'Giả định'!$B$24</f>
        <v>553882352.941177</v>
      </c>
      <c r="F754" s="25" t="n">
        <f aca="false">E754-D754</f>
        <v>-84351507.0588235</v>
      </c>
      <c r="G754" s="25" t="n">
        <f aca="false">E754-C754</f>
        <v>58593492.9411765</v>
      </c>
      <c r="H754" s="7" t="str">
        <f aca="false">IF(F754&gt;=0,A754,"")</f>
        <v/>
      </c>
      <c r="I754" s="7" t="n">
        <f aca="false">IF(F754&lt;0,A754,0)</f>
        <v>749</v>
      </c>
      <c r="J754" s="7" t="n">
        <f aca="false">IF(G754&gt;=0,A754,"")</f>
        <v>749</v>
      </c>
      <c r="K754" s="7" t="n">
        <f aca="false">IF(G754&lt;0,A754,0)</f>
        <v>0</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495325600</v>
      </c>
      <c r="D755" s="25" t="n">
        <f aca="false">('Chi phí'!$C$77+'Chi phí'!$D$77*B755+'Chi phí'!$E$77*A755+'Giả định'!$B$15*('Chi phí'!$F$77+'Chi phí'!$G$77*B755+'Chi phí'!$H$77*A755))*(1+'Giả định'!$B$16)</f>
        <v>638270600</v>
      </c>
      <c r="E755" s="25" t="n">
        <f aca="false">A755/'Giả định'!$B$19*'Giả định'!$B$20+A755*'Giả định'!$B$23+'Giả định'!$B$24</f>
        <v>554621848.739496</v>
      </c>
      <c r="F755" s="25" t="n">
        <f aca="false">E755-D755</f>
        <v>-83648751.2605041</v>
      </c>
      <c r="G755" s="25" t="n">
        <f aca="false">E755-C755</f>
        <v>59296248.7394958</v>
      </c>
      <c r="H755" s="7" t="str">
        <f aca="false">IF(F755&gt;=0,A755,"")</f>
        <v/>
      </c>
      <c r="I755" s="7" t="n">
        <f aca="false">IF(F755&lt;0,A755,0)</f>
        <v>750</v>
      </c>
      <c r="J755" s="7" t="n">
        <f aca="false">IF(G755&gt;=0,A755,"")</f>
        <v>750</v>
      </c>
      <c r="K755" s="7" t="n">
        <f aca="false">IF(G755&lt;0,A755,0)</f>
        <v>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500747940</v>
      </c>
      <c r="D756" s="25" t="n">
        <f aca="false">('Chi phí'!$C$77+'Chi phí'!$D$77*B756+'Chi phí'!$E$77*A756+'Giả định'!$B$15*('Chi phí'!$F$77+'Chi phí'!$G$77*B756+'Chi phí'!$H$77*A756))*(1+'Giả định'!$B$16)</f>
        <v>643692940</v>
      </c>
      <c r="E756" s="25" t="n">
        <f aca="false">A756/'Giả định'!$B$19*'Giả định'!$B$20+A756*'Giả định'!$B$23+'Giả định'!$B$24</f>
        <v>555361344.537815</v>
      </c>
      <c r="F756" s="25" t="n">
        <f aca="false">E756-D756</f>
        <v>-88331595.4621848</v>
      </c>
      <c r="G756" s="25" t="n">
        <f aca="false">E756-C756</f>
        <v>54613404.5378152</v>
      </c>
      <c r="H756" s="7" t="str">
        <f aca="false">IF(F756&gt;=0,A756,"")</f>
        <v/>
      </c>
      <c r="I756" s="7" t="n">
        <f aca="false">IF(F756&lt;0,A756,0)</f>
        <v>751</v>
      </c>
      <c r="J756" s="7" t="n">
        <f aca="false">IF(G756&gt;=0,A756,"")</f>
        <v>751</v>
      </c>
      <c r="K756" s="7" t="n">
        <f aca="false">IF(G756&lt;0,A756,0)</f>
        <v>0</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500784680</v>
      </c>
      <c r="D757" s="25" t="n">
        <f aca="false">('Chi phí'!$C$77+'Chi phí'!$D$77*B757+'Chi phí'!$E$77*A757+'Giả định'!$B$15*('Chi phí'!$F$77+'Chi phí'!$G$77*B757+'Chi phí'!$H$77*A757))*(1+'Giả định'!$B$16)</f>
        <v>643729680</v>
      </c>
      <c r="E757" s="25" t="n">
        <f aca="false">A757/'Giả định'!$B$19*'Giả định'!$B$20+A757*'Giả định'!$B$23+'Giả định'!$B$24</f>
        <v>556100840.336135</v>
      </c>
      <c r="F757" s="25" t="n">
        <f aca="false">E757-D757</f>
        <v>-87628839.6638655</v>
      </c>
      <c r="G757" s="25" t="n">
        <f aca="false">E757-C757</f>
        <v>55316160.3361345</v>
      </c>
      <c r="H757" s="7" t="str">
        <f aca="false">IF(F757&gt;=0,A757,"")</f>
        <v/>
      </c>
      <c r="I757" s="7" t="n">
        <f aca="false">IF(F757&lt;0,A757,0)</f>
        <v>752</v>
      </c>
      <c r="J757" s="7" t="n">
        <f aca="false">IF(G757&gt;=0,A757,"")</f>
        <v>752</v>
      </c>
      <c r="K757" s="7" t="n">
        <f aca="false">IF(G757&lt;0,A757,0)</f>
        <v>0</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500821420</v>
      </c>
      <c r="D758" s="25" t="n">
        <f aca="false">('Chi phí'!$C$77+'Chi phí'!$D$77*B758+'Chi phí'!$E$77*A758+'Giả định'!$B$15*('Chi phí'!$F$77+'Chi phí'!$G$77*B758+'Chi phí'!$H$77*A758))*(1+'Giả định'!$B$16)</f>
        <v>643766420</v>
      </c>
      <c r="E758" s="25" t="n">
        <f aca="false">A758/'Giả định'!$B$19*'Giả định'!$B$20+A758*'Giả định'!$B$23+'Giả định'!$B$24</f>
        <v>556840336.134454</v>
      </c>
      <c r="F758" s="25" t="n">
        <f aca="false">E758-D758</f>
        <v>-86926083.8655461</v>
      </c>
      <c r="G758" s="25" t="n">
        <f aca="false">E758-C758</f>
        <v>56018916.1344538</v>
      </c>
      <c r="H758" s="7" t="str">
        <f aca="false">IF(F758&gt;=0,A758,"")</f>
        <v/>
      </c>
      <c r="I758" s="7" t="n">
        <f aca="false">IF(F758&lt;0,A758,0)</f>
        <v>753</v>
      </c>
      <c r="J758" s="7" t="n">
        <f aca="false">IF(G758&gt;=0,A758,"")</f>
        <v>753</v>
      </c>
      <c r="K758" s="7" t="n">
        <f aca="false">IF(G758&lt;0,A758,0)</f>
        <v>0</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500858160</v>
      </c>
      <c r="D759" s="25" t="n">
        <f aca="false">('Chi phí'!$C$77+'Chi phí'!$D$77*B759+'Chi phí'!$E$77*A759+'Giả định'!$B$15*('Chi phí'!$F$77+'Chi phí'!$G$77*B759+'Chi phí'!$H$77*A759))*(1+'Giả định'!$B$16)</f>
        <v>643803160</v>
      </c>
      <c r="E759" s="25" t="n">
        <f aca="false">A759/'Giả định'!$B$19*'Giả định'!$B$20+A759*'Giả định'!$B$23+'Giả định'!$B$24</f>
        <v>557579831.932773</v>
      </c>
      <c r="F759" s="25" t="n">
        <f aca="false">E759-D759</f>
        <v>-86223328.0672269</v>
      </c>
      <c r="G759" s="25" t="n">
        <f aca="false">E759-C759</f>
        <v>56721671.9327731</v>
      </c>
      <c r="H759" s="7" t="str">
        <f aca="false">IF(F759&gt;=0,A759,"")</f>
        <v/>
      </c>
      <c r="I759" s="7" t="n">
        <f aca="false">IF(F759&lt;0,A759,0)</f>
        <v>754</v>
      </c>
      <c r="J759" s="7" t="n">
        <f aca="false">IF(G759&gt;=0,A759,"")</f>
        <v>754</v>
      </c>
      <c r="K759" s="7" t="n">
        <f aca="false">IF(G759&lt;0,A759,0)</f>
        <v>0</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500894900</v>
      </c>
      <c r="D760" s="25" t="n">
        <f aca="false">('Chi phí'!$C$77+'Chi phí'!$D$77*B760+'Chi phí'!$E$77*A760+'Giả định'!$B$15*('Chi phí'!$F$77+'Chi phí'!$G$77*B760+'Chi phí'!$H$77*A760))*(1+'Giả định'!$B$16)</f>
        <v>643839900</v>
      </c>
      <c r="E760" s="25" t="n">
        <f aca="false">A760/'Giả định'!$B$19*'Giả định'!$B$20+A760*'Giả định'!$B$23+'Giả định'!$B$24</f>
        <v>558319327.731093</v>
      </c>
      <c r="F760" s="25" t="n">
        <f aca="false">E760-D760</f>
        <v>-85520572.2689074</v>
      </c>
      <c r="G760" s="25" t="n">
        <f aca="false">E760-C760</f>
        <v>57424427.7310925</v>
      </c>
      <c r="H760" s="7" t="str">
        <f aca="false">IF(F760&gt;=0,A760,"")</f>
        <v/>
      </c>
      <c r="I760" s="7" t="n">
        <f aca="false">IF(F760&lt;0,A760,0)</f>
        <v>755</v>
      </c>
      <c r="J760" s="7" t="n">
        <f aca="false">IF(G760&gt;=0,A760,"")</f>
        <v>755</v>
      </c>
      <c r="K760" s="7" t="n">
        <f aca="false">IF(G760&lt;0,A760,0)</f>
        <v>0</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500931640</v>
      </c>
      <c r="D761" s="25" t="n">
        <f aca="false">('Chi phí'!$C$77+'Chi phí'!$D$77*B761+'Chi phí'!$E$77*A761+'Giả định'!$B$15*('Chi phí'!$F$77+'Chi phí'!$G$77*B761+'Chi phí'!$H$77*A761))*(1+'Giả định'!$B$16)</f>
        <v>643876640</v>
      </c>
      <c r="E761" s="25" t="n">
        <f aca="false">A761/'Giả định'!$B$19*'Giả định'!$B$20+A761*'Giả định'!$B$23+'Giả định'!$B$24</f>
        <v>559058823.529412</v>
      </c>
      <c r="F761" s="25" t="n">
        <f aca="false">E761-D761</f>
        <v>-84817816.4705882</v>
      </c>
      <c r="G761" s="25" t="n">
        <f aca="false">E761-C761</f>
        <v>58127183.5294117</v>
      </c>
      <c r="H761" s="7" t="str">
        <f aca="false">IF(F761&gt;=0,A761,"")</f>
        <v/>
      </c>
      <c r="I761" s="7" t="n">
        <f aca="false">IF(F761&lt;0,A761,0)</f>
        <v>756</v>
      </c>
      <c r="J761" s="7" t="n">
        <f aca="false">IF(G761&gt;=0,A761,"")</f>
        <v>756</v>
      </c>
      <c r="K761" s="7" t="n">
        <f aca="false">IF(G761&lt;0,A761,0)</f>
        <v>0</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500968380</v>
      </c>
      <c r="D762" s="25" t="n">
        <f aca="false">('Chi phí'!$C$77+'Chi phí'!$D$77*B762+'Chi phí'!$E$77*A762+'Giả định'!$B$15*('Chi phí'!$F$77+'Chi phí'!$G$77*B762+'Chi phí'!$H$77*A762))*(1+'Giả định'!$B$16)</f>
        <v>643913380</v>
      </c>
      <c r="E762" s="25" t="n">
        <f aca="false">A762/'Giả định'!$B$19*'Giả định'!$B$20+A762*'Giả định'!$B$23+'Giả định'!$B$24</f>
        <v>559798319.327731</v>
      </c>
      <c r="F762" s="25" t="n">
        <f aca="false">E762-D762</f>
        <v>-84115060.6722689</v>
      </c>
      <c r="G762" s="25" t="n">
        <f aca="false">E762-C762</f>
        <v>58829939.3277311</v>
      </c>
      <c r="H762" s="7" t="str">
        <f aca="false">IF(F762&gt;=0,A762,"")</f>
        <v/>
      </c>
      <c r="I762" s="7" t="n">
        <f aca="false">IF(F762&lt;0,A762,0)</f>
        <v>757</v>
      </c>
      <c r="J762" s="7" t="n">
        <f aca="false">IF(G762&gt;=0,A762,"")</f>
        <v>757</v>
      </c>
      <c r="K762" s="7" t="n">
        <f aca="false">IF(G762&lt;0,A762,0)</f>
        <v>0</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501005120</v>
      </c>
      <c r="D763" s="25" t="n">
        <f aca="false">('Chi phí'!$C$77+'Chi phí'!$D$77*B763+'Chi phí'!$E$77*A763+'Giả định'!$B$15*('Chi phí'!$F$77+'Chi phí'!$G$77*B763+'Chi phí'!$H$77*A763))*(1+'Giả định'!$B$16)</f>
        <v>643950120</v>
      </c>
      <c r="E763" s="25" t="n">
        <f aca="false">A763/'Giả định'!$B$19*'Giả định'!$B$20+A763*'Giả định'!$B$23+'Giả định'!$B$24</f>
        <v>560537815.126051</v>
      </c>
      <c r="F763" s="25" t="n">
        <f aca="false">E763-D763</f>
        <v>-83412304.8739495</v>
      </c>
      <c r="G763" s="25" t="n">
        <f aca="false">E763-C763</f>
        <v>59532695.1260504</v>
      </c>
      <c r="H763" s="7" t="str">
        <f aca="false">IF(F763&gt;=0,A763,"")</f>
        <v/>
      </c>
      <c r="I763" s="7" t="n">
        <f aca="false">IF(F763&lt;0,A763,0)</f>
        <v>758</v>
      </c>
      <c r="J763" s="7" t="n">
        <f aca="false">IF(G763&gt;=0,A763,"")</f>
        <v>758</v>
      </c>
      <c r="K763" s="7" t="n">
        <f aca="false">IF(G763&lt;0,A763,0)</f>
        <v>0</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501041860</v>
      </c>
      <c r="D764" s="25" t="n">
        <f aca="false">('Chi phí'!$C$77+'Chi phí'!$D$77*B764+'Chi phí'!$E$77*A764+'Giả định'!$B$15*('Chi phí'!$F$77+'Chi phí'!$G$77*B764+'Chi phí'!$H$77*A764))*(1+'Giả định'!$B$16)</f>
        <v>643986860</v>
      </c>
      <c r="E764" s="25" t="n">
        <f aca="false">A764/'Giả định'!$B$19*'Giả định'!$B$20+A764*'Giả định'!$B$23+'Giả định'!$B$24</f>
        <v>561277310.92437</v>
      </c>
      <c r="F764" s="25" t="n">
        <f aca="false">E764-D764</f>
        <v>-82709549.0756302</v>
      </c>
      <c r="G764" s="25" t="n">
        <f aca="false">E764-C764</f>
        <v>60235450.9243698</v>
      </c>
      <c r="H764" s="7" t="str">
        <f aca="false">IF(F764&gt;=0,A764,"")</f>
        <v/>
      </c>
      <c r="I764" s="7" t="n">
        <f aca="false">IF(F764&lt;0,A764,0)</f>
        <v>759</v>
      </c>
      <c r="J764" s="7" t="n">
        <f aca="false">IF(G764&gt;=0,A764,"")</f>
        <v>759</v>
      </c>
      <c r="K764" s="7" t="n">
        <f aca="false">IF(G764&lt;0,A764,0)</f>
        <v>0</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501078600</v>
      </c>
      <c r="D765" s="25" t="n">
        <f aca="false">('Chi phí'!$C$77+'Chi phí'!$D$77*B765+'Chi phí'!$E$77*A765+'Giả định'!$B$15*('Chi phí'!$F$77+'Chi phí'!$G$77*B765+'Chi phí'!$H$77*A765))*(1+'Giả định'!$B$16)</f>
        <v>644023600</v>
      </c>
      <c r="E765" s="25" t="n">
        <f aca="false">A765/'Giả định'!$B$19*'Giả định'!$B$20+A765*'Giả định'!$B$23+'Giả định'!$B$24</f>
        <v>562016806.722689</v>
      </c>
      <c r="F765" s="25" t="n">
        <f aca="false">E765-D765</f>
        <v>-82006793.2773109</v>
      </c>
      <c r="G765" s="25" t="n">
        <f aca="false">E765-C765</f>
        <v>60938206.7226891</v>
      </c>
      <c r="H765" s="7" t="str">
        <f aca="false">IF(F765&gt;=0,A765,"")</f>
        <v/>
      </c>
      <c r="I765" s="7" t="n">
        <f aca="false">IF(F765&lt;0,A765,0)</f>
        <v>760</v>
      </c>
      <c r="J765" s="7" t="n">
        <f aca="false">IF(G765&gt;=0,A765,"")</f>
        <v>760</v>
      </c>
      <c r="K765" s="7" t="n">
        <f aca="false">IF(G765&lt;0,A765,0)</f>
        <v>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506500940</v>
      </c>
      <c r="D766" s="25" t="n">
        <f aca="false">('Chi phí'!$C$77+'Chi phí'!$D$77*B766+'Chi phí'!$E$77*A766+'Giả định'!$B$15*('Chi phí'!$F$77+'Chi phí'!$G$77*B766+'Chi phí'!$H$77*A766))*(1+'Giả định'!$B$16)</f>
        <v>649445940</v>
      </c>
      <c r="E766" s="25" t="n">
        <f aca="false">A766/'Giả định'!$B$19*'Giả định'!$B$20+A766*'Giả định'!$B$23+'Giả định'!$B$24</f>
        <v>562756302.521008</v>
      </c>
      <c r="F766" s="25" t="n">
        <f aca="false">E766-D766</f>
        <v>-86689637.4789916</v>
      </c>
      <c r="G766" s="25" t="n">
        <f aca="false">E766-C766</f>
        <v>56255362.5210083</v>
      </c>
      <c r="H766" s="7" t="str">
        <f aca="false">IF(F766&gt;=0,A766,"")</f>
        <v/>
      </c>
      <c r="I766" s="7" t="n">
        <f aca="false">IF(F766&lt;0,A766,0)</f>
        <v>761</v>
      </c>
      <c r="J766" s="7" t="n">
        <f aca="false">IF(G766&gt;=0,A766,"")</f>
        <v>761</v>
      </c>
      <c r="K766" s="7" t="n">
        <f aca="false">IF(G766&lt;0,A766,0)</f>
        <v>0</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506537680</v>
      </c>
      <c r="D767" s="25" t="n">
        <f aca="false">('Chi phí'!$C$77+'Chi phí'!$D$77*B767+'Chi phí'!$E$77*A767+'Giả định'!$B$15*('Chi phí'!$F$77+'Chi phí'!$G$77*B767+'Chi phí'!$H$77*A767))*(1+'Giả định'!$B$16)</f>
        <v>649482680</v>
      </c>
      <c r="E767" s="25" t="n">
        <f aca="false">A767/'Giả định'!$B$19*'Giả định'!$B$20+A767*'Giả định'!$B$23+'Giả định'!$B$24</f>
        <v>563495798.319328</v>
      </c>
      <c r="F767" s="25" t="n">
        <f aca="false">E767-D767</f>
        <v>-85986881.6806722</v>
      </c>
      <c r="G767" s="25" t="n">
        <f aca="false">E767-C767</f>
        <v>56958118.3193278</v>
      </c>
      <c r="H767" s="7" t="str">
        <f aca="false">IF(F767&gt;=0,A767,"")</f>
        <v/>
      </c>
      <c r="I767" s="7" t="n">
        <f aca="false">IF(F767&lt;0,A767,0)</f>
        <v>762</v>
      </c>
      <c r="J767" s="7" t="n">
        <f aca="false">IF(G767&gt;=0,A767,"")</f>
        <v>762</v>
      </c>
      <c r="K767" s="7" t="n">
        <f aca="false">IF(G767&lt;0,A767,0)</f>
        <v>0</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506574420</v>
      </c>
      <c r="D768" s="25" t="n">
        <f aca="false">('Chi phí'!$C$77+'Chi phí'!$D$77*B768+'Chi phí'!$E$77*A768+'Giả định'!$B$15*('Chi phí'!$F$77+'Chi phí'!$G$77*B768+'Chi phí'!$H$77*A768))*(1+'Giả định'!$B$16)</f>
        <v>649519420</v>
      </c>
      <c r="E768" s="25" t="n">
        <f aca="false">A768/'Giả định'!$B$19*'Giả định'!$B$20+A768*'Giả định'!$B$23+'Giả định'!$B$24</f>
        <v>564235294.117647</v>
      </c>
      <c r="F768" s="25" t="n">
        <f aca="false">E768-D768</f>
        <v>-85284125.882353</v>
      </c>
      <c r="G768" s="25" t="n">
        <f aca="false">E768-C768</f>
        <v>57660874.117647</v>
      </c>
      <c r="H768" s="7" t="str">
        <f aca="false">IF(F768&gt;=0,A768,"")</f>
        <v/>
      </c>
      <c r="I768" s="7" t="n">
        <f aca="false">IF(F768&lt;0,A768,0)</f>
        <v>763</v>
      </c>
      <c r="J768" s="7" t="n">
        <f aca="false">IF(G768&gt;=0,A768,"")</f>
        <v>763</v>
      </c>
      <c r="K768" s="7" t="n">
        <f aca="false">IF(G768&lt;0,A768,0)</f>
        <v>0</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506611160</v>
      </c>
      <c r="D769" s="25" t="n">
        <f aca="false">('Chi phí'!$C$77+'Chi phí'!$D$77*B769+'Chi phí'!$E$77*A769+'Giả định'!$B$15*('Chi phí'!$F$77+'Chi phí'!$G$77*B769+'Chi phí'!$H$77*A769))*(1+'Giả định'!$B$16)</f>
        <v>649556160</v>
      </c>
      <c r="E769" s="25" t="n">
        <f aca="false">A769/'Giả định'!$B$19*'Giả định'!$B$20+A769*'Giả định'!$B$23+'Giả định'!$B$24</f>
        <v>564974789.915966</v>
      </c>
      <c r="F769" s="25" t="n">
        <f aca="false">E769-D769</f>
        <v>-84581370.0840336</v>
      </c>
      <c r="G769" s="25" t="n">
        <f aca="false">E769-C769</f>
        <v>58363629.9159663</v>
      </c>
      <c r="H769" s="7" t="str">
        <f aca="false">IF(F769&gt;=0,A769,"")</f>
        <v/>
      </c>
      <c r="I769" s="7" t="n">
        <f aca="false">IF(F769&lt;0,A769,0)</f>
        <v>764</v>
      </c>
      <c r="J769" s="7" t="n">
        <f aca="false">IF(G769&gt;=0,A769,"")</f>
        <v>764</v>
      </c>
      <c r="K769" s="7" t="n">
        <f aca="false">IF(G769&lt;0,A769,0)</f>
        <v>0</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506647900</v>
      </c>
      <c r="D770" s="25" t="n">
        <f aca="false">('Chi phí'!$C$77+'Chi phí'!$D$77*B770+'Chi phí'!$E$77*A770+'Giả định'!$B$15*('Chi phí'!$F$77+'Chi phí'!$G$77*B770+'Chi phí'!$H$77*A770))*(1+'Giả định'!$B$16)</f>
        <v>649592900</v>
      </c>
      <c r="E770" s="25" t="n">
        <f aca="false">A770/'Giả định'!$B$19*'Giả định'!$B$20+A770*'Giả định'!$B$23+'Giả định'!$B$24</f>
        <v>565714285.714286</v>
      </c>
      <c r="F770" s="25" t="n">
        <f aca="false">E770-D770</f>
        <v>-83878614.2857143</v>
      </c>
      <c r="G770" s="25" t="n">
        <f aca="false">E770-C770</f>
        <v>59066385.7142857</v>
      </c>
      <c r="H770" s="7" t="str">
        <f aca="false">IF(F770&gt;=0,A770,"")</f>
        <v/>
      </c>
      <c r="I770" s="7" t="n">
        <f aca="false">IF(F770&lt;0,A770,0)</f>
        <v>765</v>
      </c>
      <c r="J770" s="7" t="n">
        <f aca="false">IF(G770&gt;=0,A770,"")</f>
        <v>765</v>
      </c>
      <c r="K770" s="7" t="n">
        <f aca="false">IF(G770&lt;0,A770,0)</f>
        <v>0</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506684640</v>
      </c>
      <c r="D771" s="25" t="n">
        <f aca="false">('Chi phí'!$C$77+'Chi phí'!$D$77*B771+'Chi phí'!$E$77*A771+'Giả định'!$B$15*('Chi phí'!$F$77+'Chi phí'!$G$77*B771+'Chi phí'!$H$77*A771))*(1+'Giả định'!$B$16)</f>
        <v>649629640</v>
      </c>
      <c r="E771" s="25" t="n">
        <f aca="false">A771/'Giả định'!$B$19*'Giả định'!$B$20+A771*'Giả định'!$B$23+'Giả định'!$B$24</f>
        <v>566453781.512605</v>
      </c>
      <c r="F771" s="25" t="n">
        <f aca="false">E771-D771</f>
        <v>-83175858.4873949</v>
      </c>
      <c r="G771" s="25" t="n">
        <f aca="false">E771-C771</f>
        <v>59769141.512605</v>
      </c>
      <c r="H771" s="7" t="str">
        <f aca="false">IF(F771&gt;=0,A771,"")</f>
        <v/>
      </c>
      <c r="I771" s="7" t="n">
        <f aca="false">IF(F771&lt;0,A771,0)</f>
        <v>766</v>
      </c>
      <c r="J771" s="7" t="n">
        <f aca="false">IF(G771&gt;=0,A771,"")</f>
        <v>766</v>
      </c>
      <c r="K771" s="7" t="n">
        <f aca="false">IF(G771&lt;0,A771,0)</f>
        <v>0</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506721380</v>
      </c>
      <c r="D772" s="25" t="n">
        <f aca="false">('Chi phí'!$C$77+'Chi phí'!$D$77*B772+'Chi phí'!$E$77*A772+'Giả định'!$B$15*('Chi phí'!$F$77+'Chi phí'!$G$77*B772+'Chi phí'!$H$77*A772))*(1+'Giả định'!$B$16)</f>
        <v>649666380</v>
      </c>
      <c r="E772" s="25" t="n">
        <f aca="false">A772/'Giả định'!$B$19*'Giả định'!$B$20+A772*'Giả định'!$B$23+'Giả định'!$B$24</f>
        <v>567193277.310924</v>
      </c>
      <c r="F772" s="25" t="n">
        <f aca="false">E772-D772</f>
        <v>-82473102.6890756</v>
      </c>
      <c r="G772" s="25" t="n">
        <f aca="false">E772-C772</f>
        <v>60471897.3109244</v>
      </c>
      <c r="H772" s="7" t="str">
        <f aca="false">IF(F772&gt;=0,A772,"")</f>
        <v/>
      </c>
      <c r="I772" s="7" t="n">
        <f aca="false">IF(F772&lt;0,A772,0)</f>
        <v>767</v>
      </c>
      <c r="J772" s="7" t="n">
        <f aca="false">IF(G772&gt;=0,A772,"")</f>
        <v>767</v>
      </c>
      <c r="K772" s="7" t="n">
        <f aca="false">IF(G772&lt;0,A772,0)</f>
        <v>0</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506758120</v>
      </c>
      <c r="D773" s="25" t="n">
        <f aca="false">('Chi phí'!$C$77+'Chi phí'!$D$77*B773+'Chi phí'!$E$77*A773+'Giả định'!$B$15*('Chi phí'!$F$77+'Chi phí'!$G$77*B773+'Chi phí'!$H$77*A773))*(1+'Giả định'!$B$16)</f>
        <v>649703120</v>
      </c>
      <c r="E773" s="25" t="n">
        <f aca="false">A773/'Giả định'!$B$19*'Giả định'!$B$20+A773*'Giả định'!$B$23+'Giả định'!$B$24</f>
        <v>567932773.109244</v>
      </c>
      <c r="F773" s="25" t="n">
        <f aca="false">E773-D773</f>
        <v>-81770346.8907564</v>
      </c>
      <c r="G773" s="25" t="n">
        <f aca="false">E773-C773</f>
        <v>61174653.1092436</v>
      </c>
      <c r="H773" s="7" t="str">
        <f aca="false">IF(F773&gt;=0,A773,"")</f>
        <v/>
      </c>
      <c r="I773" s="7" t="n">
        <f aca="false">IF(F773&lt;0,A773,0)</f>
        <v>768</v>
      </c>
      <c r="J773" s="7" t="n">
        <f aca="false">IF(G773&gt;=0,A773,"")</f>
        <v>768</v>
      </c>
      <c r="K773" s="7" t="n">
        <f aca="false">IF(G773&lt;0,A773,0)</f>
        <v>0</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506794860</v>
      </c>
      <c r="D774" s="25" t="n">
        <f aca="false">('Chi phí'!$C$77+'Chi phí'!$D$77*B774+'Chi phí'!$E$77*A774+'Giả định'!$B$15*('Chi phí'!$F$77+'Chi phí'!$G$77*B774+'Chi phí'!$H$77*A774))*(1+'Giả định'!$B$16)</f>
        <v>649739860</v>
      </c>
      <c r="E774" s="25" t="n">
        <f aca="false">A774/'Giả định'!$B$19*'Giả định'!$B$20+A774*'Giả định'!$B$23+'Giả định'!$B$24</f>
        <v>568672268.907563</v>
      </c>
      <c r="F774" s="25" t="n">
        <f aca="false">E774-D774</f>
        <v>-81067591.0924369</v>
      </c>
      <c r="G774" s="25" t="n">
        <f aca="false">E774-C774</f>
        <v>61877408.907563</v>
      </c>
      <c r="H774" s="7" t="str">
        <f aca="false">IF(F774&gt;=0,A774,"")</f>
        <v/>
      </c>
      <c r="I774" s="7" t="n">
        <f aca="false">IF(F774&lt;0,A774,0)</f>
        <v>769</v>
      </c>
      <c r="J774" s="7" t="n">
        <f aca="false">IF(G774&gt;=0,A774,"")</f>
        <v>769</v>
      </c>
      <c r="K774" s="7" t="n">
        <f aca="false">IF(G774&lt;0,A774,0)</f>
        <v>0</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506831600</v>
      </c>
      <c r="D775" s="25" t="n">
        <f aca="false">('Chi phí'!$C$77+'Chi phí'!$D$77*B775+'Chi phí'!$E$77*A775+'Giả định'!$B$15*('Chi phí'!$F$77+'Chi phí'!$G$77*B775+'Chi phí'!$H$77*A775))*(1+'Giả định'!$B$16)</f>
        <v>649776600</v>
      </c>
      <c r="E775" s="25" t="n">
        <f aca="false">A775/'Giả định'!$B$19*'Giả định'!$B$20+A775*'Giả định'!$B$23+'Giả định'!$B$24</f>
        <v>569411764.705882</v>
      </c>
      <c r="F775" s="25" t="n">
        <f aca="false">E775-D775</f>
        <v>-80364835.2941177</v>
      </c>
      <c r="G775" s="25" t="n">
        <f aca="false">E775-C775</f>
        <v>62580164.7058823</v>
      </c>
      <c r="H775" s="7" t="str">
        <f aca="false">IF(F775&gt;=0,A775,"")</f>
        <v/>
      </c>
      <c r="I775" s="7" t="n">
        <f aca="false">IF(F775&lt;0,A775,0)</f>
        <v>770</v>
      </c>
      <c r="J775" s="7" t="n">
        <f aca="false">IF(G775&gt;=0,A775,"")</f>
        <v>770</v>
      </c>
      <c r="K775" s="7" t="n">
        <f aca="false">IF(G775&lt;0,A775,0)</f>
        <v>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512253940</v>
      </c>
      <c r="D776" s="25" t="n">
        <f aca="false">('Chi phí'!$C$77+'Chi phí'!$D$77*B776+'Chi phí'!$E$77*A776+'Giả định'!$B$15*('Chi phí'!$F$77+'Chi phí'!$G$77*B776+'Chi phí'!$H$77*A776))*(1+'Giả định'!$B$16)</f>
        <v>655198940</v>
      </c>
      <c r="E776" s="25" t="n">
        <f aca="false">A776/'Giả định'!$B$19*'Giả định'!$B$20+A776*'Giả định'!$B$23+'Giả định'!$B$24</f>
        <v>570151260.504202</v>
      </c>
      <c r="F776" s="25" t="n">
        <f aca="false">E776-D776</f>
        <v>-85047679.4957984</v>
      </c>
      <c r="G776" s="25" t="n">
        <f aca="false">E776-C776</f>
        <v>57897320.5042016</v>
      </c>
      <c r="H776" s="7" t="str">
        <f aca="false">IF(F776&gt;=0,A776,"")</f>
        <v/>
      </c>
      <c r="I776" s="7" t="n">
        <f aca="false">IF(F776&lt;0,A776,0)</f>
        <v>771</v>
      </c>
      <c r="J776" s="7" t="n">
        <f aca="false">IF(G776&gt;=0,A776,"")</f>
        <v>771</v>
      </c>
      <c r="K776" s="7" t="n">
        <f aca="false">IF(G776&lt;0,A776,0)</f>
        <v>0</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512290680</v>
      </c>
      <c r="D777" s="25" t="n">
        <f aca="false">('Chi phí'!$C$77+'Chi phí'!$D$77*B777+'Chi phí'!$E$77*A777+'Giả định'!$B$15*('Chi phí'!$F$77+'Chi phí'!$G$77*B777+'Chi phí'!$H$77*A777))*(1+'Giả định'!$B$16)</f>
        <v>655235680</v>
      </c>
      <c r="E777" s="25" t="n">
        <f aca="false">A777/'Giả định'!$B$19*'Giả định'!$B$20+A777*'Giả định'!$B$23+'Giả định'!$B$24</f>
        <v>570890756.302521</v>
      </c>
      <c r="F777" s="25" t="n">
        <f aca="false">E777-D777</f>
        <v>-84344923.697479</v>
      </c>
      <c r="G777" s="25" t="n">
        <f aca="false">E777-C777</f>
        <v>58600076.3025209</v>
      </c>
      <c r="H777" s="7" t="str">
        <f aca="false">IF(F777&gt;=0,A777,"")</f>
        <v/>
      </c>
      <c r="I777" s="7" t="n">
        <f aca="false">IF(F777&lt;0,A777,0)</f>
        <v>772</v>
      </c>
      <c r="J777" s="7" t="n">
        <f aca="false">IF(G777&gt;=0,A777,"")</f>
        <v>772</v>
      </c>
      <c r="K777" s="7" t="n">
        <f aca="false">IF(G777&lt;0,A777,0)</f>
        <v>0</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512327420</v>
      </c>
      <c r="D778" s="25" t="n">
        <f aca="false">('Chi phí'!$C$77+'Chi phí'!$D$77*B778+'Chi phí'!$E$77*A778+'Giả định'!$B$15*('Chi phí'!$F$77+'Chi phí'!$G$77*B778+'Chi phí'!$H$77*A778))*(1+'Giả định'!$B$16)</f>
        <v>655272420</v>
      </c>
      <c r="E778" s="25" t="n">
        <f aca="false">A778/'Giả định'!$B$19*'Giả định'!$B$20+A778*'Giả định'!$B$23+'Giả định'!$B$24</f>
        <v>571630252.10084</v>
      </c>
      <c r="F778" s="25" t="n">
        <f aca="false">E778-D778</f>
        <v>-83642167.8991596</v>
      </c>
      <c r="G778" s="25" t="n">
        <f aca="false">E778-C778</f>
        <v>59302832.1008404</v>
      </c>
      <c r="H778" s="7" t="str">
        <f aca="false">IF(F778&gt;=0,A778,"")</f>
        <v/>
      </c>
      <c r="I778" s="7" t="n">
        <f aca="false">IF(F778&lt;0,A778,0)</f>
        <v>773</v>
      </c>
      <c r="J778" s="7" t="n">
        <f aca="false">IF(G778&gt;=0,A778,"")</f>
        <v>773</v>
      </c>
      <c r="K778" s="7" t="n">
        <f aca="false">IF(G778&lt;0,A778,0)</f>
        <v>0</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512364160</v>
      </c>
      <c r="D779" s="25" t="n">
        <f aca="false">('Chi phí'!$C$77+'Chi phí'!$D$77*B779+'Chi phí'!$E$77*A779+'Giả định'!$B$15*('Chi phí'!$F$77+'Chi phí'!$G$77*B779+'Chi phí'!$H$77*A779))*(1+'Giả định'!$B$16)</f>
        <v>655309160</v>
      </c>
      <c r="E779" s="25" t="n">
        <f aca="false">A779/'Giả định'!$B$19*'Giả định'!$B$20+A779*'Giả định'!$B$23+'Giả định'!$B$24</f>
        <v>572369747.89916</v>
      </c>
      <c r="F779" s="25" t="n">
        <f aca="false">E779-D779</f>
        <v>-82939412.1008402</v>
      </c>
      <c r="G779" s="25" t="n">
        <f aca="false">E779-C779</f>
        <v>60005587.8991597</v>
      </c>
      <c r="H779" s="7" t="str">
        <f aca="false">IF(F779&gt;=0,A779,"")</f>
        <v/>
      </c>
      <c r="I779" s="7" t="n">
        <f aca="false">IF(F779&lt;0,A779,0)</f>
        <v>774</v>
      </c>
      <c r="J779" s="7" t="n">
        <f aca="false">IF(G779&gt;=0,A779,"")</f>
        <v>774</v>
      </c>
      <c r="K779" s="7" t="n">
        <f aca="false">IF(G779&lt;0,A779,0)</f>
        <v>0</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512400900</v>
      </c>
      <c r="D780" s="25" t="n">
        <f aca="false">('Chi phí'!$C$77+'Chi phí'!$D$77*B780+'Chi phí'!$E$77*A780+'Giả định'!$B$15*('Chi phí'!$F$77+'Chi phí'!$G$77*B780+'Chi phí'!$H$77*A780))*(1+'Giả định'!$B$16)</f>
        <v>655345900</v>
      </c>
      <c r="E780" s="25" t="n">
        <f aca="false">A780/'Giả định'!$B$19*'Giả định'!$B$20+A780*'Giả định'!$B$23+'Giả định'!$B$24</f>
        <v>573109243.697479</v>
      </c>
      <c r="F780" s="25" t="n">
        <f aca="false">E780-D780</f>
        <v>-82236656.302521</v>
      </c>
      <c r="G780" s="25" t="n">
        <f aca="false">E780-C780</f>
        <v>60708343.697479</v>
      </c>
      <c r="H780" s="7" t="str">
        <f aca="false">IF(F780&gt;=0,A780,"")</f>
        <v/>
      </c>
      <c r="I780" s="7" t="n">
        <f aca="false">IF(F780&lt;0,A780,0)</f>
        <v>775</v>
      </c>
      <c r="J780" s="7" t="n">
        <f aca="false">IF(G780&gt;=0,A780,"")</f>
        <v>775</v>
      </c>
      <c r="K780" s="7" t="n">
        <f aca="false">IF(G780&lt;0,A780,0)</f>
        <v>0</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512437640</v>
      </c>
      <c r="D781" s="25" t="n">
        <f aca="false">('Chi phí'!$C$77+'Chi phí'!$D$77*B781+'Chi phí'!$E$77*A781+'Giả định'!$B$15*('Chi phí'!$F$77+'Chi phí'!$G$77*B781+'Chi phí'!$H$77*A781))*(1+'Giả định'!$B$16)</f>
        <v>655382640</v>
      </c>
      <c r="E781" s="25" t="n">
        <f aca="false">A781/'Giả định'!$B$19*'Giả định'!$B$20+A781*'Giả định'!$B$23+'Giả định'!$B$24</f>
        <v>573848739.495799</v>
      </c>
      <c r="F781" s="25" t="n">
        <f aca="false">E781-D781</f>
        <v>-81533900.5042015</v>
      </c>
      <c r="G781" s="25" t="n">
        <f aca="false">E781-C781</f>
        <v>61411099.4957984</v>
      </c>
      <c r="H781" s="7" t="str">
        <f aca="false">IF(F781&gt;=0,A781,"")</f>
        <v/>
      </c>
      <c r="I781" s="7" t="n">
        <f aca="false">IF(F781&lt;0,A781,0)</f>
        <v>776</v>
      </c>
      <c r="J781" s="7" t="n">
        <f aca="false">IF(G781&gt;=0,A781,"")</f>
        <v>776</v>
      </c>
      <c r="K781" s="7" t="n">
        <f aca="false">IF(G781&lt;0,A781,0)</f>
        <v>0</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512474380</v>
      </c>
      <c r="D782" s="25" t="n">
        <f aca="false">('Chi phí'!$C$77+'Chi phí'!$D$77*B782+'Chi phí'!$E$77*A782+'Giả định'!$B$15*('Chi phí'!$F$77+'Chi phí'!$G$77*B782+'Chi phí'!$H$77*A782))*(1+'Giả định'!$B$16)</f>
        <v>655419380</v>
      </c>
      <c r="E782" s="25" t="n">
        <f aca="false">A782/'Giả định'!$B$19*'Giả định'!$B$20+A782*'Giả định'!$B$23+'Giả định'!$B$24</f>
        <v>574588235.294118</v>
      </c>
      <c r="F782" s="25" t="n">
        <f aca="false">E782-D782</f>
        <v>-80831144.7058823</v>
      </c>
      <c r="G782" s="25" t="n">
        <f aca="false">E782-C782</f>
        <v>62113855.2941176</v>
      </c>
      <c r="H782" s="7" t="str">
        <f aca="false">IF(F782&gt;=0,A782,"")</f>
        <v/>
      </c>
      <c r="I782" s="7" t="n">
        <f aca="false">IF(F782&lt;0,A782,0)</f>
        <v>777</v>
      </c>
      <c r="J782" s="7" t="n">
        <f aca="false">IF(G782&gt;=0,A782,"")</f>
        <v>777</v>
      </c>
      <c r="K782" s="7" t="n">
        <f aca="false">IF(G782&lt;0,A782,0)</f>
        <v>0</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512511120</v>
      </c>
      <c r="D783" s="25" t="n">
        <f aca="false">('Chi phí'!$C$77+'Chi phí'!$D$77*B783+'Chi phí'!$E$77*A783+'Giả định'!$B$15*('Chi phí'!$F$77+'Chi phí'!$G$77*B783+'Chi phí'!$H$77*A783))*(1+'Giả định'!$B$16)</f>
        <v>655456120</v>
      </c>
      <c r="E783" s="25" t="n">
        <f aca="false">A783/'Giả định'!$B$19*'Giả định'!$B$20+A783*'Giả định'!$B$23+'Giả định'!$B$24</f>
        <v>575327731.092437</v>
      </c>
      <c r="F783" s="25" t="n">
        <f aca="false">E783-D783</f>
        <v>-80128388.907563</v>
      </c>
      <c r="G783" s="25" t="n">
        <f aca="false">E783-C783</f>
        <v>62816611.092437</v>
      </c>
      <c r="H783" s="7" t="str">
        <f aca="false">IF(F783&gt;=0,A783,"")</f>
        <v/>
      </c>
      <c r="I783" s="7" t="n">
        <f aca="false">IF(F783&lt;0,A783,0)</f>
        <v>778</v>
      </c>
      <c r="J783" s="7" t="n">
        <f aca="false">IF(G783&gt;=0,A783,"")</f>
        <v>778</v>
      </c>
      <c r="K783" s="7" t="n">
        <f aca="false">IF(G783&lt;0,A783,0)</f>
        <v>0</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512547860</v>
      </c>
      <c r="D784" s="25" t="n">
        <f aca="false">('Chi phí'!$C$77+'Chi phí'!$D$77*B784+'Chi phí'!$E$77*A784+'Giả định'!$B$15*('Chi phí'!$F$77+'Chi phí'!$G$77*B784+'Chi phí'!$H$77*A784))*(1+'Giả định'!$B$16)</f>
        <v>655492860</v>
      </c>
      <c r="E784" s="25" t="n">
        <f aca="false">A784/'Giả định'!$B$19*'Giả định'!$B$20+A784*'Giả định'!$B$23+'Giả định'!$B$24</f>
        <v>576067226.890756</v>
      </c>
      <c r="F784" s="25" t="n">
        <f aca="false">E784-D784</f>
        <v>-79425633.1092436</v>
      </c>
      <c r="G784" s="25" t="n">
        <f aca="false">E784-C784</f>
        <v>63519366.8907563</v>
      </c>
      <c r="H784" s="7" t="str">
        <f aca="false">IF(F784&gt;=0,A784,"")</f>
        <v/>
      </c>
      <c r="I784" s="7" t="n">
        <f aca="false">IF(F784&lt;0,A784,0)</f>
        <v>779</v>
      </c>
      <c r="J784" s="7" t="n">
        <f aca="false">IF(G784&gt;=0,A784,"")</f>
        <v>779</v>
      </c>
      <c r="K784" s="7" t="n">
        <f aca="false">IF(G784&lt;0,A784,0)</f>
        <v>0</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512584600</v>
      </c>
      <c r="D785" s="25" t="n">
        <f aca="false">('Chi phí'!$C$77+'Chi phí'!$D$77*B785+'Chi phí'!$E$77*A785+'Giả định'!$B$15*('Chi phí'!$F$77+'Chi phí'!$G$77*B785+'Chi phí'!$H$77*A785))*(1+'Giả định'!$B$16)</f>
        <v>655529600</v>
      </c>
      <c r="E785" s="25" t="n">
        <f aca="false">A785/'Giả định'!$B$19*'Giả định'!$B$20+A785*'Giả định'!$B$23+'Giả định'!$B$24</f>
        <v>576806722.689076</v>
      </c>
      <c r="F785" s="25" t="n">
        <f aca="false">E785-D785</f>
        <v>-78722877.3109243</v>
      </c>
      <c r="G785" s="25" t="n">
        <f aca="false">E785-C785</f>
        <v>64222122.6890757</v>
      </c>
      <c r="H785" s="7" t="str">
        <f aca="false">IF(F785&gt;=0,A785,"")</f>
        <v/>
      </c>
      <c r="I785" s="7" t="n">
        <f aca="false">IF(F785&lt;0,A785,0)</f>
        <v>780</v>
      </c>
      <c r="J785" s="7" t="n">
        <f aca="false">IF(G785&gt;=0,A785,"")</f>
        <v>780</v>
      </c>
      <c r="K785" s="7" t="n">
        <f aca="false">IF(G785&lt;0,A785,0)</f>
        <v>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518006940</v>
      </c>
      <c r="D786" s="25" t="n">
        <f aca="false">('Chi phí'!$C$77+'Chi phí'!$D$77*B786+'Chi phí'!$E$77*A786+'Giả định'!$B$15*('Chi phí'!$F$77+'Chi phí'!$G$77*B786+'Chi phí'!$H$77*A786))*(1+'Giả định'!$B$16)</f>
        <v>660951940</v>
      </c>
      <c r="E786" s="25" t="n">
        <f aca="false">A786/'Giả định'!$B$19*'Giả định'!$B$20+A786*'Giả định'!$B$23+'Giả định'!$B$24</f>
        <v>577546218.487395</v>
      </c>
      <c r="F786" s="25" t="n">
        <f aca="false">E786-D786</f>
        <v>-83405721.512605</v>
      </c>
      <c r="G786" s="25" t="n">
        <f aca="false">E786-C786</f>
        <v>59539278.487395</v>
      </c>
      <c r="H786" s="7" t="str">
        <f aca="false">IF(F786&gt;=0,A786,"")</f>
        <v/>
      </c>
      <c r="I786" s="7" t="n">
        <f aca="false">IF(F786&lt;0,A786,0)</f>
        <v>781</v>
      </c>
      <c r="J786" s="7" t="n">
        <f aca="false">IF(G786&gt;=0,A786,"")</f>
        <v>781</v>
      </c>
      <c r="K786" s="7" t="n">
        <f aca="false">IF(G786&lt;0,A786,0)</f>
        <v>0</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518043680</v>
      </c>
      <c r="D787" s="25" t="n">
        <f aca="false">('Chi phí'!$C$77+'Chi phí'!$D$77*B787+'Chi phí'!$E$77*A787+'Giả định'!$B$15*('Chi phí'!$F$77+'Chi phí'!$G$77*B787+'Chi phí'!$H$77*A787))*(1+'Giả định'!$B$16)</f>
        <v>660988680</v>
      </c>
      <c r="E787" s="25" t="n">
        <f aca="false">A787/'Giả định'!$B$19*'Giả định'!$B$20+A787*'Giả định'!$B$23+'Giả định'!$B$24</f>
        <v>578285714.285714</v>
      </c>
      <c r="F787" s="25" t="n">
        <f aca="false">E787-D787</f>
        <v>-82702965.7142857</v>
      </c>
      <c r="G787" s="25" t="n">
        <f aca="false">E787-C787</f>
        <v>60242034.2857142</v>
      </c>
      <c r="H787" s="7" t="str">
        <f aca="false">IF(F787&gt;=0,A787,"")</f>
        <v/>
      </c>
      <c r="I787" s="7" t="n">
        <f aca="false">IF(F787&lt;0,A787,0)</f>
        <v>782</v>
      </c>
      <c r="J787" s="7" t="n">
        <f aca="false">IF(G787&gt;=0,A787,"")</f>
        <v>782</v>
      </c>
      <c r="K787" s="7" t="n">
        <f aca="false">IF(G787&lt;0,A787,0)</f>
        <v>0</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518080420</v>
      </c>
      <c r="D788" s="25" t="n">
        <f aca="false">('Chi phí'!$C$77+'Chi phí'!$D$77*B788+'Chi phí'!$E$77*A788+'Giả định'!$B$15*('Chi phí'!$F$77+'Chi phí'!$G$77*B788+'Chi phí'!$H$77*A788))*(1+'Giả định'!$B$16)</f>
        <v>661025420</v>
      </c>
      <c r="E788" s="25" t="n">
        <f aca="false">A788/'Giả định'!$B$19*'Giả định'!$B$20+A788*'Giả định'!$B$23+'Giả định'!$B$24</f>
        <v>579025210.084034</v>
      </c>
      <c r="F788" s="25" t="n">
        <f aca="false">E788-D788</f>
        <v>-82000209.9159663</v>
      </c>
      <c r="G788" s="25" t="n">
        <f aca="false">E788-C788</f>
        <v>60944790.0840337</v>
      </c>
      <c r="H788" s="7" t="str">
        <f aca="false">IF(F788&gt;=0,A788,"")</f>
        <v/>
      </c>
      <c r="I788" s="7" t="n">
        <f aca="false">IF(F788&lt;0,A788,0)</f>
        <v>783</v>
      </c>
      <c r="J788" s="7" t="n">
        <f aca="false">IF(G788&gt;=0,A788,"")</f>
        <v>783</v>
      </c>
      <c r="K788" s="7" t="n">
        <f aca="false">IF(G788&lt;0,A788,0)</f>
        <v>0</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518117160</v>
      </c>
      <c r="D789" s="25" t="n">
        <f aca="false">('Chi phí'!$C$77+'Chi phí'!$D$77*B789+'Chi phí'!$E$77*A789+'Giả định'!$B$15*('Chi phí'!$F$77+'Chi phí'!$G$77*B789+'Chi phí'!$H$77*A789))*(1+'Giả định'!$B$16)</f>
        <v>661062160</v>
      </c>
      <c r="E789" s="25" t="n">
        <f aca="false">A789/'Giả định'!$B$19*'Giả định'!$B$20+A789*'Giả định'!$B$23+'Giả định'!$B$24</f>
        <v>579764705.882353</v>
      </c>
      <c r="F789" s="25" t="n">
        <f aca="false">E789-D789</f>
        <v>-81297454.1176471</v>
      </c>
      <c r="G789" s="25" t="n">
        <f aca="false">E789-C789</f>
        <v>61647545.8823529</v>
      </c>
      <c r="H789" s="7" t="str">
        <f aca="false">IF(F789&gt;=0,A789,"")</f>
        <v/>
      </c>
      <c r="I789" s="7" t="n">
        <f aca="false">IF(F789&lt;0,A789,0)</f>
        <v>784</v>
      </c>
      <c r="J789" s="7" t="n">
        <f aca="false">IF(G789&gt;=0,A789,"")</f>
        <v>784</v>
      </c>
      <c r="K789" s="7" t="n">
        <f aca="false">IF(G789&lt;0,A789,0)</f>
        <v>0</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518153900</v>
      </c>
      <c r="D790" s="25" t="n">
        <f aca="false">('Chi phí'!$C$77+'Chi phí'!$D$77*B790+'Chi phí'!$E$77*A790+'Giả định'!$B$15*('Chi phí'!$F$77+'Chi phí'!$G$77*B790+'Chi phí'!$H$77*A790))*(1+'Giả định'!$B$16)</f>
        <v>661098900</v>
      </c>
      <c r="E790" s="25" t="n">
        <f aca="false">A790/'Giả định'!$B$19*'Giả định'!$B$20+A790*'Giả định'!$B$23+'Giả định'!$B$24</f>
        <v>580504201.680672</v>
      </c>
      <c r="F790" s="25" t="n">
        <f aca="false">E790-D790</f>
        <v>-80594698.3193277</v>
      </c>
      <c r="G790" s="25" t="n">
        <f aca="false">E790-C790</f>
        <v>62350301.6806722</v>
      </c>
      <c r="H790" s="7" t="str">
        <f aca="false">IF(F790&gt;=0,A790,"")</f>
        <v/>
      </c>
      <c r="I790" s="7" t="n">
        <f aca="false">IF(F790&lt;0,A790,0)</f>
        <v>785</v>
      </c>
      <c r="J790" s="7" t="n">
        <f aca="false">IF(G790&gt;=0,A790,"")</f>
        <v>785</v>
      </c>
      <c r="K790" s="7" t="n">
        <f aca="false">IF(G790&lt;0,A790,0)</f>
        <v>0</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518190640</v>
      </c>
      <c r="D791" s="25" t="n">
        <f aca="false">('Chi phí'!$C$77+'Chi phí'!$D$77*B791+'Chi phí'!$E$77*A791+'Giả định'!$B$15*('Chi phí'!$F$77+'Chi phí'!$G$77*B791+'Chi phí'!$H$77*A791))*(1+'Giả định'!$B$16)</f>
        <v>661135640</v>
      </c>
      <c r="E791" s="25" t="n">
        <f aca="false">A791/'Giả định'!$B$19*'Giả định'!$B$20+A791*'Giả định'!$B$23+'Giả định'!$B$24</f>
        <v>581243697.478992</v>
      </c>
      <c r="F791" s="25" t="n">
        <f aca="false">E791-D791</f>
        <v>-79891942.5210084</v>
      </c>
      <c r="G791" s="25" t="n">
        <f aca="false">E791-C791</f>
        <v>63053057.4789916</v>
      </c>
      <c r="H791" s="7" t="str">
        <f aca="false">IF(F791&gt;=0,A791,"")</f>
        <v/>
      </c>
      <c r="I791" s="7" t="n">
        <f aca="false">IF(F791&lt;0,A791,0)</f>
        <v>786</v>
      </c>
      <c r="J791" s="7" t="n">
        <f aca="false">IF(G791&gt;=0,A791,"")</f>
        <v>786</v>
      </c>
      <c r="K791" s="7" t="n">
        <f aca="false">IF(G791&lt;0,A791,0)</f>
        <v>0</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518227380</v>
      </c>
      <c r="D792" s="25" t="n">
        <f aca="false">('Chi phí'!$C$77+'Chi phí'!$D$77*B792+'Chi phí'!$E$77*A792+'Giả định'!$B$15*('Chi phí'!$F$77+'Chi phí'!$G$77*B792+'Chi phí'!$H$77*A792))*(1+'Giả định'!$B$16)</f>
        <v>661172380</v>
      </c>
      <c r="E792" s="25" t="n">
        <f aca="false">A792/'Giả định'!$B$19*'Giả định'!$B$20+A792*'Giả định'!$B$23+'Giả định'!$B$24</f>
        <v>581983193.277311</v>
      </c>
      <c r="F792" s="25" t="n">
        <f aca="false">E792-D792</f>
        <v>-79189186.722689</v>
      </c>
      <c r="G792" s="25" t="n">
        <f aca="false">E792-C792</f>
        <v>63755813.2773109</v>
      </c>
      <c r="H792" s="7" t="str">
        <f aca="false">IF(F792&gt;=0,A792,"")</f>
        <v/>
      </c>
      <c r="I792" s="7" t="n">
        <f aca="false">IF(F792&lt;0,A792,0)</f>
        <v>787</v>
      </c>
      <c r="J792" s="7" t="n">
        <f aca="false">IF(G792&gt;=0,A792,"")</f>
        <v>787</v>
      </c>
      <c r="K792" s="7" t="n">
        <f aca="false">IF(G792&lt;0,A792,0)</f>
        <v>0</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518264120</v>
      </c>
      <c r="D793" s="25" t="n">
        <f aca="false">('Chi phí'!$C$77+'Chi phí'!$D$77*B793+'Chi phí'!$E$77*A793+'Giả định'!$B$15*('Chi phí'!$F$77+'Chi phí'!$G$77*B793+'Chi phí'!$H$77*A793))*(1+'Giả định'!$B$16)</f>
        <v>661209120</v>
      </c>
      <c r="E793" s="25" t="n">
        <f aca="false">A793/'Giả định'!$B$19*'Giả định'!$B$20+A793*'Giả định'!$B$23+'Giả định'!$B$24</f>
        <v>582722689.07563</v>
      </c>
      <c r="F793" s="25" t="n">
        <f aca="false">E793-D793</f>
        <v>-78486430.9243697</v>
      </c>
      <c r="G793" s="25" t="n">
        <f aca="false">E793-C793</f>
        <v>64458569.0756303</v>
      </c>
      <c r="H793" s="7" t="str">
        <f aca="false">IF(F793&gt;=0,A793,"")</f>
        <v/>
      </c>
      <c r="I793" s="7" t="n">
        <f aca="false">IF(F793&lt;0,A793,0)</f>
        <v>788</v>
      </c>
      <c r="J793" s="7" t="n">
        <f aca="false">IF(G793&gt;=0,A793,"")</f>
        <v>788</v>
      </c>
      <c r="K793" s="7" t="n">
        <f aca="false">IF(G793&lt;0,A793,0)</f>
        <v>0</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518300860</v>
      </c>
      <c r="D794" s="25" t="n">
        <f aca="false">('Chi phí'!$C$77+'Chi phí'!$D$77*B794+'Chi phí'!$E$77*A794+'Giả định'!$B$15*('Chi phí'!$F$77+'Chi phí'!$G$77*B794+'Chi phí'!$H$77*A794))*(1+'Giả định'!$B$16)</f>
        <v>661245860</v>
      </c>
      <c r="E794" s="25" t="n">
        <f aca="false">A794/'Giả định'!$B$19*'Giả định'!$B$20+A794*'Giả định'!$B$23+'Giả định'!$B$24</f>
        <v>583462184.87395</v>
      </c>
      <c r="F794" s="25" t="n">
        <f aca="false">E794-D794</f>
        <v>-77783675.1260505</v>
      </c>
      <c r="G794" s="25" t="n">
        <f aca="false">E794-C794</f>
        <v>65161324.8739495</v>
      </c>
      <c r="H794" s="7" t="str">
        <f aca="false">IF(F794&gt;=0,A794,"")</f>
        <v/>
      </c>
      <c r="I794" s="7" t="n">
        <f aca="false">IF(F794&lt;0,A794,0)</f>
        <v>789</v>
      </c>
      <c r="J794" s="7" t="n">
        <f aca="false">IF(G794&gt;=0,A794,"")</f>
        <v>789</v>
      </c>
      <c r="K794" s="7" t="n">
        <f aca="false">IF(G794&lt;0,A794,0)</f>
        <v>0</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518337600</v>
      </c>
      <c r="D795" s="25" t="n">
        <f aca="false">('Chi phí'!$C$77+'Chi phí'!$D$77*B795+'Chi phí'!$E$77*A795+'Giả định'!$B$15*('Chi phí'!$F$77+'Chi phí'!$G$77*B795+'Chi phí'!$H$77*A795))*(1+'Giả định'!$B$16)</f>
        <v>661282600</v>
      </c>
      <c r="E795" s="25" t="n">
        <f aca="false">A795/'Giả định'!$B$19*'Giả định'!$B$20+A795*'Giả định'!$B$23+'Giả định'!$B$24</f>
        <v>584201680.672269</v>
      </c>
      <c r="F795" s="25" t="n">
        <f aca="false">E795-D795</f>
        <v>-77080919.327731</v>
      </c>
      <c r="G795" s="25" t="n">
        <f aca="false">E795-C795</f>
        <v>65864080.6722689</v>
      </c>
      <c r="H795" s="7" t="str">
        <f aca="false">IF(F795&gt;=0,A795,"")</f>
        <v/>
      </c>
      <c r="I795" s="7" t="n">
        <f aca="false">IF(F795&lt;0,A795,0)</f>
        <v>790</v>
      </c>
      <c r="J795" s="7" t="n">
        <f aca="false">IF(G795&gt;=0,A795,"")</f>
        <v>790</v>
      </c>
      <c r="K795" s="7" t="n">
        <f aca="false">IF(G795&lt;0,A795,0)</f>
        <v>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523759940</v>
      </c>
      <c r="D796" s="25" t="n">
        <f aca="false">('Chi phí'!$C$77+'Chi phí'!$D$77*B796+'Chi phí'!$E$77*A796+'Giả định'!$B$15*('Chi phí'!$F$77+'Chi phí'!$G$77*B796+'Chi phí'!$H$77*A796))*(1+'Giả định'!$B$16)</f>
        <v>666704940</v>
      </c>
      <c r="E796" s="25" t="n">
        <f aca="false">A796/'Giả định'!$B$19*'Giả định'!$B$20+A796*'Giả định'!$B$23+'Giả định'!$B$24</f>
        <v>584941176.470588</v>
      </c>
      <c r="F796" s="25" t="n">
        <f aca="false">E796-D796</f>
        <v>-81763763.5294118</v>
      </c>
      <c r="G796" s="25" t="n">
        <f aca="false">E796-C796</f>
        <v>61181236.4705882</v>
      </c>
      <c r="H796" s="7" t="str">
        <f aca="false">IF(F796&gt;=0,A796,"")</f>
        <v/>
      </c>
      <c r="I796" s="7" t="n">
        <f aca="false">IF(F796&lt;0,A796,0)</f>
        <v>791</v>
      </c>
      <c r="J796" s="7" t="n">
        <f aca="false">IF(G796&gt;=0,A796,"")</f>
        <v>791</v>
      </c>
      <c r="K796" s="7" t="n">
        <f aca="false">IF(G796&lt;0,A796,0)</f>
        <v>0</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523796680</v>
      </c>
      <c r="D797" s="25" t="n">
        <f aca="false">('Chi phí'!$C$77+'Chi phí'!$D$77*B797+'Chi phí'!$E$77*A797+'Giả định'!$B$15*('Chi phí'!$F$77+'Chi phí'!$G$77*B797+'Chi phí'!$H$77*A797))*(1+'Giả định'!$B$16)</f>
        <v>666741680</v>
      </c>
      <c r="E797" s="25" t="n">
        <f aca="false">A797/'Giả định'!$B$19*'Giả định'!$B$20+A797*'Giả định'!$B$23+'Giả định'!$B$24</f>
        <v>585680672.268908</v>
      </c>
      <c r="F797" s="25" t="n">
        <f aca="false">E797-D797</f>
        <v>-81061007.7310925</v>
      </c>
      <c r="G797" s="25" t="n">
        <f aca="false">E797-C797</f>
        <v>61883992.2689075</v>
      </c>
      <c r="H797" s="7" t="str">
        <f aca="false">IF(F797&gt;=0,A797,"")</f>
        <v/>
      </c>
      <c r="I797" s="7" t="n">
        <f aca="false">IF(F797&lt;0,A797,0)</f>
        <v>792</v>
      </c>
      <c r="J797" s="7" t="n">
        <f aca="false">IF(G797&gt;=0,A797,"")</f>
        <v>792</v>
      </c>
      <c r="K797" s="7" t="n">
        <f aca="false">IF(G797&lt;0,A797,0)</f>
        <v>0</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523833420</v>
      </c>
      <c r="D798" s="25" t="n">
        <f aca="false">('Chi phí'!$C$77+'Chi phí'!$D$77*B798+'Chi phí'!$E$77*A798+'Giả định'!$B$15*('Chi phí'!$F$77+'Chi phí'!$G$77*B798+'Chi phí'!$H$77*A798))*(1+'Giả định'!$B$16)</f>
        <v>666778420</v>
      </c>
      <c r="E798" s="25" t="n">
        <f aca="false">A798/'Giả định'!$B$19*'Giả định'!$B$20+A798*'Giả định'!$B$23+'Giả định'!$B$24</f>
        <v>586420168.067227</v>
      </c>
      <c r="F798" s="25" t="n">
        <f aca="false">E798-D798</f>
        <v>-80358251.9327731</v>
      </c>
      <c r="G798" s="25" t="n">
        <f aca="false">E798-C798</f>
        <v>62586748.0672268</v>
      </c>
      <c r="H798" s="7" t="str">
        <f aca="false">IF(F798&gt;=0,A798,"")</f>
        <v/>
      </c>
      <c r="I798" s="7" t="n">
        <f aca="false">IF(F798&lt;0,A798,0)</f>
        <v>793</v>
      </c>
      <c r="J798" s="7" t="n">
        <f aca="false">IF(G798&gt;=0,A798,"")</f>
        <v>793</v>
      </c>
      <c r="K798" s="7" t="n">
        <f aca="false">IF(G798&lt;0,A798,0)</f>
        <v>0</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523870160</v>
      </c>
      <c r="D799" s="25" t="n">
        <f aca="false">('Chi phí'!$C$77+'Chi phí'!$D$77*B799+'Chi phí'!$E$77*A799+'Giả định'!$B$15*('Chi phí'!$F$77+'Chi phí'!$G$77*B799+'Chi phí'!$H$77*A799))*(1+'Giả định'!$B$16)</f>
        <v>666815160</v>
      </c>
      <c r="E799" s="25" t="n">
        <f aca="false">A799/'Giả định'!$B$19*'Giả định'!$B$20+A799*'Giả định'!$B$23+'Giả định'!$B$24</f>
        <v>587159663.865546</v>
      </c>
      <c r="F799" s="25" t="n">
        <f aca="false">E799-D799</f>
        <v>-79655496.1344538</v>
      </c>
      <c r="G799" s="25" t="n">
        <f aca="false">E799-C799</f>
        <v>63289503.8655462</v>
      </c>
      <c r="H799" s="7" t="str">
        <f aca="false">IF(F799&gt;=0,A799,"")</f>
        <v/>
      </c>
      <c r="I799" s="7" t="n">
        <f aca="false">IF(F799&lt;0,A799,0)</f>
        <v>794</v>
      </c>
      <c r="J799" s="7" t="n">
        <f aca="false">IF(G799&gt;=0,A799,"")</f>
        <v>794</v>
      </c>
      <c r="K799" s="7" t="n">
        <f aca="false">IF(G799&lt;0,A799,0)</f>
        <v>0</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523906900</v>
      </c>
      <c r="D800" s="25" t="n">
        <f aca="false">('Chi phí'!$C$77+'Chi phí'!$D$77*B800+'Chi phí'!$E$77*A800+'Giả định'!$B$15*('Chi phí'!$F$77+'Chi phí'!$G$77*B800+'Chi phí'!$H$77*A800))*(1+'Giả định'!$B$16)</f>
        <v>666851900</v>
      </c>
      <c r="E800" s="25" t="n">
        <f aca="false">A800/'Giả định'!$B$19*'Giả định'!$B$20+A800*'Giả định'!$B$23+'Giả định'!$B$24</f>
        <v>587899159.663866</v>
      </c>
      <c r="F800" s="25" t="n">
        <f aca="false">E800-D800</f>
        <v>-78952740.3361344</v>
      </c>
      <c r="G800" s="25" t="n">
        <f aca="false">E800-C800</f>
        <v>63992259.6638655</v>
      </c>
      <c r="H800" s="7" t="str">
        <f aca="false">IF(F800&gt;=0,A800,"")</f>
        <v/>
      </c>
      <c r="I800" s="7" t="n">
        <f aca="false">IF(F800&lt;0,A800,0)</f>
        <v>795</v>
      </c>
      <c r="J800" s="7" t="n">
        <f aca="false">IF(G800&gt;=0,A800,"")</f>
        <v>795</v>
      </c>
      <c r="K800" s="7" t="n">
        <f aca="false">IF(G800&lt;0,A800,0)</f>
        <v>0</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523943640</v>
      </c>
      <c r="D801" s="25" t="n">
        <f aca="false">('Chi phí'!$C$77+'Chi phí'!$D$77*B801+'Chi phí'!$E$77*A801+'Giả định'!$B$15*('Chi phí'!$F$77+'Chi phí'!$G$77*B801+'Chi phí'!$H$77*A801))*(1+'Giả định'!$B$16)</f>
        <v>666888640</v>
      </c>
      <c r="E801" s="25" t="n">
        <f aca="false">A801/'Giả định'!$B$19*'Giả định'!$B$20+A801*'Giả định'!$B$23+'Giả định'!$B$24</f>
        <v>588638655.462185</v>
      </c>
      <c r="F801" s="25" t="n">
        <f aca="false">E801-D801</f>
        <v>-78249984.5378151</v>
      </c>
      <c r="G801" s="25" t="n">
        <f aca="false">E801-C801</f>
        <v>64695015.4621849</v>
      </c>
      <c r="H801" s="7" t="str">
        <f aca="false">IF(F801&gt;=0,A801,"")</f>
        <v/>
      </c>
      <c r="I801" s="7" t="n">
        <f aca="false">IF(F801&lt;0,A801,0)</f>
        <v>796</v>
      </c>
      <c r="J801" s="7" t="n">
        <f aca="false">IF(G801&gt;=0,A801,"")</f>
        <v>796</v>
      </c>
      <c r="K801" s="7" t="n">
        <f aca="false">IF(G801&lt;0,A801,0)</f>
        <v>0</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523980380</v>
      </c>
      <c r="D802" s="25" t="n">
        <f aca="false">('Chi phí'!$C$77+'Chi phí'!$D$77*B802+'Chi phí'!$E$77*A802+'Giả định'!$B$15*('Chi phí'!$F$77+'Chi phí'!$G$77*B802+'Chi phí'!$H$77*A802))*(1+'Giả định'!$B$16)</f>
        <v>666925380</v>
      </c>
      <c r="E802" s="25" t="n">
        <f aca="false">A802/'Giả định'!$B$19*'Giả định'!$B$20+A802*'Giả định'!$B$23+'Giả định'!$B$24</f>
        <v>589378151.260504</v>
      </c>
      <c r="F802" s="25" t="n">
        <f aca="false">E802-D802</f>
        <v>-77547228.7394956</v>
      </c>
      <c r="G802" s="25" t="n">
        <f aca="false">E802-C802</f>
        <v>65397771.2605043</v>
      </c>
      <c r="H802" s="7" t="str">
        <f aca="false">IF(F802&gt;=0,A802,"")</f>
        <v/>
      </c>
      <c r="I802" s="7" t="n">
        <f aca="false">IF(F802&lt;0,A802,0)</f>
        <v>797</v>
      </c>
      <c r="J802" s="7" t="n">
        <f aca="false">IF(G802&gt;=0,A802,"")</f>
        <v>797</v>
      </c>
      <c r="K802" s="7" t="n">
        <f aca="false">IF(G802&lt;0,A802,0)</f>
        <v>0</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524017120</v>
      </c>
      <c r="D803" s="25" t="n">
        <f aca="false">('Chi phí'!$C$77+'Chi phí'!$D$77*B803+'Chi phí'!$E$77*A803+'Giả định'!$B$15*('Chi phí'!$F$77+'Chi phí'!$G$77*B803+'Chi phí'!$H$77*A803))*(1+'Giả định'!$B$16)</f>
        <v>666962120</v>
      </c>
      <c r="E803" s="25" t="n">
        <f aca="false">A803/'Giả định'!$B$19*'Giả định'!$B$20+A803*'Giả định'!$B$23+'Giả định'!$B$24</f>
        <v>590117647.058824</v>
      </c>
      <c r="F803" s="25" t="n">
        <f aca="false">E803-D803</f>
        <v>-76844472.9411764</v>
      </c>
      <c r="G803" s="25" t="n">
        <f aca="false">E803-C803</f>
        <v>66100527.0588235</v>
      </c>
      <c r="H803" s="7" t="str">
        <f aca="false">IF(F803&gt;=0,A803,"")</f>
        <v/>
      </c>
      <c r="I803" s="7" t="n">
        <f aca="false">IF(F803&lt;0,A803,0)</f>
        <v>798</v>
      </c>
      <c r="J803" s="7" t="n">
        <f aca="false">IF(G803&gt;=0,A803,"")</f>
        <v>798</v>
      </c>
      <c r="K803" s="7" t="n">
        <f aca="false">IF(G803&lt;0,A803,0)</f>
        <v>0</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524053860</v>
      </c>
      <c r="D804" s="25" t="n">
        <f aca="false">('Chi phí'!$C$77+'Chi phí'!$D$77*B804+'Chi phí'!$E$77*A804+'Giả định'!$B$15*('Chi phí'!$F$77+'Chi phí'!$G$77*B804+'Chi phí'!$H$77*A804))*(1+'Giả định'!$B$16)</f>
        <v>666998860</v>
      </c>
      <c r="E804" s="25" t="n">
        <f aca="false">A804/'Giả định'!$B$19*'Giả định'!$B$20+A804*'Giả định'!$B$23+'Giả định'!$B$24</f>
        <v>590857142.857143</v>
      </c>
      <c r="F804" s="25" t="n">
        <f aca="false">E804-D804</f>
        <v>-76141717.1428571</v>
      </c>
      <c r="G804" s="25" t="n">
        <f aca="false">E804-C804</f>
        <v>66803282.8571429</v>
      </c>
      <c r="H804" s="7" t="str">
        <f aca="false">IF(F804&gt;=0,A804,"")</f>
        <v/>
      </c>
      <c r="I804" s="7" t="n">
        <f aca="false">IF(F804&lt;0,A804,0)</f>
        <v>799</v>
      </c>
      <c r="J804" s="7" t="n">
        <f aca="false">IF(G804&gt;=0,A804,"")</f>
        <v>799</v>
      </c>
      <c r="K804" s="7" t="n">
        <f aca="false">IF(G804&lt;0,A804,0)</f>
        <v>0</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524090600</v>
      </c>
      <c r="D805" s="25" t="n">
        <f aca="false">('Chi phí'!$C$77+'Chi phí'!$D$77*B805+'Chi phí'!$E$77*A805+'Giả định'!$B$15*('Chi phí'!$F$77+'Chi phí'!$G$77*B805+'Chi phí'!$H$77*A805))*(1+'Giả định'!$B$16)</f>
        <v>667035600</v>
      </c>
      <c r="E805" s="25" t="n">
        <f aca="false">A805/'Giả định'!$B$19*'Giả định'!$B$20+A805*'Giả định'!$B$23+'Giả định'!$B$24</f>
        <v>591596638.655462</v>
      </c>
      <c r="F805" s="25" t="n">
        <f aca="false">E805-D805</f>
        <v>-75438961.3445377</v>
      </c>
      <c r="G805" s="25" t="n">
        <f aca="false">E805-C805</f>
        <v>67506038.6554622</v>
      </c>
      <c r="H805" s="7" t="str">
        <f aca="false">IF(F805&gt;=0,A805,"")</f>
        <v/>
      </c>
      <c r="I805" s="7" t="n">
        <f aca="false">IF(F805&lt;0,A805,0)</f>
        <v>800</v>
      </c>
      <c r="J805" s="7" t="n">
        <f aca="false">IF(G805&gt;=0,A805,"")</f>
        <v>800</v>
      </c>
      <c r="K805" s="7" t="n">
        <f aca="false">IF(G805&lt;0,A805,0)</f>
        <v>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529512940</v>
      </c>
      <c r="D806" s="25" t="n">
        <f aca="false">('Chi phí'!$C$77+'Chi phí'!$D$77*B806+'Chi phí'!$E$77*A806+'Giả định'!$B$15*('Chi phí'!$F$77+'Chi phí'!$G$77*B806+'Chi phí'!$H$77*A806))*(1+'Giả định'!$B$16)</f>
        <v>672457940</v>
      </c>
      <c r="E806" s="25" t="n">
        <f aca="false">A806/'Giả định'!$B$19*'Giả định'!$B$20+A806*'Giả định'!$B$23+'Giả định'!$B$24</f>
        <v>592336134.453782</v>
      </c>
      <c r="F806" s="25" t="n">
        <f aca="false">E806-D806</f>
        <v>-80121805.5462184</v>
      </c>
      <c r="G806" s="25" t="n">
        <f aca="false">E806-C806</f>
        <v>62823194.4537815</v>
      </c>
      <c r="H806" s="7" t="str">
        <f aca="false">IF(F806&gt;=0,A806,"")</f>
        <v/>
      </c>
      <c r="I806" s="7" t="n">
        <f aca="false">IF(F806&lt;0,A806,0)</f>
        <v>801</v>
      </c>
      <c r="J806" s="7" t="n">
        <f aca="false">IF(G806&gt;=0,A806,"")</f>
        <v>801</v>
      </c>
      <c r="K806" s="7" t="n">
        <f aca="false">IF(G806&lt;0,A806,0)</f>
        <v>0</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529549680</v>
      </c>
      <c r="D807" s="25" t="n">
        <f aca="false">('Chi phí'!$C$77+'Chi phí'!$D$77*B807+'Chi phí'!$E$77*A807+'Giả định'!$B$15*('Chi phí'!$F$77+'Chi phí'!$G$77*B807+'Chi phí'!$H$77*A807))*(1+'Giả định'!$B$16)</f>
        <v>672494680</v>
      </c>
      <c r="E807" s="25" t="n">
        <f aca="false">A807/'Giả định'!$B$19*'Giả định'!$B$20+A807*'Giả định'!$B$23+'Giả định'!$B$24</f>
        <v>593075630.252101</v>
      </c>
      <c r="F807" s="25" t="n">
        <f aca="false">E807-D807</f>
        <v>-79419049.7478991</v>
      </c>
      <c r="G807" s="25" t="n">
        <f aca="false">E807-C807</f>
        <v>63525950.2521009</v>
      </c>
      <c r="H807" s="7" t="str">
        <f aca="false">IF(F807&gt;=0,A807,"")</f>
        <v/>
      </c>
      <c r="I807" s="7" t="n">
        <f aca="false">IF(F807&lt;0,A807,0)</f>
        <v>802</v>
      </c>
      <c r="J807" s="7" t="n">
        <f aca="false">IF(G807&gt;=0,A807,"")</f>
        <v>802</v>
      </c>
      <c r="K807" s="7" t="n">
        <f aca="false">IF(G807&lt;0,A807,0)</f>
        <v>0</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529586420</v>
      </c>
      <c r="D808" s="25" t="n">
        <f aca="false">('Chi phí'!$C$77+'Chi phí'!$D$77*B808+'Chi phí'!$E$77*A808+'Giả định'!$B$15*('Chi phí'!$F$77+'Chi phí'!$G$77*B808+'Chi phí'!$H$77*A808))*(1+'Giả định'!$B$16)</f>
        <v>672531420</v>
      </c>
      <c r="E808" s="25" t="n">
        <f aca="false">A808/'Giả định'!$B$19*'Giả định'!$B$20+A808*'Giả định'!$B$23+'Giả định'!$B$24</f>
        <v>593815126.05042</v>
      </c>
      <c r="F808" s="25" t="n">
        <f aca="false">E808-D808</f>
        <v>-78716293.9495798</v>
      </c>
      <c r="G808" s="25" t="n">
        <f aca="false">E808-C808</f>
        <v>64228706.0504201</v>
      </c>
      <c r="H808" s="7" t="str">
        <f aca="false">IF(F808&gt;=0,A808,"")</f>
        <v/>
      </c>
      <c r="I808" s="7" t="n">
        <f aca="false">IF(F808&lt;0,A808,0)</f>
        <v>803</v>
      </c>
      <c r="J808" s="7" t="n">
        <f aca="false">IF(G808&gt;=0,A808,"")</f>
        <v>803</v>
      </c>
      <c r="K808" s="7" t="n">
        <f aca="false">IF(G808&lt;0,A808,0)</f>
        <v>0</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529623160</v>
      </c>
      <c r="D809" s="25" t="n">
        <f aca="false">('Chi phí'!$C$77+'Chi phí'!$D$77*B809+'Chi phí'!$E$77*A809+'Giả định'!$B$15*('Chi phí'!$F$77+'Chi phí'!$G$77*B809+'Chi phí'!$H$77*A809))*(1+'Giả định'!$B$16)</f>
        <v>672568160</v>
      </c>
      <c r="E809" s="25" t="n">
        <f aca="false">A809/'Giả định'!$B$19*'Giả định'!$B$20+A809*'Giả định'!$B$23+'Giả định'!$B$24</f>
        <v>594554621.84874</v>
      </c>
      <c r="F809" s="25" t="n">
        <f aca="false">E809-D809</f>
        <v>-78013538.1512604</v>
      </c>
      <c r="G809" s="25" t="n">
        <f aca="false">E809-C809</f>
        <v>64931461.8487396</v>
      </c>
      <c r="H809" s="7" t="str">
        <f aca="false">IF(F809&gt;=0,A809,"")</f>
        <v/>
      </c>
      <c r="I809" s="7" t="n">
        <f aca="false">IF(F809&lt;0,A809,0)</f>
        <v>804</v>
      </c>
      <c r="J809" s="7" t="n">
        <f aca="false">IF(G809&gt;=0,A809,"")</f>
        <v>804</v>
      </c>
      <c r="K809" s="7" t="n">
        <f aca="false">IF(G809&lt;0,A809,0)</f>
        <v>0</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529659900</v>
      </c>
      <c r="D810" s="25" t="n">
        <f aca="false">('Chi phí'!$C$77+'Chi phí'!$D$77*B810+'Chi phí'!$E$77*A810+'Giả định'!$B$15*('Chi phí'!$F$77+'Chi phí'!$G$77*B810+'Chi phí'!$H$77*A810))*(1+'Giả định'!$B$16)</f>
        <v>672604900</v>
      </c>
      <c r="E810" s="25" t="n">
        <f aca="false">A810/'Giả định'!$B$19*'Giả định'!$B$20+A810*'Giả định'!$B$23+'Giả định'!$B$24</f>
        <v>595294117.647059</v>
      </c>
      <c r="F810" s="25" t="n">
        <f aca="false">E810-D810</f>
        <v>-77310782.3529412</v>
      </c>
      <c r="G810" s="25" t="n">
        <f aca="false">E810-C810</f>
        <v>65634217.6470588</v>
      </c>
      <c r="H810" s="7" t="str">
        <f aca="false">IF(F810&gt;=0,A810,"")</f>
        <v/>
      </c>
      <c r="I810" s="7" t="n">
        <f aca="false">IF(F810&lt;0,A810,0)</f>
        <v>805</v>
      </c>
      <c r="J810" s="7" t="n">
        <f aca="false">IF(G810&gt;=0,A810,"")</f>
        <v>805</v>
      </c>
      <c r="K810" s="7" t="n">
        <f aca="false">IF(G810&lt;0,A810,0)</f>
        <v>0</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529696640</v>
      </c>
      <c r="D811" s="25" t="n">
        <f aca="false">('Chi phí'!$C$77+'Chi phí'!$D$77*B811+'Chi phí'!$E$77*A811+'Giả định'!$B$15*('Chi phí'!$F$77+'Chi phí'!$G$77*B811+'Chi phí'!$H$77*A811))*(1+'Giả định'!$B$16)</f>
        <v>672641640</v>
      </c>
      <c r="E811" s="25" t="n">
        <f aca="false">A811/'Giả định'!$B$19*'Giả định'!$B$20+A811*'Giả định'!$B$23+'Giả định'!$B$24</f>
        <v>596033613.445378</v>
      </c>
      <c r="F811" s="25" t="n">
        <f aca="false">E811-D811</f>
        <v>-76608026.5546218</v>
      </c>
      <c r="G811" s="25" t="n">
        <f aca="false">E811-C811</f>
        <v>66336973.4453781</v>
      </c>
      <c r="H811" s="7" t="str">
        <f aca="false">IF(F811&gt;=0,A811,"")</f>
        <v/>
      </c>
      <c r="I811" s="7" t="n">
        <f aca="false">IF(F811&lt;0,A811,0)</f>
        <v>806</v>
      </c>
      <c r="J811" s="7" t="n">
        <f aca="false">IF(G811&gt;=0,A811,"")</f>
        <v>806</v>
      </c>
      <c r="K811" s="7" t="n">
        <f aca="false">IF(G811&lt;0,A811,0)</f>
        <v>0</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529733380</v>
      </c>
      <c r="D812" s="25" t="n">
        <f aca="false">('Chi phí'!$C$77+'Chi phí'!$D$77*B812+'Chi phí'!$E$77*A812+'Giả định'!$B$15*('Chi phí'!$F$77+'Chi phí'!$G$77*B812+'Chi phí'!$H$77*A812))*(1+'Giả định'!$B$16)</f>
        <v>672678380</v>
      </c>
      <c r="E812" s="25" t="n">
        <f aca="false">A812/'Giả định'!$B$19*'Giả định'!$B$20+A812*'Giả định'!$B$23+'Giả định'!$B$24</f>
        <v>596773109.243698</v>
      </c>
      <c r="F812" s="25" t="n">
        <f aca="false">E812-D812</f>
        <v>-75905270.7563025</v>
      </c>
      <c r="G812" s="25" t="n">
        <f aca="false">E812-C812</f>
        <v>67039729.2436975</v>
      </c>
      <c r="H812" s="7" t="str">
        <f aca="false">IF(F812&gt;=0,A812,"")</f>
        <v/>
      </c>
      <c r="I812" s="7" t="n">
        <f aca="false">IF(F812&lt;0,A812,0)</f>
        <v>807</v>
      </c>
      <c r="J812" s="7" t="n">
        <f aca="false">IF(G812&gt;=0,A812,"")</f>
        <v>807</v>
      </c>
      <c r="K812" s="7" t="n">
        <f aca="false">IF(G812&lt;0,A812,0)</f>
        <v>0</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529770120</v>
      </c>
      <c r="D813" s="25" t="n">
        <f aca="false">('Chi phí'!$C$77+'Chi phí'!$D$77*B813+'Chi phí'!$E$77*A813+'Giả định'!$B$15*('Chi phí'!$F$77+'Chi phí'!$G$77*B813+'Chi phí'!$H$77*A813))*(1+'Giả định'!$B$16)</f>
        <v>672715120</v>
      </c>
      <c r="E813" s="25" t="n">
        <f aca="false">A813/'Giả định'!$B$19*'Giả định'!$B$20+A813*'Giả định'!$B$23+'Giả định'!$B$24</f>
        <v>597512605.042017</v>
      </c>
      <c r="F813" s="25" t="n">
        <f aca="false">E813-D813</f>
        <v>-75202514.9579831</v>
      </c>
      <c r="G813" s="25" t="n">
        <f aca="false">E813-C813</f>
        <v>67742485.0420168</v>
      </c>
      <c r="H813" s="7" t="str">
        <f aca="false">IF(F813&gt;=0,A813,"")</f>
        <v/>
      </c>
      <c r="I813" s="7" t="n">
        <f aca="false">IF(F813&lt;0,A813,0)</f>
        <v>808</v>
      </c>
      <c r="J813" s="7" t="n">
        <f aca="false">IF(G813&gt;=0,A813,"")</f>
        <v>808</v>
      </c>
      <c r="K813" s="7" t="n">
        <f aca="false">IF(G813&lt;0,A813,0)</f>
        <v>0</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529806860</v>
      </c>
      <c r="D814" s="25" t="n">
        <f aca="false">('Chi phí'!$C$77+'Chi phí'!$D$77*B814+'Chi phí'!$E$77*A814+'Giả định'!$B$15*('Chi phí'!$F$77+'Chi phí'!$G$77*B814+'Chi phí'!$H$77*A814))*(1+'Giả định'!$B$16)</f>
        <v>672751860</v>
      </c>
      <c r="E814" s="25" t="n">
        <f aca="false">A814/'Giả định'!$B$19*'Giả định'!$B$20+A814*'Giả định'!$B$23+'Giả định'!$B$24</f>
        <v>598252100.840336</v>
      </c>
      <c r="F814" s="25" t="n">
        <f aca="false">E814-D814</f>
        <v>-74499759.1596638</v>
      </c>
      <c r="G814" s="25" t="n">
        <f aca="false">E814-C814</f>
        <v>68445240.8403361</v>
      </c>
      <c r="H814" s="7" t="str">
        <f aca="false">IF(F814&gt;=0,A814,"")</f>
        <v/>
      </c>
      <c r="I814" s="7" t="n">
        <f aca="false">IF(F814&lt;0,A814,0)</f>
        <v>809</v>
      </c>
      <c r="J814" s="7" t="n">
        <f aca="false">IF(G814&gt;=0,A814,"")</f>
        <v>809</v>
      </c>
      <c r="K814" s="7" t="n">
        <f aca="false">IF(G814&lt;0,A814,0)</f>
        <v>0</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529843600</v>
      </c>
      <c r="D815" s="25" t="n">
        <f aca="false">('Chi phí'!$C$77+'Chi phí'!$D$77*B815+'Chi phí'!$E$77*A815+'Giả định'!$B$15*('Chi phí'!$F$77+'Chi phí'!$G$77*B815+'Chi phí'!$H$77*A815))*(1+'Giả định'!$B$16)</f>
        <v>672788600</v>
      </c>
      <c r="E815" s="25" t="n">
        <f aca="false">A815/'Giả định'!$B$19*'Giả định'!$B$20+A815*'Giả định'!$B$23+'Giả định'!$B$24</f>
        <v>598991596.638655</v>
      </c>
      <c r="F815" s="25" t="n">
        <f aca="false">E815-D815</f>
        <v>-73797003.3613446</v>
      </c>
      <c r="G815" s="25" t="n">
        <f aca="false">E815-C815</f>
        <v>69147996.6386554</v>
      </c>
      <c r="H815" s="7" t="str">
        <f aca="false">IF(F815&gt;=0,A815,"")</f>
        <v/>
      </c>
      <c r="I815" s="7" t="n">
        <f aca="false">IF(F815&lt;0,A815,0)</f>
        <v>810</v>
      </c>
      <c r="J815" s="7" t="n">
        <f aca="false">IF(G815&gt;=0,A815,"")</f>
        <v>810</v>
      </c>
      <c r="K815" s="7" t="n">
        <f aca="false">IF(G815&lt;0,A815,0)</f>
        <v>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535265940</v>
      </c>
      <c r="D816" s="25" t="n">
        <f aca="false">('Chi phí'!$C$77+'Chi phí'!$D$77*B816+'Chi phí'!$E$77*A816+'Giả định'!$B$15*('Chi phí'!$F$77+'Chi phí'!$G$77*B816+'Chi phí'!$H$77*A816))*(1+'Giả định'!$B$16)</f>
        <v>678210940</v>
      </c>
      <c r="E816" s="25" t="n">
        <f aca="false">A816/'Giả định'!$B$19*'Giả định'!$B$20+A816*'Giả định'!$B$23+'Giả định'!$B$24</f>
        <v>599731092.436975</v>
      </c>
      <c r="F816" s="25" t="n">
        <f aca="false">E816-D816</f>
        <v>-78479847.5630251</v>
      </c>
      <c r="G816" s="25" t="n">
        <f aca="false">E816-C816</f>
        <v>64465152.4369748</v>
      </c>
      <c r="H816" s="7" t="str">
        <f aca="false">IF(F816&gt;=0,A816,"")</f>
        <v/>
      </c>
      <c r="I816" s="7" t="n">
        <f aca="false">IF(F816&lt;0,A816,0)</f>
        <v>811</v>
      </c>
      <c r="J816" s="7" t="n">
        <f aca="false">IF(G816&gt;=0,A816,"")</f>
        <v>811</v>
      </c>
      <c r="K816" s="7" t="n">
        <f aca="false">IF(G816&lt;0,A816,0)</f>
        <v>0</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535302680</v>
      </c>
      <c r="D817" s="25" t="n">
        <f aca="false">('Chi phí'!$C$77+'Chi phí'!$D$77*B817+'Chi phí'!$E$77*A817+'Giả định'!$B$15*('Chi phí'!$F$77+'Chi phí'!$G$77*B817+'Chi phí'!$H$77*A817))*(1+'Giả định'!$B$16)</f>
        <v>678247680</v>
      </c>
      <c r="E817" s="25" t="n">
        <f aca="false">A817/'Giả định'!$B$19*'Giả định'!$B$20+A817*'Giả định'!$B$23+'Giả định'!$B$24</f>
        <v>600470588.235294</v>
      </c>
      <c r="F817" s="25" t="n">
        <f aca="false">E817-D817</f>
        <v>-77777091.7647059</v>
      </c>
      <c r="G817" s="25" t="n">
        <f aca="false">E817-C817</f>
        <v>65167908.235294</v>
      </c>
      <c r="H817" s="7" t="str">
        <f aca="false">IF(F817&gt;=0,A817,"")</f>
        <v/>
      </c>
      <c r="I817" s="7" t="n">
        <f aca="false">IF(F817&lt;0,A817,0)</f>
        <v>812</v>
      </c>
      <c r="J817" s="7" t="n">
        <f aca="false">IF(G817&gt;=0,A817,"")</f>
        <v>812</v>
      </c>
      <c r="K817" s="7" t="n">
        <f aca="false">IF(G817&lt;0,A817,0)</f>
        <v>0</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535339420</v>
      </c>
      <c r="D818" s="25" t="n">
        <f aca="false">('Chi phí'!$C$77+'Chi phí'!$D$77*B818+'Chi phí'!$E$77*A818+'Giả định'!$B$15*('Chi phí'!$F$77+'Chi phí'!$G$77*B818+'Chi phí'!$H$77*A818))*(1+'Giả định'!$B$16)</f>
        <v>678284420</v>
      </c>
      <c r="E818" s="25" t="n">
        <f aca="false">A818/'Giả định'!$B$19*'Giả định'!$B$20+A818*'Giả định'!$B$23+'Giả định'!$B$24</f>
        <v>601210084.033613</v>
      </c>
      <c r="F818" s="25" t="n">
        <f aca="false">E818-D818</f>
        <v>-77074335.9663866</v>
      </c>
      <c r="G818" s="25" t="n">
        <f aca="false">E818-C818</f>
        <v>65870664.0336134</v>
      </c>
      <c r="H818" s="7" t="str">
        <f aca="false">IF(F818&gt;=0,A818,"")</f>
        <v/>
      </c>
      <c r="I818" s="7" t="n">
        <f aca="false">IF(F818&lt;0,A818,0)</f>
        <v>813</v>
      </c>
      <c r="J818" s="7" t="n">
        <f aca="false">IF(G818&gt;=0,A818,"")</f>
        <v>813</v>
      </c>
      <c r="K818" s="7" t="n">
        <f aca="false">IF(G818&lt;0,A818,0)</f>
        <v>0</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535376160</v>
      </c>
      <c r="D819" s="25" t="n">
        <f aca="false">('Chi phí'!$C$77+'Chi phí'!$D$77*B819+'Chi phí'!$E$77*A819+'Giả định'!$B$15*('Chi phí'!$F$77+'Chi phí'!$G$77*B819+'Chi phí'!$H$77*A819))*(1+'Giả định'!$B$16)</f>
        <v>678321160</v>
      </c>
      <c r="E819" s="25" t="n">
        <f aca="false">A819/'Giả định'!$B$19*'Giả định'!$B$20+A819*'Giả định'!$B$23+'Giả định'!$B$24</f>
        <v>601949579.831933</v>
      </c>
      <c r="F819" s="25" t="n">
        <f aca="false">E819-D819</f>
        <v>-76371580.1680672</v>
      </c>
      <c r="G819" s="25" t="n">
        <f aca="false">E819-C819</f>
        <v>66573419.8319327</v>
      </c>
      <c r="H819" s="7" t="str">
        <f aca="false">IF(F819&gt;=0,A819,"")</f>
        <v/>
      </c>
      <c r="I819" s="7" t="n">
        <f aca="false">IF(F819&lt;0,A819,0)</f>
        <v>814</v>
      </c>
      <c r="J819" s="7" t="n">
        <f aca="false">IF(G819&gt;=0,A819,"")</f>
        <v>814</v>
      </c>
      <c r="K819" s="7" t="n">
        <f aca="false">IF(G819&lt;0,A819,0)</f>
        <v>0</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535412900</v>
      </c>
      <c r="D820" s="25" t="n">
        <f aca="false">('Chi phí'!$C$77+'Chi phí'!$D$77*B820+'Chi phí'!$E$77*A820+'Giả định'!$B$15*('Chi phí'!$F$77+'Chi phí'!$G$77*B820+'Chi phí'!$H$77*A820))*(1+'Giả định'!$B$16)</f>
        <v>678357900</v>
      </c>
      <c r="E820" s="25" t="n">
        <f aca="false">A820/'Giả định'!$B$19*'Giả định'!$B$20+A820*'Giả định'!$B$23+'Giả định'!$B$24</f>
        <v>602689075.630252</v>
      </c>
      <c r="F820" s="25" t="n">
        <f aca="false">E820-D820</f>
        <v>-75668824.3697479</v>
      </c>
      <c r="G820" s="25" t="n">
        <f aca="false">E820-C820</f>
        <v>67276175.6302521</v>
      </c>
      <c r="H820" s="7" t="str">
        <f aca="false">IF(F820&gt;=0,A820,"")</f>
        <v/>
      </c>
      <c r="I820" s="7" t="n">
        <f aca="false">IF(F820&lt;0,A820,0)</f>
        <v>815</v>
      </c>
      <c r="J820" s="7" t="n">
        <f aca="false">IF(G820&gt;=0,A820,"")</f>
        <v>815</v>
      </c>
      <c r="K820" s="7" t="n">
        <f aca="false">IF(G820&lt;0,A820,0)</f>
        <v>0</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535449640</v>
      </c>
      <c r="D821" s="25" t="n">
        <f aca="false">('Chi phí'!$C$77+'Chi phí'!$D$77*B821+'Chi phí'!$E$77*A821+'Giả định'!$B$15*('Chi phí'!$F$77+'Chi phí'!$G$77*B821+'Chi phí'!$H$77*A821))*(1+'Giả định'!$B$16)</f>
        <v>678394640</v>
      </c>
      <c r="E821" s="25" t="n">
        <f aca="false">A821/'Giả định'!$B$19*'Giả định'!$B$20+A821*'Giả định'!$B$23+'Giả định'!$B$24</f>
        <v>603428571.428572</v>
      </c>
      <c r="F821" s="25" t="n">
        <f aca="false">E821-D821</f>
        <v>-74966068.5714285</v>
      </c>
      <c r="G821" s="25" t="n">
        <f aca="false">E821-C821</f>
        <v>67978931.4285714</v>
      </c>
      <c r="H821" s="7" t="str">
        <f aca="false">IF(F821&gt;=0,A821,"")</f>
        <v/>
      </c>
      <c r="I821" s="7" t="n">
        <f aca="false">IF(F821&lt;0,A821,0)</f>
        <v>816</v>
      </c>
      <c r="J821" s="7" t="n">
        <f aca="false">IF(G821&gt;=0,A821,"")</f>
        <v>816</v>
      </c>
      <c r="K821" s="7" t="n">
        <f aca="false">IF(G821&lt;0,A821,0)</f>
        <v>0</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535486380</v>
      </c>
      <c r="D822" s="25" t="n">
        <f aca="false">('Chi phí'!$C$77+'Chi phí'!$D$77*B822+'Chi phí'!$E$77*A822+'Giả định'!$B$15*('Chi phí'!$F$77+'Chi phí'!$G$77*B822+'Chi phí'!$H$77*A822))*(1+'Giả định'!$B$16)</f>
        <v>678431380</v>
      </c>
      <c r="E822" s="25" t="n">
        <f aca="false">A822/'Giả định'!$B$19*'Giả định'!$B$20+A822*'Giả định'!$B$23+'Giả định'!$B$24</f>
        <v>604168067.226891</v>
      </c>
      <c r="F822" s="25" t="n">
        <f aca="false">E822-D822</f>
        <v>-74263312.7731093</v>
      </c>
      <c r="G822" s="25" t="n">
        <f aca="false">E822-C822</f>
        <v>68681687.2268906</v>
      </c>
      <c r="H822" s="7" t="str">
        <f aca="false">IF(F822&gt;=0,A822,"")</f>
        <v/>
      </c>
      <c r="I822" s="7" t="n">
        <f aca="false">IF(F822&lt;0,A822,0)</f>
        <v>817</v>
      </c>
      <c r="J822" s="7" t="n">
        <f aca="false">IF(G822&gt;=0,A822,"")</f>
        <v>817</v>
      </c>
      <c r="K822" s="7" t="n">
        <f aca="false">IF(G822&lt;0,A822,0)</f>
        <v>0</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535523120</v>
      </c>
      <c r="D823" s="25" t="n">
        <f aca="false">('Chi phí'!$C$77+'Chi phí'!$D$77*B823+'Chi phí'!$E$77*A823+'Giả định'!$B$15*('Chi phí'!$F$77+'Chi phí'!$G$77*B823+'Chi phí'!$H$77*A823))*(1+'Giả định'!$B$16)</f>
        <v>678468120</v>
      </c>
      <c r="E823" s="25" t="n">
        <f aca="false">A823/'Giả định'!$B$19*'Giả định'!$B$20+A823*'Giả định'!$B$23+'Giả định'!$B$24</f>
        <v>604907563.02521</v>
      </c>
      <c r="F823" s="25" t="n">
        <f aca="false">E823-D823</f>
        <v>-73560556.9747899</v>
      </c>
      <c r="G823" s="25" t="n">
        <f aca="false">E823-C823</f>
        <v>69384443.0252101</v>
      </c>
      <c r="H823" s="7" t="str">
        <f aca="false">IF(F823&gt;=0,A823,"")</f>
        <v/>
      </c>
      <c r="I823" s="7" t="n">
        <f aca="false">IF(F823&lt;0,A823,0)</f>
        <v>818</v>
      </c>
      <c r="J823" s="7" t="n">
        <f aca="false">IF(G823&gt;=0,A823,"")</f>
        <v>818</v>
      </c>
      <c r="K823" s="7" t="n">
        <f aca="false">IF(G823&lt;0,A823,0)</f>
        <v>0</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535559860</v>
      </c>
      <c r="D824" s="25" t="n">
        <f aca="false">('Chi phí'!$C$77+'Chi phí'!$D$77*B824+'Chi phí'!$E$77*A824+'Giả định'!$B$15*('Chi phí'!$F$77+'Chi phí'!$G$77*B824+'Chi phí'!$H$77*A824))*(1+'Giả định'!$B$16)</f>
        <v>678504860</v>
      </c>
      <c r="E824" s="25" t="n">
        <f aca="false">A824/'Giả định'!$B$19*'Giả định'!$B$20+A824*'Giả định'!$B$23+'Giả định'!$B$24</f>
        <v>605647058.823529</v>
      </c>
      <c r="F824" s="25" t="n">
        <f aca="false">E824-D824</f>
        <v>-72857801.1764706</v>
      </c>
      <c r="G824" s="25" t="n">
        <f aca="false">E824-C824</f>
        <v>70087198.8235293</v>
      </c>
      <c r="H824" s="7" t="str">
        <f aca="false">IF(F824&gt;=0,A824,"")</f>
        <v/>
      </c>
      <c r="I824" s="7" t="n">
        <f aca="false">IF(F824&lt;0,A824,0)</f>
        <v>819</v>
      </c>
      <c r="J824" s="7" t="n">
        <f aca="false">IF(G824&gt;=0,A824,"")</f>
        <v>819</v>
      </c>
      <c r="K824" s="7" t="n">
        <f aca="false">IF(G824&lt;0,A824,0)</f>
        <v>0</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535596600</v>
      </c>
      <c r="D825" s="25" t="n">
        <f aca="false">('Chi phí'!$C$77+'Chi phí'!$D$77*B825+'Chi phí'!$E$77*A825+'Giả định'!$B$15*('Chi phí'!$F$77+'Chi phí'!$G$77*B825+'Chi phí'!$H$77*A825))*(1+'Giả định'!$B$16)</f>
        <v>678541600</v>
      </c>
      <c r="E825" s="25" t="n">
        <f aca="false">A825/'Giả định'!$B$19*'Giả định'!$B$20+A825*'Giả định'!$B$23+'Giả định'!$B$24</f>
        <v>606386554.621849</v>
      </c>
      <c r="F825" s="25" t="n">
        <f aca="false">E825-D825</f>
        <v>-72155045.3781512</v>
      </c>
      <c r="G825" s="25" t="n">
        <f aca="false">E825-C825</f>
        <v>70789954.6218488</v>
      </c>
      <c r="H825" s="7" t="str">
        <f aca="false">IF(F825&gt;=0,A825,"")</f>
        <v/>
      </c>
      <c r="I825" s="7" t="n">
        <f aca="false">IF(F825&lt;0,A825,0)</f>
        <v>820</v>
      </c>
      <c r="J825" s="7" t="n">
        <f aca="false">IF(G825&gt;=0,A825,"")</f>
        <v>820</v>
      </c>
      <c r="K825" s="7" t="n">
        <f aca="false">IF(G825&lt;0,A825,0)</f>
        <v>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541018940</v>
      </c>
      <c r="D826" s="25" t="n">
        <f aca="false">('Chi phí'!$C$77+'Chi phí'!$D$77*B826+'Chi phí'!$E$77*A826+'Giả định'!$B$15*('Chi phí'!$F$77+'Chi phí'!$G$77*B826+'Chi phí'!$H$77*A826))*(1+'Giả định'!$B$16)</f>
        <v>683963940</v>
      </c>
      <c r="E826" s="25" t="n">
        <f aca="false">A826/'Giả định'!$B$19*'Giả định'!$B$20+A826*'Giả định'!$B$23+'Giả định'!$B$24</f>
        <v>607126050.420168</v>
      </c>
      <c r="F826" s="25" t="n">
        <f aca="false">E826-D826</f>
        <v>-76837889.5798318</v>
      </c>
      <c r="G826" s="25" t="n">
        <f aca="false">E826-C826</f>
        <v>66107110.4201682</v>
      </c>
      <c r="H826" s="7" t="str">
        <f aca="false">IF(F826&gt;=0,A826,"")</f>
        <v/>
      </c>
      <c r="I826" s="7" t="n">
        <f aca="false">IF(F826&lt;0,A826,0)</f>
        <v>821</v>
      </c>
      <c r="J826" s="7" t="n">
        <f aca="false">IF(G826&gt;=0,A826,"")</f>
        <v>821</v>
      </c>
      <c r="K826" s="7" t="n">
        <f aca="false">IF(G826&lt;0,A826,0)</f>
        <v>0</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541055680</v>
      </c>
      <c r="D827" s="25" t="n">
        <f aca="false">('Chi phí'!$C$77+'Chi phí'!$D$77*B827+'Chi phí'!$E$77*A827+'Giả định'!$B$15*('Chi phí'!$F$77+'Chi phí'!$G$77*B827+'Chi phí'!$H$77*A827))*(1+'Giả định'!$B$16)</f>
        <v>684000680</v>
      </c>
      <c r="E827" s="25" t="n">
        <f aca="false">A827/'Giả định'!$B$19*'Giả định'!$B$20+A827*'Giả định'!$B$23+'Giả định'!$B$24</f>
        <v>607865546.218488</v>
      </c>
      <c r="F827" s="25" t="n">
        <f aca="false">E827-D827</f>
        <v>-76135133.7815125</v>
      </c>
      <c r="G827" s="25" t="n">
        <f aca="false">E827-C827</f>
        <v>66809866.2184875</v>
      </c>
      <c r="H827" s="7" t="str">
        <f aca="false">IF(F827&gt;=0,A827,"")</f>
        <v/>
      </c>
      <c r="I827" s="7" t="n">
        <f aca="false">IF(F827&lt;0,A827,0)</f>
        <v>822</v>
      </c>
      <c r="J827" s="7" t="n">
        <f aca="false">IF(G827&gt;=0,A827,"")</f>
        <v>822</v>
      </c>
      <c r="K827" s="7" t="n">
        <f aca="false">IF(G827&lt;0,A827,0)</f>
        <v>0</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541092420</v>
      </c>
      <c r="D828" s="25" t="n">
        <f aca="false">('Chi phí'!$C$77+'Chi phí'!$D$77*B828+'Chi phí'!$E$77*A828+'Giả định'!$B$15*('Chi phí'!$F$77+'Chi phí'!$G$77*B828+'Chi phí'!$H$77*A828))*(1+'Giả định'!$B$16)</f>
        <v>684037420</v>
      </c>
      <c r="E828" s="25" t="n">
        <f aca="false">A828/'Giả định'!$B$19*'Giả định'!$B$20+A828*'Giả định'!$B$23+'Giả định'!$B$24</f>
        <v>608605042.016807</v>
      </c>
      <c r="F828" s="25" t="n">
        <f aca="false">E828-D828</f>
        <v>-75432377.9831932</v>
      </c>
      <c r="G828" s="25" t="n">
        <f aca="false">E828-C828</f>
        <v>67512622.0168068</v>
      </c>
      <c r="H828" s="7" t="str">
        <f aca="false">IF(F828&gt;=0,A828,"")</f>
        <v/>
      </c>
      <c r="I828" s="7" t="n">
        <f aca="false">IF(F828&lt;0,A828,0)</f>
        <v>823</v>
      </c>
      <c r="J828" s="7" t="n">
        <f aca="false">IF(G828&gt;=0,A828,"")</f>
        <v>823</v>
      </c>
      <c r="K828" s="7" t="n">
        <f aca="false">IF(G828&lt;0,A828,0)</f>
        <v>0</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541129160</v>
      </c>
      <c r="D829" s="25" t="n">
        <f aca="false">('Chi phí'!$C$77+'Chi phí'!$D$77*B829+'Chi phí'!$E$77*A829+'Giả định'!$B$15*('Chi phí'!$F$77+'Chi phí'!$G$77*B829+'Chi phí'!$H$77*A829))*(1+'Giả định'!$B$16)</f>
        <v>684074160</v>
      </c>
      <c r="E829" s="25" t="n">
        <f aca="false">A829/'Giả định'!$B$19*'Giả định'!$B$20+A829*'Giả định'!$B$23+'Giả định'!$B$24</f>
        <v>609344537.815126</v>
      </c>
      <c r="F829" s="25" t="n">
        <f aca="false">E829-D829</f>
        <v>-74729622.1848739</v>
      </c>
      <c r="G829" s="25" t="n">
        <f aca="false">E829-C829</f>
        <v>68215377.8151261</v>
      </c>
      <c r="H829" s="7" t="str">
        <f aca="false">IF(F829&gt;=0,A829,"")</f>
        <v/>
      </c>
      <c r="I829" s="7" t="n">
        <f aca="false">IF(F829&lt;0,A829,0)</f>
        <v>824</v>
      </c>
      <c r="J829" s="7" t="n">
        <f aca="false">IF(G829&gt;=0,A829,"")</f>
        <v>824</v>
      </c>
      <c r="K829" s="7" t="n">
        <f aca="false">IF(G829&lt;0,A829,0)</f>
        <v>0</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541165900</v>
      </c>
      <c r="D830" s="25" t="n">
        <f aca="false">('Chi phí'!$C$77+'Chi phí'!$D$77*B830+'Chi phí'!$E$77*A830+'Giả định'!$B$15*('Chi phí'!$F$77+'Chi phí'!$G$77*B830+'Chi phí'!$H$77*A830))*(1+'Giả định'!$B$16)</f>
        <v>684110900</v>
      </c>
      <c r="E830" s="25" t="n">
        <f aca="false">A830/'Giả định'!$B$19*'Giả định'!$B$20+A830*'Giả định'!$B$23+'Giả định'!$B$24</f>
        <v>610084033.613446</v>
      </c>
      <c r="F830" s="25" t="n">
        <f aca="false">E830-D830</f>
        <v>-74026866.3865545</v>
      </c>
      <c r="G830" s="25" t="n">
        <f aca="false">E830-C830</f>
        <v>68918133.6134455</v>
      </c>
      <c r="H830" s="7" t="str">
        <f aca="false">IF(F830&gt;=0,A830,"")</f>
        <v/>
      </c>
      <c r="I830" s="7" t="n">
        <f aca="false">IF(F830&lt;0,A830,0)</f>
        <v>825</v>
      </c>
      <c r="J830" s="7" t="n">
        <f aca="false">IF(G830&gt;=0,A830,"")</f>
        <v>825</v>
      </c>
      <c r="K830" s="7" t="n">
        <f aca="false">IF(G830&lt;0,A830,0)</f>
        <v>0</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541202640</v>
      </c>
      <c r="D831" s="25" t="n">
        <f aca="false">('Chi phí'!$C$77+'Chi phí'!$D$77*B831+'Chi phí'!$E$77*A831+'Giả định'!$B$15*('Chi phí'!$F$77+'Chi phí'!$G$77*B831+'Chi phí'!$H$77*A831))*(1+'Giả định'!$B$16)</f>
        <v>684147640</v>
      </c>
      <c r="E831" s="25" t="n">
        <f aca="false">A831/'Giả định'!$B$19*'Giả định'!$B$20+A831*'Giả định'!$B$23+'Giả định'!$B$24</f>
        <v>610823529.411765</v>
      </c>
      <c r="F831" s="25" t="n">
        <f aca="false">E831-D831</f>
        <v>-73324110.5882353</v>
      </c>
      <c r="G831" s="25" t="n">
        <f aca="false">E831-C831</f>
        <v>69620889.4117647</v>
      </c>
      <c r="H831" s="7" t="str">
        <f aca="false">IF(F831&gt;=0,A831,"")</f>
        <v/>
      </c>
      <c r="I831" s="7" t="n">
        <f aca="false">IF(F831&lt;0,A831,0)</f>
        <v>826</v>
      </c>
      <c r="J831" s="7" t="n">
        <f aca="false">IF(G831&gt;=0,A831,"")</f>
        <v>826</v>
      </c>
      <c r="K831" s="7" t="n">
        <f aca="false">IF(G831&lt;0,A831,0)</f>
        <v>0</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541239380</v>
      </c>
      <c r="D832" s="25" t="n">
        <f aca="false">('Chi phí'!$C$77+'Chi phí'!$D$77*B832+'Chi phí'!$E$77*A832+'Giả định'!$B$15*('Chi phí'!$F$77+'Chi phí'!$G$77*B832+'Chi phí'!$H$77*A832))*(1+'Giả định'!$B$16)</f>
        <v>684184380</v>
      </c>
      <c r="E832" s="25" t="n">
        <f aca="false">A832/'Giả định'!$B$19*'Giả định'!$B$20+A832*'Giả định'!$B$23+'Giả định'!$B$24</f>
        <v>611563025.210084</v>
      </c>
      <c r="F832" s="25" t="n">
        <f aca="false">E832-D832</f>
        <v>-72621354.7899159</v>
      </c>
      <c r="G832" s="25" t="n">
        <f aca="false">E832-C832</f>
        <v>70323645.2100841</v>
      </c>
      <c r="H832" s="7" t="str">
        <f aca="false">IF(F832&gt;=0,A832,"")</f>
        <v/>
      </c>
      <c r="I832" s="7" t="n">
        <f aca="false">IF(F832&lt;0,A832,0)</f>
        <v>827</v>
      </c>
      <c r="J832" s="7" t="n">
        <f aca="false">IF(G832&gt;=0,A832,"")</f>
        <v>827</v>
      </c>
      <c r="K832" s="7" t="n">
        <f aca="false">IF(G832&lt;0,A832,0)</f>
        <v>0</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541276120</v>
      </c>
      <c r="D833" s="25" t="n">
        <f aca="false">('Chi phí'!$C$77+'Chi phí'!$D$77*B833+'Chi phí'!$E$77*A833+'Giả định'!$B$15*('Chi phí'!$F$77+'Chi phí'!$G$77*B833+'Chi phí'!$H$77*A833))*(1+'Giả định'!$B$16)</f>
        <v>684221120</v>
      </c>
      <c r="E833" s="25" t="n">
        <f aca="false">A833/'Giả định'!$B$19*'Giả định'!$B$20+A833*'Giả định'!$B$23+'Giả định'!$B$24</f>
        <v>612302521.008403</v>
      </c>
      <c r="F833" s="25" t="n">
        <f aca="false">E833-D833</f>
        <v>-71918598.9915966</v>
      </c>
      <c r="G833" s="25" t="n">
        <f aca="false">E833-C833</f>
        <v>71026401.0084034</v>
      </c>
      <c r="H833" s="7" t="str">
        <f aca="false">IF(F833&gt;=0,A833,"")</f>
        <v/>
      </c>
      <c r="I833" s="7" t="n">
        <f aca="false">IF(F833&lt;0,A833,0)</f>
        <v>828</v>
      </c>
      <c r="J833" s="7" t="n">
        <f aca="false">IF(G833&gt;=0,A833,"")</f>
        <v>828</v>
      </c>
      <c r="K833" s="7" t="n">
        <f aca="false">IF(G833&lt;0,A833,0)</f>
        <v>0</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541312860</v>
      </c>
      <c r="D834" s="25" t="n">
        <f aca="false">('Chi phí'!$C$77+'Chi phí'!$D$77*B834+'Chi phí'!$E$77*A834+'Giả định'!$B$15*('Chi phí'!$F$77+'Chi phí'!$G$77*B834+'Chi phí'!$H$77*A834))*(1+'Giả định'!$B$16)</f>
        <v>684257860</v>
      </c>
      <c r="E834" s="25" t="n">
        <f aca="false">A834/'Giả định'!$B$19*'Giả định'!$B$20+A834*'Giả định'!$B$23+'Giả định'!$B$24</f>
        <v>613042016.806723</v>
      </c>
      <c r="F834" s="25" t="n">
        <f aca="false">E834-D834</f>
        <v>-71215843.1932772</v>
      </c>
      <c r="G834" s="25" t="n">
        <f aca="false">E834-C834</f>
        <v>71729156.8067228</v>
      </c>
      <c r="H834" s="7" t="str">
        <f aca="false">IF(F834&gt;=0,A834,"")</f>
        <v/>
      </c>
      <c r="I834" s="7" t="n">
        <f aca="false">IF(F834&lt;0,A834,0)</f>
        <v>829</v>
      </c>
      <c r="J834" s="7" t="n">
        <f aca="false">IF(G834&gt;=0,A834,"")</f>
        <v>829</v>
      </c>
      <c r="K834" s="7" t="n">
        <f aca="false">IF(G834&lt;0,A834,0)</f>
        <v>0</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541349600</v>
      </c>
      <c r="D835" s="25" t="n">
        <f aca="false">('Chi phí'!$C$77+'Chi phí'!$D$77*B835+'Chi phí'!$E$77*A835+'Giả định'!$B$15*('Chi phí'!$F$77+'Chi phí'!$G$77*B835+'Chi phí'!$H$77*A835))*(1+'Giả định'!$B$16)</f>
        <v>684294600</v>
      </c>
      <c r="E835" s="25" t="n">
        <f aca="false">A835/'Giả định'!$B$19*'Giả định'!$B$20+A835*'Giả định'!$B$23+'Giả định'!$B$24</f>
        <v>613781512.605042</v>
      </c>
      <c r="F835" s="25" t="n">
        <f aca="false">E835-D835</f>
        <v>-70513087.3949579</v>
      </c>
      <c r="G835" s="25" t="n">
        <f aca="false">E835-C835</f>
        <v>72431912.6050421</v>
      </c>
      <c r="H835" s="7" t="str">
        <f aca="false">IF(F835&gt;=0,A835,"")</f>
        <v/>
      </c>
      <c r="I835" s="7" t="n">
        <f aca="false">IF(F835&lt;0,A835,0)</f>
        <v>830</v>
      </c>
      <c r="J835" s="7" t="n">
        <f aca="false">IF(G835&gt;=0,A835,"")</f>
        <v>830</v>
      </c>
      <c r="K835" s="7" t="n">
        <f aca="false">IF(G835&lt;0,A835,0)</f>
        <v>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546771940</v>
      </c>
      <c r="D836" s="25" t="n">
        <f aca="false">('Chi phí'!$C$77+'Chi phí'!$D$77*B836+'Chi phí'!$E$77*A836+'Giả định'!$B$15*('Chi phí'!$F$77+'Chi phí'!$G$77*B836+'Chi phí'!$H$77*A836))*(1+'Giả định'!$B$16)</f>
        <v>689716940</v>
      </c>
      <c r="E836" s="25" t="n">
        <f aca="false">A836/'Giả định'!$B$19*'Giả định'!$B$20+A836*'Giả định'!$B$23+'Giả định'!$B$24</f>
        <v>614521008.403361</v>
      </c>
      <c r="F836" s="25" t="n">
        <f aca="false">E836-D836</f>
        <v>-75195931.5966387</v>
      </c>
      <c r="G836" s="25" t="n">
        <f aca="false">E836-C836</f>
        <v>67749068.4033613</v>
      </c>
      <c r="H836" s="7" t="str">
        <f aca="false">IF(F836&gt;=0,A836,"")</f>
        <v/>
      </c>
      <c r="I836" s="7" t="n">
        <f aca="false">IF(F836&lt;0,A836,0)</f>
        <v>831</v>
      </c>
      <c r="J836" s="7" t="n">
        <f aca="false">IF(G836&gt;=0,A836,"")</f>
        <v>831</v>
      </c>
      <c r="K836" s="7" t="n">
        <f aca="false">IF(G836&lt;0,A836,0)</f>
        <v>0</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546808680</v>
      </c>
      <c r="D837" s="25" t="n">
        <f aca="false">('Chi phí'!$C$77+'Chi phí'!$D$77*B837+'Chi phí'!$E$77*A837+'Giả định'!$B$15*('Chi phí'!$F$77+'Chi phí'!$G$77*B837+'Chi phí'!$H$77*A837))*(1+'Giả định'!$B$16)</f>
        <v>689753680</v>
      </c>
      <c r="E837" s="25" t="n">
        <f aca="false">A837/'Giả định'!$B$19*'Giả định'!$B$20+A837*'Giả định'!$B$23+'Giả định'!$B$24</f>
        <v>615260504.201681</v>
      </c>
      <c r="F837" s="25" t="n">
        <f aca="false">E837-D837</f>
        <v>-74493175.7983192</v>
      </c>
      <c r="G837" s="25" t="n">
        <f aca="false">E837-C837</f>
        <v>68451824.2016808</v>
      </c>
      <c r="H837" s="7" t="str">
        <f aca="false">IF(F837&gt;=0,A837,"")</f>
        <v/>
      </c>
      <c r="I837" s="7" t="n">
        <f aca="false">IF(F837&lt;0,A837,0)</f>
        <v>832</v>
      </c>
      <c r="J837" s="7" t="n">
        <f aca="false">IF(G837&gt;=0,A837,"")</f>
        <v>832</v>
      </c>
      <c r="K837" s="7" t="n">
        <f aca="false">IF(G837&lt;0,A837,0)</f>
        <v>0</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546845420</v>
      </c>
      <c r="D838" s="25" t="n">
        <f aca="false">('Chi phí'!$C$77+'Chi phí'!$D$77*B838+'Chi phí'!$E$77*A838+'Giả định'!$B$15*('Chi phí'!$F$77+'Chi phí'!$G$77*B838+'Chi phí'!$H$77*A838))*(1+'Giả định'!$B$16)</f>
        <v>689790420</v>
      </c>
      <c r="E838" s="25" t="n">
        <f aca="false">A838/'Giả định'!$B$19*'Giả định'!$B$20+A838*'Giả định'!$B$23+'Giả định'!$B$24</f>
        <v>616000000</v>
      </c>
      <c r="F838" s="25" t="n">
        <f aca="false">E838-D838</f>
        <v>-73790420</v>
      </c>
      <c r="G838" s="25" t="n">
        <f aca="false">E838-C838</f>
        <v>69154580</v>
      </c>
      <c r="H838" s="7" t="str">
        <f aca="false">IF(F838&gt;=0,A838,"")</f>
        <v/>
      </c>
      <c r="I838" s="7" t="n">
        <f aca="false">IF(F838&lt;0,A838,0)</f>
        <v>833</v>
      </c>
      <c r="J838" s="7" t="n">
        <f aca="false">IF(G838&gt;=0,A838,"")</f>
        <v>833</v>
      </c>
      <c r="K838" s="7" t="n">
        <f aca="false">IF(G838&lt;0,A838,0)</f>
        <v>0</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546882160</v>
      </c>
      <c r="D839" s="25" t="n">
        <f aca="false">('Chi phí'!$C$77+'Chi phí'!$D$77*B839+'Chi phí'!$E$77*A839+'Giả định'!$B$15*('Chi phí'!$F$77+'Chi phí'!$G$77*B839+'Chi phí'!$H$77*A839))*(1+'Giả định'!$B$16)</f>
        <v>689827160</v>
      </c>
      <c r="E839" s="25" t="n">
        <f aca="false">A839/'Giả định'!$B$19*'Giả định'!$B$20+A839*'Giả định'!$B$23+'Giả định'!$B$24</f>
        <v>616739495.798319</v>
      </c>
      <c r="F839" s="25" t="n">
        <f aca="false">E839-D839</f>
        <v>-73087664.2016807</v>
      </c>
      <c r="G839" s="25" t="n">
        <f aca="false">E839-C839</f>
        <v>69857335.7983193</v>
      </c>
      <c r="H839" s="7" t="str">
        <f aca="false">IF(F839&gt;=0,A839,"")</f>
        <v/>
      </c>
      <c r="I839" s="7" t="n">
        <f aca="false">IF(F839&lt;0,A839,0)</f>
        <v>834</v>
      </c>
      <c r="J839" s="7" t="n">
        <f aca="false">IF(G839&gt;=0,A839,"")</f>
        <v>834</v>
      </c>
      <c r="K839" s="7" t="n">
        <f aca="false">IF(G839&lt;0,A839,0)</f>
        <v>0</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546918900</v>
      </c>
      <c r="D840" s="25" t="n">
        <f aca="false">('Chi phí'!$C$77+'Chi phí'!$D$77*B840+'Chi phí'!$E$77*A840+'Giả định'!$B$15*('Chi phí'!$F$77+'Chi phí'!$G$77*B840+'Chi phí'!$H$77*A840))*(1+'Giả định'!$B$16)</f>
        <v>689863900</v>
      </c>
      <c r="E840" s="25" t="n">
        <f aca="false">A840/'Giả định'!$B$19*'Giả định'!$B$20+A840*'Giả định'!$B$23+'Giả định'!$B$24</f>
        <v>617478991.596639</v>
      </c>
      <c r="F840" s="25" t="n">
        <f aca="false">E840-D840</f>
        <v>-72384908.4033613</v>
      </c>
      <c r="G840" s="25" t="n">
        <f aca="false">E840-C840</f>
        <v>70560091.5966387</v>
      </c>
      <c r="H840" s="7" t="str">
        <f aca="false">IF(F840&gt;=0,A840,"")</f>
        <v/>
      </c>
      <c r="I840" s="7" t="n">
        <f aca="false">IF(F840&lt;0,A840,0)</f>
        <v>835</v>
      </c>
      <c r="J840" s="7" t="n">
        <f aca="false">IF(G840&gt;=0,A840,"")</f>
        <v>835</v>
      </c>
      <c r="K840" s="7" t="n">
        <f aca="false">IF(G840&lt;0,A840,0)</f>
        <v>0</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546955640</v>
      </c>
      <c r="D841" s="25" t="n">
        <f aca="false">('Chi phí'!$C$77+'Chi phí'!$D$77*B841+'Chi phí'!$E$77*A841+'Giả định'!$B$15*('Chi phí'!$F$77+'Chi phí'!$G$77*B841+'Chi phí'!$H$77*A841))*(1+'Giả định'!$B$16)</f>
        <v>689900640</v>
      </c>
      <c r="E841" s="25" t="n">
        <f aca="false">A841/'Giả định'!$B$19*'Giả định'!$B$20+A841*'Giả định'!$B$23+'Giả định'!$B$24</f>
        <v>618218487.394958</v>
      </c>
      <c r="F841" s="25" t="n">
        <f aca="false">E841-D841</f>
        <v>-71682152.605042</v>
      </c>
      <c r="G841" s="25" t="n">
        <f aca="false">E841-C841</f>
        <v>71262847.394958</v>
      </c>
      <c r="H841" s="7" t="str">
        <f aca="false">IF(F841&gt;=0,A841,"")</f>
        <v/>
      </c>
      <c r="I841" s="7" t="n">
        <f aca="false">IF(F841&lt;0,A841,0)</f>
        <v>836</v>
      </c>
      <c r="J841" s="7" t="n">
        <f aca="false">IF(G841&gt;=0,A841,"")</f>
        <v>836</v>
      </c>
      <c r="K841" s="7" t="n">
        <f aca="false">IF(G841&lt;0,A841,0)</f>
        <v>0</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546992380</v>
      </c>
      <c r="D842" s="25" t="n">
        <f aca="false">('Chi phí'!$C$77+'Chi phí'!$D$77*B842+'Chi phí'!$E$77*A842+'Giả định'!$B$15*('Chi phí'!$F$77+'Chi phí'!$G$77*B842+'Chi phí'!$H$77*A842))*(1+'Giả định'!$B$16)</f>
        <v>689937380</v>
      </c>
      <c r="E842" s="25" t="n">
        <f aca="false">A842/'Giả định'!$B$19*'Giả định'!$B$20+A842*'Giả định'!$B$23+'Giả định'!$B$24</f>
        <v>618957983.193277</v>
      </c>
      <c r="F842" s="25" t="n">
        <f aca="false">E842-D842</f>
        <v>-70979396.8067226</v>
      </c>
      <c r="G842" s="25" t="n">
        <f aca="false">E842-C842</f>
        <v>71965603.1932774</v>
      </c>
      <c r="H842" s="7" t="str">
        <f aca="false">IF(F842&gt;=0,A842,"")</f>
        <v/>
      </c>
      <c r="I842" s="7" t="n">
        <f aca="false">IF(F842&lt;0,A842,0)</f>
        <v>837</v>
      </c>
      <c r="J842" s="7" t="n">
        <f aca="false">IF(G842&gt;=0,A842,"")</f>
        <v>837</v>
      </c>
      <c r="K842" s="7" t="n">
        <f aca="false">IF(G842&lt;0,A842,0)</f>
        <v>0</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547029120</v>
      </c>
      <c r="D843" s="25" t="n">
        <f aca="false">('Chi phí'!$C$77+'Chi phí'!$D$77*B843+'Chi phí'!$E$77*A843+'Giả định'!$B$15*('Chi phí'!$F$77+'Chi phí'!$G$77*B843+'Chi phí'!$H$77*A843))*(1+'Giả định'!$B$16)</f>
        <v>689974120</v>
      </c>
      <c r="E843" s="25" t="n">
        <f aca="false">A843/'Giả định'!$B$19*'Giả định'!$B$20+A843*'Giả định'!$B$23+'Giả định'!$B$24</f>
        <v>619697478.991597</v>
      </c>
      <c r="F843" s="25" t="n">
        <f aca="false">E843-D843</f>
        <v>-70276641.0084034</v>
      </c>
      <c r="G843" s="25" t="n">
        <f aca="false">E843-C843</f>
        <v>72668358.9915966</v>
      </c>
      <c r="H843" s="7" t="str">
        <f aca="false">IF(F843&gt;=0,A843,"")</f>
        <v/>
      </c>
      <c r="I843" s="7" t="n">
        <f aca="false">IF(F843&lt;0,A843,0)</f>
        <v>838</v>
      </c>
      <c r="J843" s="7" t="n">
        <f aca="false">IF(G843&gt;=0,A843,"")</f>
        <v>838</v>
      </c>
      <c r="K843" s="7" t="n">
        <f aca="false">IF(G843&lt;0,A843,0)</f>
        <v>0</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547065860</v>
      </c>
      <c r="D844" s="25" t="n">
        <f aca="false">('Chi phí'!$C$77+'Chi phí'!$D$77*B844+'Chi phí'!$E$77*A844+'Giả định'!$B$15*('Chi phí'!$F$77+'Chi phí'!$G$77*B844+'Chi phí'!$H$77*A844))*(1+'Giả định'!$B$16)</f>
        <v>690010860</v>
      </c>
      <c r="E844" s="25" t="n">
        <f aca="false">A844/'Giả định'!$B$19*'Giả định'!$B$20+A844*'Giả định'!$B$23+'Giả định'!$B$24</f>
        <v>620436974.789916</v>
      </c>
      <c r="F844" s="25" t="n">
        <f aca="false">E844-D844</f>
        <v>-69573885.210084</v>
      </c>
      <c r="G844" s="25" t="n">
        <f aca="false">E844-C844</f>
        <v>73371114.789916</v>
      </c>
      <c r="H844" s="7" t="str">
        <f aca="false">IF(F844&gt;=0,A844,"")</f>
        <v/>
      </c>
      <c r="I844" s="7" t="n">
        <f aca="false">IF(F844&lt;0,A844,0)</f>
        <v>839</v>
      </c>
      <c r="J844" s="7" t="n">
        <f aca="false">IF(G844&gt;=0,A844,"")</f>
        <v>839</v>
      </c>
      <c r="K844" s="7" t="n">
        <f aca="false">IF(G844&lt;0,A844,0)</f>
        <v>0</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547102600</v>
      </c>
      <c r="D845" s="25" t="n">
        <f aca="false">('Chi phí'!$C$77+'Chi phí'!$D$77*B845+'Chi phí'!$E$77*A845+'Giả định'!$B$15*('Chi phí'!$F$77+'Chi phí'!$G$77*B845+'Chi phí'!$H$77*A845))*(1+'Giả định'!$B$16)</f>
        <v>690047600</v>
      </c>
      <c r="E845" s="25" t="n">
        <f aca="false">A845/'Giả định'!$B$19*'Giả định'!$B$20+A845*'Giả định'!$B$23+'Giả định'!$B$24</f>
        <v>621176470.588235</v>
      </c>
      <c r="F845" s="25" t="n">
        <f aca="false">E845-D845</f>
        <v>-68871129.4117647</v>
      </c>
      <c r="G845" s="25" t="n">
        <f aca="false">E845-C845</f>
        <v>74073870.5882353</v>
      </c>
      <c r="H845" s="7" t="str">
        <f aca="false">IF(F845&gt;=0,A845,"")</f>
        <v/>
      </c>
      <c r="I845" s="7" t="n">
        <f aca="false">IF(F845&lt;0,A845,0)</f>
        <v>840</v>
      </c>
      <c r="J845" s="7" t="n">
        <f aca="false">IF(G845&gt;=0,A845,"")</f>
        <v>840</v>
      </c>
      <c r="K845" s="7" t="n">
        <f aca="false">IF(G845&lt;0,A845,0)</f>
        <v>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552524940</v>
      </c>
      <c r="D846" s="25" t="n">
        <f aca="false">('Chi phí'!$C$77+'Chi phí'!$D$77*B846+'Chi phí'!$E$77*A846+'Giả định'!$B$15*('Chi phí'!$F$77+'Chi phí'!$G$77*B846+'Chi phí'!$H$77*A846))*(1+'Giả định'!$B$16)</f>
        <v>695469940</v>
      </c>
      <c r="E846" s="25" t="n">
        <f aca="false">A846/'Giả định'!$B$19*'Giả định'!$B$20+A846*'Giả định'!$B$23+'Giả định'!$B$24</f>
        <v>621915966.386555</v>
      </c>
      <c r="F846" s="25" t="n">
        <f aca="false">E846-D846</f>
        <v>-73553973.6134454</v>
      </c>
      <c r="G846" s="25" t="n">
        <f aca="false">E846-C846</f>
        <v>69391026.3865546</v>
      </c>
      <c r="H846" s="7" t="str">
        <f aca="false">IF(F846&gt;=0,A846,"")</f>
        <v/>
      </c>
      <c r="I846" s="7" t="n">
        <f aca="false">IF(F846&lt;0,A846,0)</f>
        <v>841</v>
      </c>
      <c r="J846" s="7" t="n">
        <f aca="false">IF(G846&gt;=0,A846,"")</f>
        <v>841</v>
      </c>
      <c r="K846" s="7" t="n">
        <f aca="false">IF(G846&lt;0,A846,0)</f>
        <v>0</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552561680</v>
      </c>
      <c r="D847" s="25" t="n">
        <f aca="false">('Chi phí'!$C$77+'Chi phí'!$D$77*B847+'Chi phí'!$E$77*A847+'Giả định'!$B$15*('Chi phí'!$F$77+'Chi phí'!$G$77*B847+'Chi phí'!$H$77*A847))*(1+'Giả định'!$B$16)</f>
        <v>695506680</v>
      </c>
      <c r="E847" s="25" t="n">
        <f aca="false">A847/'Giả định'!$B$19*'Giả định'!$B$20+A847*'Giả định'!$B$23+'Giả định'!$B$24</f>
        <v>622655462.184874</v>
      </c>
      <c r="F847" s="25" t="n">
        <f aca="false">E847-D847</f>
        <v>-72851217.8151261</v>
      </c>
      <c r="G847" s="25" t="n">
        <f aca="false">E847-C847</f>
        <v>70093782.1848739</v>
      </c>
      <c r="H847" s="7" t="str">
        <f aca="false">IF(F847&gt;=0,A847,"")</f>
        <v/>
      </c>
      <c r="I847" s="7" t="n">
        <f aca="false">IF(F847&lt;0,A847,0)</f>
        <v>842</v>
      </c>
      <c r="J847" s="7" t="n">
        <f aca="false">IF(G847&gt;=0,A847,"")</f>
        <v>842</v>
      </c>
      <c r="K847" s="7" t="n">
        <f aca="false">IF(G847&lt;0,A847,0)</f>
        <v>0</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552598420</v>
      </c>
      <c r="D848" s="25" t="n">
        <f aca="false">('Chi phí'!$C$77+'Chi phí'!$D$77*B848+'Chi phí'!$E$77*A848+'Giả định'!$B$15*('Chi phí'!$F$77+'Chi phí'!$G$77*B848+'Chi phí'!$H$77*A848))*(1+'Giả định'!$B$16)</f>
        <v>695543420</v>
      </c>
      <c r="E848" s="25" t="n">
        <f aca="false">A848/'Giả định'!$B$19*'Giả định'!$B$20+A848*'Giả định'!$B$23+'Giả định'!$B$24</f>
        <v>623394957.983193</v>
      </c>
      <c r="F848" s="25" t="n">
        <f aca="false">E848-D848</f>
        <v>-72148462.0168067</v>
      </c>
      <c r="G848" s="25" t="n">
        <f aca="false">E848-C848</f>
        <v>70796537.9831933</v>
      </c>
      <c r="H848" s="7" t="str">
        <f aca="false">IF(F848&gt;=0,A848,"")</f>
        <v/>
      </c>
      <c r="I848" s="7" t="n">
        <f aca="false">IF(F848&lt;0,A848,0)</f>
        <v>843</v>
      </c>
      <c r="J848" s="7" t="n">
        <f aca="false">IF(G848&gt;=0,A848,"")</f>
        <v>843</v>
      </c>
      <c r="K848" s="7" t="n">
        <f aca="false">IF(G848&lt;0,A848,0)</f>
        <v>0</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552635160</v>
      </c>
      <c r="D849" s="25" t="n">
        <f aca="false">('Chi phí'!$C$77+'Chi phí'!$D$77*B849+'Chi phí'!$E$77*A849+'Giả định'!$B$15*('Chi phí'!$F$77+'Chi phí'!$G$77*B849+'Chi phí'!$H$77*A849))*(1+'Giả định'!$B$16)</f>
        <v>695580160</v>
      </c>
      <c r="E849" s="25" t="n">
        <f aca="false">A849/'Giả định'!$B$19*'Giả định'!$B$20+A849*'Giả định'!$B$23+'Giả định'!$B$24</f>
        <v>624134453.781513</v>
      </c>
      <c r="F849" s="25" t="n">
        <f aca="false">E849-D849</f>
        <v>-71445706.2184873</v>
      </c>
      <c r="G849" s="25" t="n">
        <f aca="false">E849-C849</f>
        <v>71499293.7815127</v>
      </c>
      <c r="H849" s="7" t="str">
        <f aca="false">IF(F849&gt;=0,A849,"")</f>
        <v/>
      </c>
      <c r="I849" s="7" t="n">
        <f aca="false">IF(F849&lt;0,A849,0)</f>
        <v>844</v>
      </c>
      <c r="J849" s="7" t="n">
        <f aca="false">IF(G849&gt;=0,A849,"")</f>
        <v>844</v>
      </c>
      <c r="K849" s="7" t="n">
        <f aca="false">IF(G849&lt;0,A849,0)</f>
        <v>0</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552671900</v>
      </c>
      <c r="D850" s="25" t="n">
        <f aca="false">('Chi phí'!$C$77+'Chi phí'!$D$77*B850+'Chi phí'!$E$77*A850+'Giả định'!$B$15*('Chi phí'!$F$77+'Chi phí'!$G$77*B850+'Chi phí'!$H$77*A850))*(1+'Giả định'!$B$16)</f>
        <v>695616900</v>
      </c>
      <c r="E850" s="25" t="n">
        <f aca="false">A850/'Giả định'!$B$19*'Giả định'!$B$20+A850*'Giả định'!$B$23+'Giả định'!$B$24</f>
        <v>624873949.579832</v>
      </c>
      <c r="F850" s="25" t="n">
        <f aca="false">E850-D850</f>
        <v>-70742950.420168</v>
      </c>
      <c r="G850" s="25" t="n">
        <f aca="false">E850-C850</f>
        <v>72202049.579832</v>
      </c>
      <c r="H850" s="7" t="str">
        <f aca="false">IF(F850&gt;=0,A850,"")</f>
        <v/>
      </c>
      <c r="I850" s="7" t="n">
        <f aca="false">IF(F850&lt;0,A850,0)</f>
        <v>845</v>
      </c>
      <c r="J850" s="7" t="n">
        <f aca="false">IF(G850&gt;=0,A850,"")</f>
        <v>845</v>
      </c>
      <c r="K850" s="7" t="n">
        <f aca="false">IF(G850&lt;0,A850,0)</f>
        <v>0</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552708640</v>
      </c>
      <c r="D851" s="25" t="n">
        <f aca="false">('Chi phí'!$C$77+'Chi phí'!$D$77*B851+'Chi phí'!$E$77*A851+'Giả định'!$B$15*('Chi phí'!$F$77+'Chi phí'!$G$77*B851+'Chi phí'!$H$77*A851))*(1+'Giả định'!$B$16)</f>
        <v>695653640</v>
      </c>
      <c r="E851" s="25" t="n">
        <f aca="false">A851/'Giả định'!$B$19*'Giả định'!$B$20+A851*'Giả định'!$B$23+'Giả định'!$B$24</f>
        <v>625613445.378151</v>
      </c>
      <c r="F851" s="25" t="n">
        <f aca="false">E851-D851</f>
        <v>-70040194.6218486</v>
      </c>
      <c r="G851" s="25" t="n">
        <f aca="false">E851-C851</f>
        <v>72904805.3781514</v>
      </c>
      <c r="H851" s="7" t="str">
        <f aca="false">IF(F851&gt;=0,A851,"")</f>
        <v/>
      </c>
      <c r="I851" s="7" t="n">
        <f aca="false">IF(F851&lt;0,A851,0)</f>
        <v>846</v>
      </c>
      <c r="J851" s="7" t="n">
        <f aca="false">IF(G851&gt;=0,A851,"")</f>
        <v>846</v>
      </c>
      <c r="K851" s="7" t="n">
        <f aca="false">IF(G851&lt;0,A851,0)</f>
        <v>0</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552745380</v>
      </c>
      <c r="D852" s="25" t="n">
        <f aca="false">('Chi phí'!$C$77+'Chi phí'!$D$77*B852+'Chi phí'!$E$77*A852+'Giả định'!$B$15*('Chi phí'!$F$77+'Chi phí'!$G$77*B852+'Chi phí'!$H$77*A852))*(1+'Giả định'!$B$16)</f>
        <v>695690380</v>
      </c>
      <c r="E852" s="25" t="n">
        <f aca="false">A852/'Giả định'!$B$19*'Giả định'!$B$20+A852*'Giả định'!$B$23+'Giả định'!$B$24</f>
        <v>626352941.176471</v>
      </c>
      <c r="F852" s="25" t="n">
        <f aca="false">E852-D852</f>
        <v>-69337438.8235294</v>
      </c>
      <c r="G852" s="25" t="n">
        <f aca="false">E852-C852</f>
        <v>73607561.1764706</v>
      </c>
      <c r="H852" s="7" t="str">
        <f aca="false">IF(F852&gt;=0,A852,"")</f>
        <v/>
      </c>
      <c r="I852" s="7" t="n">
        <f aca="false">IF(F852&lt;0,A852,0)</f>
        <v>847</v>
      </c>
      <c r="J852" s="7" t="n">
        <f aca="false">IF(G852&gt;=0,A852,"")</f>
        <v>847</v>
      </c>
      <c r="K852" s="7" t="n">
        <f aca="false">IF(G852&lt;0,A852,0)</f>
        <v>0</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552782120</v>
      </c>
      <c r="D853" s="25" t="n">
        <f aca="false">('Chi phí'!$C$77+'Chi phí'!$D$77*B853+'Chi phí'!$E$77*A853+'Giả định'!$B$15*('Chi phí'!$F$77+'Chi phí'!$G$77*B853+'Chi phí'!$H$77*A853))*(1+'Giả định'!$B$16)</f>
        <v>695727120</v>
      </c>
      <c r="E853" s="25" t="n">
        <f aca="false">A853/'Giả định'!$B$19*'Giả định'!$B$20+A853*'Giả định'!$B$23+'Giả định'!$B$24</f>
        <v>627092436.97479</v>
      </c>
      <c r="F853" s="25" t="n">
        <f aca="false">E853-D853</f>
        <v>-68634683.02521</v>
      </c>
      <c r="G853" s="25" t="n">
        <f aca="false">E853-C853</f>
        <v>74310316.97479</v>
      </c>
      <c r="H853" s="7" t="str">
        <f aca="false">IF(F853&gt;=0,A853,"")</f>
        <v/>
      </c>
      <c r="I853" s="7" t="n">
        <f aca="false">IF(F853&lt;0,A853,0)</f>
        <v>848</v>
      </c>
      <c r="J853" s="7" t="n">
        <f aca="false">IF(G853&gt;=0,A853,"")</f>
        <v>848</v>
      </c>
      <c r="K853" s="7" t="n">
        <f aca="false">IF(G853&lt;0,A853,0)</f>
        <v>0</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552818860</v>
      </c>
      <c r="D854" s="25" t="n">
        <f aca="false">('Chi phí'!$C$77+'Chi phí'!$D$77*B854+'Chi phí'!$E$77*A854+'Giả định'!$B$15*('Chi phí'!$F$77+'Chi phí'!$G$77*B854+'Chi phí'!$H$77*A854))*(1+'Giả định'!$B$16)</f>
        <v>695763860</v>
      </c>
      <c r="E854" s="25" t="n">
        <f aca="false">A854/'Giả định'!$B$19*'Giả định'!$B$20+A854*'Giả định'!$B$23+'Giả định'!$B$24</f>
        <v>627831932.773109</v>
      </c>
      <c r="F854" s="25" t="n">
        <f aca="false">E854-D854</f>
        <v>-67931927.2268907</v>
      </c>
      <c r="G854" s="25" t="n">
        <f aca="false">E854-C854</f>
        <v>75013072.7731093</v>
      </c>
      <c r="H854" s="7" t="str">
        <f aca="false">IF(F854&gt;=0,A854,"")</f>
        <v/>
      </c>
      <c r="I854" s="7" t="n">
        <f aca="false">IF(F854&lt;0,A854,0)</f>
        <v>849</v>
      </c>
      <c r="J854" s="7" t="n">
        <f aca="false">IF(G854&gt;=0,A854,"")</f>
        <v>849</v>
      </c>
      <c r="K854" s="7" t="n">
        <f aca="false">IF(G854&lt;0,A854,0)</f>
        <v>0</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552855600</v>
      </c>
      <c r="D855" s="25" t="n">
        <f aca="false">('Chi phí'!$C$77+'Chi phí'!$D$77*B855+'Chi phí'!$E$77*A855+'Giả định'!$B$15*('Chi phí'!$F$77+'Chi phí'!$G$77*B855+'Chi phí'!$H$77*A855))*(1+'Giả định'!$B$16)</f>
        <v>695800600</v>
      </c>
      <c r="E855" s="25" t="n">
        <f aca="false">A855/'Giả định'!$B$19*'Giả định'!$B$20+A855*'Giả định'!$B$23+'Giả định'!$B$24</f>
        <v>628571428.571429</v>
      </c>
      <c r="F855" s="25" t="n">
        <f aca="false">E855-D855</f>
        <v>-67229171.4285713</v>
      </c>
      <c r="G855" s="25" t="n">
        <f aca="false">E855-C855</f>
        <v>75715828.5714287</v>
      </c>
      <c r="H855" s="7" t="str">
        <f aca="false">IF(F855&gt;=0,A855,"")</f>
        <v/>
      </c>
      <c r="I855" s="7" t="n">
        <f aca="false">IF(F855&lt;0,A855,0)</f>
        <v>850</v>
      </c>
      <c r="J855" s="7" t="n">
        <f aca="false">IF(G855&gt;=0,A855,"")</f>
        <v>850</v>
      </c>
      <c r="K855" s="7" t="n">
        <f aca="false">IF(G855&lt;0,A855,0)</f>
        <v>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558277940</v>
      </c>
      <c r="D856" s="25" t="n">
        <f aca="false">('Chi phí'!$C$77+'Chi phí'!$D$77*B856+'Chi phí'!$E$77*A856+'Giả định'!$B$15*('Chi phí'!$F$77+'Chi phí'!$G$77*B856+'Chi phí'!$H$77*A856))*(1+'Giả định'!$B$16)</f>
        <v>701222940</v>
      </c>
      <c r="E856" s="25" t="n">
        <f aca="false">A856/'Giả định'!$B$19*'Giả định'!$B$20+A856*'Giả định'!$B$23+'Giả định'!$B$24</f>
        <v>629310924.369748</v>
      </c>
      <c r="F856" s="25" t="n">
        <f aca="false">E856-D856</f>
        <v>-71912015.630252</v>
      </c>
      <c r="G856" s="25" t="n">
        <f aca="false">E856-C856</f>
        <v>71032984.369748</v>
      </c>
      <c r="H856" s="7" t="str">
        <f aca="false">IF(F856&gt;=0,A856,"")</f>
        <v/>
      </c>
      <c r="I856" s="7" t="n">
        <f aca="false">IF(F856&lt;0,A856,0)</f>
        <v>851</v>
      </c>
      <c r="J856" s="7" t="n">
        <f aca="false">IF(G856&gt;=0,A856,"")</f>
        <v>851</v>
      </c>
      <c r="K856" s="7" t="n">
        <f aca="false">IF(G856&lt;0,A856,0)</f>
        <v>0</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558314680</v>
      </c>
      <c r="D857" s="25" t="n">
        <f aca="false">('Chi phí'!$C$77+'Chi phí'!$D$77*B857+'Chi phí'!$E$77*A857+'Giả định'!$B$15*('Chi phí'!$F$77+'Chi phí'!$G$77*B857+'Chi phí'!$H$77*A857))*(1+'Giả định'!$B$16)</f>
        <v>701259680</v>
      </c>
      <c r="E857" s="25" t="n">
        <f aca="false">A857/'Giả định'!$B$19*'Giả định'!$B$20+A857*'Giả định'!$B$23+'Giả định'!$B$24</f>
        <v>630050420.168067</v>
      </c>
      <c r="F857" s="25" t="n">
        <f aca="false">E857-D857</f>
        <v>-71209259.8319328</v>
      </c>
      <c r="G857" s="25" t="n">
        <f aca="false">E857-C857</f>
        <v>71735740.1680672</v>
      </c>
      <c r="H857" s="7" t="str">
        <f aca="false">IF(F857&gt;=0,A857,"")</f>
        <v/>
      </c>
      <c r="I857" s="7" t="n">
        <f aca="false">IF(F857&lt;0,A857,0)</f>
        <v>852</v>
      </c>
      <c r="J857" s="7" t="n">
        <f aca="false">IF(G857&gt;=0,A857,"")</f>
        <v>852</v>
      </c>
      <c r="K857" s="7" t="n">
        <f aca="false">IF(G857&lt;0,A857,0)</f>
        <v>0</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558351420</v>
      </c>
      <c r="D858" s="25" t="n">
        <f aca="false">('Chi phí'!$C$77+'Chi phí'!$D$77*B858+'Chi phí'!$E$77*A858+'Giả định'!$B$15*('Chi phí'!$F$77+'Chi phí'!$G$77*B858+'Chi phí'!$H$77*A858))*(1+'Giả định'!$B$16)</f>
        <v>701296420</v>
      </c>
      <c r="E858" s="25" t="n">
        <f aca="false">A858/'Giả định'!$B$19*'Giả định'!$B$20+A858*'Giả định'!$B$23+'Giả định'!$B$24</f>
        <v>630789915.966387</v>
      </c>
      <c r="F858" s="25" t="n">
        <f aca="false">E858-D858</f>
        <v>-70506504.0336133</v>
      </c>
      <c r="G858" s="25" t="n">
        <f aca="false">E858-C858</f>
        <v>72438495.9663867</v>
      </c>
      <c r="H858" s="7" t="str">
        <f aca="false">IF(F858&gt;=0,A858,"")</f>
        <v/>
      </c>
      <c r="I858" s="7" t="n">
        <f aca="false">IF(F858&lt;0,A858,0)</f>
        <v>853</v>
      </c>
      <c r="J858" s="7" t="n">
        <f aca="false">IF(G858&gt;=0,A858,"")</f>
        <v>853</v>
      </c>
      <c r="K858" s="7" t="n">
        <f aca="false">IF(G858&lt;0,A858,0)</f>
        <v>0</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558388160</v>
      </c>
      <c r="D859" s="25" t="n">
        <f aca="false">('Chi phí'!$C$77+'Chi phí'!$D$77*B859+'Chi phí'!$E$77*A859+'Giả định'!$B$15*('Chi phí'!$F$77+'Chi phí'!$G$77*B859+'Chi phí'!$H$77*A859))*(1+'Giả định'!$B$16)</f>
        <v>701333160</v>
      </c>
      <c r="E859" s="25" t="n">
        <f aca="false">A859/'Giả định'!$B$19*'Giả định'!$B$20+A859*'Giả định'!$B$23+'Giả định'!$B$24</f>
        <v>631529411.764706</v>
      </c>
      <c r="F859" s="25" t="n">
        <f aca="false">E859-D859</f>
        <v>-69803748.2352941</v>
      </c>
      <c r="G859" s="25" t="n">
        <f aca="false">E859-C859</f>
        <v>73141251.7647059</v>
      </c>
      <c r="H859" s="7" t="str">
        <f aca="false">IF(F859&gt;=0,A859,"")</f>
        <v/>
      </c>
      <c r="I859" s="7" t="n">
        <f aca="false">IF(F859&lt;0,A859,0)</f>
        <v>854</v>
      </c>
      <c r="J859" s="7" t="n">
        <f aca="false">IF(G859&gt;=0,A859,"")</f>
        <v>854</v>
      </c>
      <c r="K859" s="7" t="n">
        <f aca="false">IF(G859&lt;0,A859,0)</f>
        <v>0</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558424900</v>
      </c>
      <c r="D860" s="25" t="n">
        <f aca="false">('Chi phí'!$C$77+'Chi phí'!$D$77*B860+'Chi phí'!$E$77*A860+'Giả định'!$B$15*('Chi phí'!$F$77+'Chi phí'!$G$77*B860+'Chi phí'!$H$77*A860))*(1+'Giả định'!$B$16)</f>
        <v>701369900</v>
      </c>
      <c r="E860" s="25" t="n">
        <f aca="false">A860/'Giả định'!$B$19*'Giả định'!$B$20+A860*'Giả định'!$B$23+'Giả định'!$B$24</f>
        <v>632268907.563025</v>
      </c>
      <c r="F860" s="25" t="n">
        <f aca="false">E860-D860</f>
        <v>-69100992.4369748</v>
      </c>
      <c r="G860" s="25" t="n">
        <f aca="false">E860-C860</f>
        <v>73844007.5630252</v>
      </c>
      <c r="H860" s="7" t="str">
        <f aca="false">IF(F860&gt;=0,A860,"")</f>
        <v/>
      </c>
      <c r="I860" s="7" t="n">
        <f aca="false">IF(F860&lt;0,A860,0)</f>
        <v>855</v>
      </c>
      <c r="J860" s="7" t="n">
        <f aca="false">IF(G860&gt;=0,A860,"")</f>
        <v>855</v>
      </c>
      <c r="K860" s="7" t="n">
        <f aca="false">IF(G860&lt;0,A860,0)</f>
        <v>0</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558461640</v>
      </c>
      <c r="D861" s="25" t="n">
        <f aca="false">('Chi phí'!$C$77+'Chi phí'!$D$77*B861+'Chi phí'!$E$77*A861+'Giả định'!$B$15*('Chi phí'!$F$77+'Chi phí'!$G$77*B861+'Chi phí'!$H$77*A861))*(1+'Giả định'!$B$16)</f>
        <v>701406640</v>
      </c>
      <c r="E861" s="25" t="n">
        <f aca="false">A861/'Giả định'!$B$19*'Giả định'!$B$20+A861*'Giả định'!$B$23+'Giả định'!$B$24</f>
        <v>633008403.361345</v>
      </c>
      <c r="F861" s="25" t="n">
        <f aca="false">E861-D861</f>
        <v>-68398236.6386554</v>
      </c>
      <c r="G861" s="25" t="n">
        <f aca="false">E861-C861</f>
        <v>74546763.3613446</v>
      </c>
      <c r="H861" s="7" t="str">
        <f aca="false">IF(F861&gt;=0,A861,"")</f>
        <v/>
      </c>
      <c r="I861" s="7" t="n">
        <f aca="false">IF(F861&lt;0,A861,0)</f>
        <v>856</v>
      </c>
      <c r="J861" s="7" t="n">
        <f aca="false">IF(G861&gt;=0,A861,"")</f>
        <v>856</v>
      </c>
      <c r="K861" s="7" t="n">
        <f aca="false">IF(G861&lt;0,A861,0)</f>
        <v>0</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558498380</v>
      </c>
      <c r="D862" s="25" t="n">
        <f aca="false">('Chi phí'!$C$77+'Chi phí'!$D$77*B862+'Chi phí'!$E$77*A862+'Giả định'!$B$15*('Chi phí'!$F$77+'Chi phí'!$G$77*B862+'Chi phí'!$H$77*A862))*(1+'Giả định'!$B$16)</f>
        <v>701443380</v>
      </c>
      <c r="E862" s="25" t="n">
        <f aca="false">A862/'Giả định'!$B$19*'Giả định'!$B$20+A862*'Giả định'!$B$23+'Giả định'!$B$24</f>
        <v>633747899.159664</v>
      </c>
      <c r="F862" s="25" t="n">
        <f aca="false">E862-D862</f>
        <v>-67695480.8403361</v>
      </c>
      <c r="G862" s="25" t="n">
        <f aca="false">E862-C862</f>
        <v>75249519.1596639</v>
      </c>
      <c r="H862" s="7" t="str">
        <f aca="false">IF(F862&gt;=0,A862,"")</f>
        <v/>
      </c>
      <c r="I862" s="7" t="n">
        <f aca="false">IF(F862&lt;0,A862,0)</f>
        <v>857</v>
      </c>
      <c r="J862" s="7" t="n">
        <f aca="false">IF(G862&gt;=0,A862,"")</f>
        <v>857</v>
      </c>
      <c r="K862" s="7" t="n">
        <f aca="false">IF(G862&lt;0,A862,0)</f>
        <v>0</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558535120</v>
      </c>
      <c r="D863" s="25" t="n">
        <f aca="false">('Chi phí'!$C$77+'Chi phí'!$D$77*B863+'Chi phí'!$E$77*A863+'Giả định'!$B$15*('Chi phí'!$F$77+'Chi phí'!$G$77*B863+'Chi phí'!$H$77*A863))*(1+'Giả định'!$B$16)</f>
        <v>701480120</v>
      </c>
      <c r="E863" s="25" t="n">
        <f aca="false">A863/'Giả định'!$B$19*'Giả định'!$B$20+A863*'Giả định'!$B$23+'Giả định'!$B$24</f>
        <v>634487394.957983</v>
      </c>
      <c r="F863" s="25" t="n">
        <f aca="false">E863-D863</f>
        <v>-66992725.0420167</v>
      </c>
      <c r="G863" s="25" t="n">
        <f aca="false">E863-C863</f>
        <v>75952274.9579833</v>
      </c>
      <c r="H863" s="7" t="str">
        <f aca="false">IF(F863&gt;=0,A863,"")</f>
        <v/>
      </c>
      <c r="I863" s="7" t="n">
        <f aca="false">IF(F863&lt;0,A863,0)</f>
        <v>858</v>
      </c>
      <c r="J863" s="7" t="n">
        <f aca="false">IF(G863&gt;=0,A863,"")</f>
        <v>858</v>
      </c>
      <c r="K863" s="7" t="n">
        <f aca="false">IF(G863&lt;0,A863,0)</f>
        <v>0</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558571860</v>
      </c>
      <c r="D864" s="25" t="n">
        <f aca="false">('Chi phí'!$C$77+'Chi phí'!$D$77*B864+'Chi phí'!$E$77*A864+'Giả định'!$B$15*('Chi phí'!$F$77+'Chi phí'!$G$77*B864+'Chi phí'!$H$77*A864))*(1+'Giả định'!$B$16)</f>
        <v>701516860</v>
      </c>
      <c r="E864" s="25" t="n">
        <f aca="false">A864/'Giả định'!$B$19*'Giả định'!$B$20+A864*'Giả định'!$B$23+'Giả định'!$B$24</f>
        <v>635226890.756303</v>
      </c>
      <c r="F864" s="25" t="n">
        <f aca="false">E864-D864</f>
        <v>-66289969.2436975</v>
      </c>
      <c r="G864" s="25" t="n">
        <f aca="false">E864-C864</f>
        <v>76655030.7563025</v>
      </c>
      <c r="H864" s="7" t="str">
        <f aca="false">IF(F864&gt;=0,A864,"")</f>
        <v/>
      </c>
      <c r="I864" s="7" t="n">
        <f aca="false">IF(F864&lt;0,A864,0)</f>
        <v>859</v>
      </c>
      <c r="J864" s="7" t="n">
        <f aca="false">IF(G864&gt;=0,A864,"")</f>
        <v>859</v>
      </c>
      <c r="K864" s="7" t="n">
        <f aca="false">IF(G864&lt;0,A864,0)</f>
        <v>0</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558608600</v>
      </c>
      <c r="D865" s="25" t="n">
        <f aca="false">('Chi phí'!$C$77+'Chi phí'!$D$77*B865+'Chi phí'!$E$77*A865+'Giả định'!$B$15*('Chi phí'!$F$77+'Chi phí'!$G$77*B865+'Chi phí'!$H$77*A865))*(1+'Giả định'!$B$16)</f>
        <v>701553600</v>
      </c>
      <c r="E865" s="25" t="n">
        <f aca="false">A865/'Giả định'!$B$19*'Giả định'!$B$20+A865*'Giả định'!$B$23+'Giả định'!$B$24</f>
        <v>635966386.554622</v>
      </c>
      <c r="F865" s="25" t="n">
        <f aca="false">E865-D865</f>
        <v>-65587213.4453781</v>
      </c>
      <c r="G865" s="25" t="n">
        <f aca="false">E865-C865</f>
        <v>77357786.5546219</v>
      </c>
      <c r="H865" s="7" t="str">
        <f aca="false">IF(F865&gt;=0,A865,"")</f>
        <v/>
      </c>
      <c r="I865" s="7" t="n">
        <f aca="false">IF(F865&lt;0,A865,0)</f>
        <v>860</v>
      </c>
      <c r="J865" s="7" t="n">
        <f aca="false">IF(G865&gt;=0,A865,"")</f>
        <v>860</v>
      </c>
      <c r="K865" s="7" t="n">
        <f aca="false">IF(G865&lt;0,A865,0)</f>
        <v>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564030940</v>
      </c>
      <c r="D866" s="25" t="n">
        <f aca="false">('Chi phí'!$C$77+'Chi phí'!$D$77*B866+'Chi phí'!$E$77*A866+'Giả định'!$B$15*('Chi phí'!$F$77+'Chi phí'!$G$77*B866+'Chi phí'!$H$77*A866))*(1+'Giả định'!$B$16)</f>
        <v>706975940</v>
      </c>
      <c r="E866" s="25" t="n">
        <f aca="false">A866/'Giả định'!$B$19*'Giả định'!$B$20+A866*'Giả định'!$B$23+'Giả định'!$B$24</f>
        <v>636705882.352941</v>
      </c>
      <c r="F866" s="25" t="n">
        <f aca="false">E866-D866</f>
        <v>-70270057.6470588</v>
      </c>
      <c r="G866" s="25" t="n">
        <f aca="false">E866-C866</f>
        <v>72674942.3529412</v>
      </c>
      <c r="H866" s="7" t="str">
        <f aca="false">IF(F866&gt;=0,A866,"")</f>
        <v/>
      </c>
      <c r="I866" s="7" t="n">
        <f aca="false">IF(F866&lt;0,A866,0)</f>
        <v>861</v>
      </c>
      <c r="J866" s="7" t="n">
        <f aca="false">IF(G866&gt;=0,A866,"")</f>
        <v>861</v>
      </c>
      <c r="K866" s="7" t="n">
        <f aca="false">IF(G866&lt;0,A866,0)</f>
        <v>0</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564067680</v>
      </c>
      <c r="D867" s="25" t="n">
        <f aca="false">('Chi phí'!$C$77+'Chi phí'!$D$77*B867+'Chi phí'!$E$77*A867+'Giả định'!$B$15*('Chi phí'!$F$77+'Chi phí'!$G$77*B867+'Chi phí'!$H$77*A867))*(1+'Giả định'!$B$16)</f>
        <v>707012680</v>
      </c>
      <c r="E867" s="25" t="n">
        <f aca="false">A867/'Giả định'!$B$19*'Giả định'!$B$20+A867*'Giả định'!$B$23+'Giả định'!$B$24</f>
        <v>637445378.151261</v>
      </c>
      <c r="F867" s="25" t="n">
        <f aca="false">E867-D867</f>
        <v>-69567301.8487395</v>
      </c>
      <c r="G867" s="25" t="n">
        <f aca="false">E867-C867</f>
        <v>73377698.1512605</v>
      </c>
      <c r="H867" s="7" t="str">
        <f aca="false">IF(F867&gt;=0,A867,"")</f>
        <v/>
      </c>
      <c r="I867" s="7" t="n">
        <f aca="false">IF(F867&lt;0,A867,0)</f>
        <v>862</v>
      </c>
      <c r="J867" s="7" t="n">
        <f aca="false">IF(G867&gt;=0,A867,"")</f>
        <v>862</v>
      </c>
      <c r="K867" s="7" t="n">
        <f aca="false">IF(G867&lt;0,A867,0)</f>
        <v>0</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564104420</v>
      </c>
      <c r="D868" s="25" t="n">
        <f aca="false">('Chi phí'!$C$77+'Chi phí'!$D$77*B868+'Chi phí'!$E$77*A868+'Giả định'!$B$15*('Chi phí'!$F$77+'Chi phí'!$G$77*B868+'Chi phí'!$H$77*A868))*(1+'Giả định'!$B$16)</f>
        <v>707049420</v>
      </c>
      <c r="E868" s="25" t="n">
        <f aca="false">A868/'Giả định'!$B$19*'Giả định'!$B$20+A868*'Giả định'!$B$23+'Giả định'!$B$24</f>
        <v>638184873.94958</v>
      </c>
      <c r="F868" s="25" t="n">
        <f aca="false">E868-D868</f>
        <v>-68864546.0504202</v>
      </c>
      <c r="G868" s="25" t="n">
        <f aca="false">E868-C868</f>
        <v>74080453.9495798</v>
      </c>
      <c r="H868" s="7" t="str">
        <f aca="false">IF(F868&gt;=0,A868,"")</f>
        <v/>
      </c>
      <c r="I868" s="7" t="n">
        <f aca="false">IF(F868&lt;0,A868,0)</f>
        <v>863</v>
      </c>
      <c r="J868" s="7" t="n">
        <f aca="false">IF(G868&gt;=0,A868,"")</f>
        <v>863</v>
      </c>
      <c r="K868" s="7" t="n">
        <f aca="false">IF(G868&lt;0,A868,0)</f>
        <v>0</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564141160</v>
      </c>
      <c r="D869" s="25" t="n">
        <f aca="false">('Chi phí'!$C$77+'Chi phí'!$D$77*B869+'Chi phí'!$E$77*A869+'Giả định'!$B$15*('Chi phí'!$F$77+'Chi phí'!$G$77*B869+'Chi phí'!$H$77*A869))*(1+'Giả định'!$B$16)</f>
        <v>707086160</v>
      </c>
      <c r="E869" s="25" t="n">
        <f aca="false">A869/'Giả định'!$B$19*'Giả định'!$B$20+A869*'Giả định'!$B$23+'Giả định'!$B$24</f>
        <v>638924369.747899</v>
      </c>
      <c r="F869" s="25" t="n">
        <f aca="false">E869-D869</f>
        <v>-68161790.2521008</v>
      </c>
      <c r="G869" s="25" t="n">
        <f aca="false">E869-C869</f>
        <v>74783209.7478992</v>
      </c>
      <c r="H869" s="7" t="str">
        <f aca="false">IF(F869&gt;=0,A869,"")</f>
        <v/>
      </c>
      <c r="I869" s="7" t="n">
        <f aca="false">IF(F869&lt;0,A869,0)</f>
        <v>864</v>
      </c>
      <c r="J869" s="7" t="n">
        <f aca="false">IF(G869&gt;=0,A869,"")</f>
        <v>864</v>
      </c>
      <c r="K869" s="7" t="n">
        <f aca="false">IF(G869&lt;0,A869,0)</f>
        <v>0</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564177900</v>
      </c>
      <c r="D870" s="25" t="n">
        <f aca="false">('Chi phí'!$C$77+'Chi phí'!$D$77*B870+'Chi phí'!$E$77*A870+'Giả định'!$B$15*('Chi phí'!$F$77+'Chi phí'!$G$77*B870+'Chi phí'!$H$77*A870))*(1+'Giả định'!$B$16)</f>
        <v>707122900</v>
      </c>
      <c r="E870" s="25" t="n">
        <f aca="false">A870/'Giả định'!$B$19*'Giả định'!$B$20+A870*'Giả định'!$B$23+'Giả định'!$B$24</f>
        <v>639663865.546219</v>
      </c>
      <c r="F870" s="25" t="n">
        <f aca="false">E870-D870</f>
        <v>-67459034.4537815</v>
      </c>
      <c r="G870" s="25" t="n">
        <f aca="false">E870-C870</f>
        <v>75485965.5462185</v>
      </c>
      <c r="H870" s="7" t="str">
        <f aca="false">IF(F870&gt;=0,A870,"")</f>
        <v/>
      </c>
      <c r="I870" s="7" t="n">
        <f aca="false">IF(F870&lt;0,A870,0)</f>
        <v>865</v>
      </c>
      <c r="J870" s="7" t="n">
        <f aca="false">IF(G870&gt;=0,A870,"")</f>
        <v>865</v>
      </c>
      <c r="K870" s="7" t="n">
        <f aca="false">IF(G870&lt;0,A870,0)</f>
        <v>0</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564214640</v>
      </c>
      <c r="D871" s="25" t="n">
        <f aca="false">('Chi phí'!$C$77+'Chi phí'!$D$77*B871+'Chi phí'!$E$77*A871+'Giả định'!$B$15*('Chi phí'!$F$77+'Chi phí'!$G$77*B871+'Chi phí'!$H$77*A871))*(1+'Giả định'!$B$16)</f>
        <v>707159640</v>
      </c>
      <c r="E871" s="25" t="n">
        <f aca="false">A871/'Giả định'!$B$19*'Giả định'!$B$20+A871*'Giả định'!$B$23+'Giả định'!$B$24</f>
        <v>640403361.344538</v>
      </c>
      <c r="F871" s="25" t="n">
        <f aca="false">E871-D871</f>
        <v>-66756278.6554623</v>
      </c>
      <c r="G871" s="25" t="n">
        <f aca="false">E871-C871</f>
        <v>76188721.3445377</v>
      </c>
      <c r="H871" s="7" t="str">
        <f aca="false">IF(F871&gt;=0,A871,"")</f>
        <v/>
      </c>
      <c r="I871" s="7" t="n">
        <f aca="false">IF(F871&lt;0,A871,0)</f>
        <v>866</v>
      </c>
      <c r="J871" s="7" t="n">
        <f aca="false">IF(G871&gt;=0,A871,"")</f>
        <v>866</v>
      </c>
      <c r="K871" s="7" t="n">
        <f aca="false">IF(G871&lt;0,A871,0)</f>
        <v>0</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564251380</v>
      </c>
      <c r="D872" s="25" t="n">
        <f aca="false">('Chi phí'!$C$77+'Chi phí'!$D$77*B872+'Chi phí'!$E$77*A872+'Giả định'!$B$15*('Chi phí'!$F$77+'Chi phí'!$G$77*B872+'Chi phí'!$H$77*A872))*(1+'Giả định'!$B$16)</f>
        <v>707196380</v>
      </c>
      <c r="E872" s="25" t="n">
        <f aca="false">A872/'Giả định'!$B$19*'Giả định'!$B$20+A872*'Giả định'!$B$23+'Giả định'!$B$24</f>
        <v>641142857.142857</v>
      </c>
      <c r="F872" s="25" t="n">
        <f aca="false">E872-D872</f>
        <v>-66053522.8571427</v>
      </c>
      <c r="G872" s="25" t="n">
        <f aca="false">E872-C872</f>
        <v>76891477.1428573</v>
      </c>
      <c r="H872" s="7" t="str">
        <f aca="false">IF(F872&gt;=0,A872,"")</f>
        <v/>
      </c>
      <c r="I872" s="7" t="n">
        <f aca="false">IF(F872&lt;0,A872,0)</f>
        <v>867</v>
      </c>
      <c r="J872" s="7" t="n">
        <f aca="false">IF(G872&gt;=0,A872,"")</f>
        <v>867</v>
      </c>
      <c r="K872" s="7" t="n">
        <f aca="false">IF(G872&lt;0,A872,0)</f>
        <v>0</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564288120</v>
      </c>
      <c r="D873" s="25" t="n">
        <f aca="false">('Chi phí'!$C$77+'Chi phí'!$D$77*B873+'Chi phí'!$E$77*A873+'Giả định'!$B$15*('Chi phí'!$F$77+'Chi phí'!$G$77*B873+'Chi phí'!$H$77*A873))*(1+'Giả định'!$B$16)</f>
        <v>707233120</v>
      </c>
      <c r="E873" s="25" t="n">
        <f aca="false">A873/'Giả định'!$B$19*'Giả định'!$B$20+A873*'Giả định'!$B$23+'Giả định'!$B$24</f>
        <v>641882352.941177</v>
      </c>
      <c r="F873" s="25" t="n">
        <f aca="false">E873-D873</f>
        <v>-65350767.0588235</v>
      </c>
      <c r="G873" s="25" t="n">
        <f aca="false">E873-C873</f>
        <v>77594232.9411765</v>
      </c>
      <c r="H873" s="7" t="str">
        <f aca="false">IF(F873&gt;=0,A873,"")</f>
        <v/>
      </c>
      <c r="I873" s="7" t="n">
        <f aca="false">IF(F873&lt;0,A873,0)</f>
        <v>868</v>
      </c>
      <c r="J873" s="7" t="n">
        <f aca="false">IF(G873&gt;=0,A873,"")</f>
        <v>868</v>
      </c>
      <c r="K873" s="7" t="n">
        <f aca="false">IF(G873&lt;0,A873,0)</f>
        <v>0</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564324860</v>
      </c>
      <c r="D874" s="25" t="n">
        <f aca="false">('Chi phí'!$C$77+'Chi phí'!$D$77*B874+'Chi phí'!$E$77*A874+'Giả định'!$B$15*('Chi phí'!$F$77+'Chi phí'!$G$77*B874+'Chi phí'!$H$77*A874))*(1+'Giả định'!$B$16)</f>
        <v>707269860</v>
      </c>
      <c r="E874" s="25" t="n">
        <f aca="false">A874/'Giả định'!$B$19*'Giả định'!$B$20+A874*'Giả định'!$B$23+'Giả định'!$B$24</f>
        <v>642621848.739496</v>
      </c>
      <c r="F874" s="25" t="n">
        <f aca="false">E874-D874</f>
        <v>-64648011.2605041</v>
      </c>
      <c r="G874" s="25" t="n">
        <f aca="false">E874-C874</f>
        <v>78296988.7394959</v>
      </c>
      <c r="H874" s="7" t="str">
        <f aca="false">IF(F874&gt;=0,A874,"")</f>
        <v/>
      </c>
      <c r="I874" s="7" t="n">
        <f aca="false">IF(F874&lt;0,A874,0)</f>
        <v>869</v>
      </c>
      <c r="J874" s="7" t="n">
        <f aca="false">IF(G874&gt;=0,A874,"")</f>
        <v>869</v>
      </c>
      <c r="K874" s="7" t="n">
        <f aca="false">IF(G874&lt;0,A874,0)</f>
        <v>0</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564361600</v>
      </c>
      <c r="D875" s="25" t="n">
        <f aca="false">('Chi phí'!$C$77+'Chi phí'!$D$77*B875+'Chi phí'!$E$77*A875+'Giả định'!$B$15*('Chi phí'!$F$77+'Chi phí'!$G$77*B875+'Chi phí'!$H$77*A875))*(1+'Giả định'!$B$16)</f>
        <v>707306600</v>
      </c>
      <c r="E875" s="25" t="n">
        <f aca="false">A875/'Giả định'!$B$19*'Giả định'!$B$20+A875*'Giả định'!$B$23+'Giả định'!$B$24</f>
        <v>643361344.537815</v>
      </c>
      <c r="F875" s="25" t="n">
        <f aca="false">E875-D875</f>
        <v>-63945255.4621848</v>
      </c>
      <c r="G875" s="25" t="n">
        <f aca="false">E875-C875</f>
        <v>78999744.5378152</v>
      </c>
      <c r="H875" s="7" t="str">
        <f aca="false">IF(F875&gt;=0,A875,"")</f>
        <v/>
      </c>
      <c r="I875" s="7" t="n">
        <f aca="false">IF(F875&lt;0,A875,0)</f>
        <v>870</v>
      </c>
      <c r="J875" s="7" t="n">
        <f aca="false">IF(G875&gt;=0,A875,"")</f>
        <v>870</v>
      </c>
      <c r="K875" s="7" t="n">
        <f aca="false">IF(G875&lt;0,A875,0)</f>
        <v>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569783940</v>
      </c>
      <c r="D876" s="25" t="n">
        <f aca="false">('Chi phí'!$C$77+'Chi phí'!$D$77*B876+'Chi phí'!$E$77*A876+'Giả định'!$B$15*('Chi phí'!$F$77+'Chi phí'!$G$77*B876+'Chi phí'!$H$77*A876))*(1+'Giả định'!$B$16)</f>
        <v>712728940</v>
      </c>
      <c r="E876" s="25" t="n">
        <f aca="false">A876/'Giả định'!$B$19*'Giả định'!$B$20+A876*'Giả định'!$B$23+'Giả định'!$B$24</f>
        <v>644100840.336135</v>
      </c>
      <c r="F876" s="25" t="n">
        <f aca="false">E876-D876</f>
        <v>-68628099.6638655</v>
      </c>
      <c r="G876" s="25" t="n">
        <f aca="false">E876-C876</f>
        <v>74316900.3361346</v>
      </c>
      <c r="H876" s="7" t="str">
        <f aca="false">IF(F876&gt;=0,A876,"")</f>
        <v/>
      </c>
      <c r="I876" s="7" t="n">
        <f aca="false">IF(F876&lt;0,A876,0)</f>
        <v>871</v>
      </c>
      <c r="J876" s="7" t="n">
        <f aca="false">IF(G876&gt;=0,A876,"")</f>
        <v>871</v>
      </c>
      <c r="K876" s="7" t="n">
        <f aca="false">IF(G876&lt;0,A876,0)</f>
        <v>0</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569820680</v>
      </c>
      <c r="D877" s="25" t="n">
        <f aca="false">('Chi phí'!$C$77+'Chi phí'!$D$77*B877+'Chi phí'!$E$77*A877+'Giả định'!$B$15*('Chi phí'!$F$77+'Chi phí'!$G$77*B877+'Chi phí'!$H$77*A877))*(1+'Giả định'!$B$16)</f>
        <v>712765680</v>
      </c>
      <c r="E877" s="25" t="n">
        <f aca="false">A877/'Giả định'!$B$19*'Giả định'!$B$20+A877*'Giả định'!$B$23+'Giả định'!$B$24</f>
        <v>644840336.134454</v>
      </c>
      <c r="F877" s="25" t="n">
        <f aca="false">E877-D877</f>
        <v>-67925343.8655461</v>
      </c>
      <c r="G877" s="25" t="n">
        <f aca="false">E877-C877</f>
        <v>75019656.1344539</v>
      </c>
      <c r="H877" s="7" t="str">
        <f aca="false">IF(F877&gt;=0,A877,"")</f>
        <v/>
      </c>
      <c r="I877" s="7" t="n">
        <f aca="false">IF(F877&lt;0,A877,0)</f>
        <v>872</v>
      </c>
      <c r="J877" s="7" t="n">
        <f aca="false">IF(G877&gt;=0,A877,"")</f>
        <v>872</v>
      </c>
      <c r="K877" s="7" t="n">
        <f aca="false">IF(G877&lt;0,A877,0)</f>
        <v>0</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569857420</v>
      </c>
      <c r="D878" s="25" t="n">
        <f aca="false">('Chi phí'!$C$77+'Chi phí'!$D$77*B878+'Chi phí'!$E$77*A878+'Giả định'!$B$15*('Chi phí'!$F$77+'Chi phí'!$G$77*B878+'Chi phí'!$H$77*A878))*(1+'Giả định'!$B$16)</f>
        <v>712802420</v>
      </c>
      <c r="E878" s="25" t="n">
        <f aca="false">A878/'Giả định'!$B$19*'Giả định'!$B$20+A878*'Giả định'!$B$23+'Giả định'!$B$24</f>
        <v>645579831.932773</v>
      </c>
      <c r="F878" s="25" t="n">
        <f aca="false">E878-D878</f>
        <v>-67222588.0672269</v>
      </c>
      <c r="G878" s="25" t="n">
        <f aca="false">E878-C878</f>
        <v>75722411.9327731</v>
      </c>
      <c r="H878" s="7" t="str">
        <f aca="false">IF(F878&gt;=0,A878,"")</f>
        <v/>
      </c>
      <c r="I878" s="7" t="n">
        <f aca="false">IF(F878&lt;0,A878,0)</f>
        <v>873</v>
      </c>
      <c r="J878" s="7" t="n">
        <f aca="false">IF(G878&gt;=0,A878,"")</f>
        <v>873</v>
      </c>
      <c r="K878" s="7" t="n">
        <f aca="false">IF(G878&lt;0,A878,0)</f>
        <v>0</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569894160</v>
      </c>
      <c r="D879" s="25" t="n">
        <f aca="false">('Chi phí'!$C$77+'Chi phí'!$D$77*B879+'Chi phí'!$E$77*A879+'Giả định'!$B$15*('Chi phí'!$F$77+'Chi phí'!$G$77*B879+'Chi phí'!$H$77*A879))*(1+'Giả định'!$B$16)</f>
        <v>712839160</v>
      </c>
      <c r="E879" s="25" t="n">
        <f aca="false">A879/'Giả định'!$B$19*'Giả định'!$B$20+A879*'Giả định'!$B$23+'Giả định'!$B$24</f>
        <v>646319327.731093</v>
      </c>
      <c r="F879" s="25" t="n">
        <f aca="false">E879-D879</f>
        <v>-66519832.2689074</v>
      </c>
      <c r="G879" s="25" t="n">
        <f aca="false">E879-C879</f>
        <v>76425167.7310926</v>
      </c>
      <c r="H879" s="7" t="str">
        <f aca="false">IF(F879&gt;=0,A879,"")</f>
        <v/>
      </c>
      <c r="I879" s="7" t="n">
        <f aca="false">IF(F879&lt;0,A879,0)</f>
        <v>874</v>
      </c>
      <c r="J879" s="7" t="n">
        <f aca="false">IF(G879&gt;=0,A879,"")</f>
        <v>874</v>
      </c>
      <c r="K879" s="7" t="n">
        <f aca="false">IF(G879&lt;0,A879,0)</f>
        <v>0</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569930900</v>
      </c>
      <c r="D880" s="25" t="n">
        <f aca="false">('Chi phí'!$C$77+'Chi phí'!$D$77*B880+'Chi phí'!$E$77*A880+'Giả định'!$B$15*('Chi phí'!$F$77+'Chi phí'!$G$77*B880+'Chi phí'!$H$77*A880))*(1+'Giả định'!$B$16)</f>
        <v>712875900</v>
      </c>
      <c r="E880" s="25" t="n">
        <f aca="false">A880/'Giả định'!$B$19*'Giả định'!$B$20+A880*'Giả định'!$B$23+'Giả định'!$B$24</f>
        <v>647058823.529412</v>
      </c>
      <c r="F880" s="25" t="n">
        <f aca="false">E880-D880</f>
        <v>-65817076.4705882</v>
      </c>
      <c r="G880" s="25" t="n">
        <f aca="false">E880-C880</f>
        <v>77127923.5294118</v>
      </c>
      <c r="H880" s="7" t="str">
        <f aca="false">IF(F880&gt;=0,A880,"")</f>
        <v/>
      </c>
      <c r="I880" s="7" t="n">
        <f aca="false">IF(F880&lt;0,A880,0)</f>
        <v>875</v>
      </c>
      <c r="J880" s="7" t="n">
        <f aca="false">IF(G880&gt;=0,A880,"")</f>
        <v>875</v>
      </c>
      <c r="K880" s="7" t="n">
        <f aca="false">IF(G880&lt;0,A880,0)</f>
        <v>0</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569967640</v>
      </c>
      <c r="D881" s="25" t="n">
        <f aca="false">('Chi phí'!$C$77+'Chi phí'!$D$77*B881+'Chi phí'!$E$77*A881+'Giả định'!$B$15*('Chi phí'!$F$77+'Chi phí'!$G$77*B881+'Chi phí'!$H$77*A881))*(1+'Giả định'!$B$16)</f>
        <v>712912640</v>
      </c>
      <c r="E881" s="25" t="n">
        <f aca="false">A881/'Giả định'!$B$19*'Giả định'!$B$20+A881*'Giả định'!$B$23+'Giả định'!$B$24</f>
        <v>647798319.327731</v>
      </c>
      <c r="F881" s="25" t="n">
        <f aca="false">E881-D881</f>
        <v>-65114320.6722689</v>
      </c>
      <c r="G881" s="25" t="n">
        <f aca="false">E881-C881</f>
        <v>77830679.3277311</v>
      </c>
      <c r="H881" s="7" t="str">
        <f aca="false">IF(F881&gt;=0,A881,"")</f>
        <v/>
      </c>
      <c r="I881" s="7" t="n">
        <f aca="false">IF(F881&lt;0,A881,0)</f>
        <v>876</v>
      </c>
      <c r="J881" s="7" t="n">
        <f aca="false">IF(G881&gt;=0,A881,"")</f>
        <v>876</v>
      </c>
      <c r="K881" s="7" t="n">
        <f aca="false">IF(G881&lt;0,A881,0)</f>
        <v>0</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570004380</v>
      </c>
      <c r="D882" s="25" t="n">
        <f aca="false">('Chi phí'!$C$77+'Chi phí'!$D$77*B882+'Chi phí'!$E$77*A882+'Giả định'!$B$15*('Chi phí'!$F$77+'Chi phí'!$G$77*B882+'Chi phí'!$H$77*A882))*(1+'Giả định'!$B$16)</f>
        <v>712949380</v>
      </c>
      <c r="E882" s="25" t="n">
        <f aca="false">A882/'Giả định'!$B$19*'Giả định'!$B$20+A882*'Giả định'!$B$23+'Giả định'!$B$24</f>
        <v>648537815.126051</v>
      </c>
      <c r="F882" s="25" t="n">
        <f aca="false">E882-D882</f>
        <v>-64411564.8739495</v>
      </c>
      <c r="G882" s="25" t="n">
        <f aca="false">E882-C882</f>
        <v>78533435.1260505</v>
      </c>
      <c r="H882" s="7" t="str">
        <f aca="false">IF(F882&gt;=0,A882,"")</f>
        <v/>
      </c>
      <c r="I882" s="7" t="n">
        <f aca="false">IF(F882&lt;0,A882,0)</f>
        <v>877</v>
      </c>
      <c r="J882" s="7" t="n">
        <f aca="false">IF(G882&gt;=0,A882,"")</f>
        <v>877</v>
      </c>
      <c r="K882" s="7" t="n">
        <f aca="false">IF(G882&lt;0,A882,0)</f>
        <v>0</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570041120</v>
      </c>
      <c r="D883" s="25" t="n">
        <f aca="false">('Chi phí'!$C$77+'Chi phí'!$D$77*B883+'Chi phí'!$E$77*A883+'Giả định'!$B$15*('Chi phí'!$F$77+'Chi phí'!$G$77*B883+'Chi phí'!$H$77*A883))*(1+'Giả định'!$B$16)</f>
        <v>712986120</v>
      </c>
      <c r="E883" s="25" t="n">
        <f aca="false">A883/'Giả định'!$B$19*'Giả định'!$B$20+A883*'Giả định'!$B$23+'Giả định'!$B$24</f>
        <v>649277310.92437</v>
      </c>
      <c r="F883" s="25" t="n">
        <f aca="false">E883-D883</f>
        <v>-63708809.0756302</v>
      </c>
      <c r="G883" s="25" t="n">
        <f aca="false">E883-C883</f>
        <v>79236190.9243698</v>
      </c>
      <c r="H883" s="7" t="str">
        <f aca="false">IF(F883&gt;=0,A883,"")</f>
        <v/>
      </c>
      <c r="I883" s="7" t="n">
        <f aca="false">IF(F883&lt;0,A883,0)</f>
        <v>878</v>
      </c>
      <c r="J883" s="7" t="n">
        <f aca="false">IF(G883&gt;=0,A883,"")</f>
        <v>878</v>
      </c>
      <c r="K883" s="7" t="n">
        <f aca="false">IF(G883&lt;0,A883,0)</f>
        <v>0</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570077860</v>
      </c>
      <c r="D884" s="25" t="n">
        <f aca="false">('Chi phí'!$C$77+'Chi phí'!$D$77*B884+'Chi phí'!$E$77*A884+'Giả định'!$B$15*('Chi phí'!$F$77+'Chi phí'!$G$77*B884+'Chi phí'!$H$77*A884))*(1+'Giả định'!$B$16)</f>
        <v>713022860</v>
      </c>
      <c r="E884" s="25" t="n">
        <f aca="false">A884/'Giả định'!$B$19*'Giả định'!$B$20+A884*'Giả định'!$B$23+'Giả định'!$B$24</f>
        <v>650016806.722689</v>
      </c>
      <c r="F884" s="25" t="n">
        <f aca="false">E884-D884</f>
        <v>-63006053.2773109</v>
      </c>
      <c r="G884" s="25" t="n">
        <f aca="false">E884-C884</f>
        <v>79938946.7226892</v>
      </c>
      <c r="H884" s="7" t="str">
        <f aca="false">IF(F884&gt;=0,A884,"")</f>
        <v/>
      </c>
      <c r="I884" s="7" t="n">
        <f aca="false">IF(F884&lt;0,A884,0)</f>
        <v>879</v>
      </c>
      <c r="J884" s="7" t="n">
        <f aca="false">IF(G884&gt;=0,A884,"")</f>
        <v>879</v>
      </c>
      <c r="K884" s="7" t="n">
        <f aca="false">IF(G884&lt;0,A884,0)</f>
        <v>0</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570114600</v>
      </c>
      <c r="D885" s="25" t="n">
        <f aca="false">('Chi phí'!$C$77+'Chi phí'!$D$77*B885+'Chi phí'!$E$77*A885+'Giả định'!$B$15*('Chi phí'!$F$77+'Chi phí'!$G$77*B885+'Chi phí'!$H$77*A885))*(1+'Giả định'!$B$16)</f>
        <v>713059600</v>
      </c>
      <c r="E885" s="25" t="n">
        <f aca="false">A885/'Giả định'!$B$19*'Giả định'!$B$20+A885*'Giả định'!$B$23+'Giả định'!$B$24</f>
        <v>650756302.521008</v>
      </c>
      <c r="F885" s="25" t="n">
        <f aca="false">E885-D885</f>
        <v>-62303297.4789916</v>
      </c>
      <c r="G885" s="25" t="n">
        <f aca="false">E885-C885</f>
        <v>80641702.5210084</v>
      </c>
      <c r="H885" s="7" t="str">
        <f aca="false">IF(F885&gt;=0,A885,"")</f>
        <v/>
      </c>
      <c r="I885" s="7" t="n">
        <f aca="false">IF(F885&lt;0,A885,0)</f>
        <v>880</v>
      </c>
      <c r="J885" s="7" t="n">
        <f aca="false">IF(G885&gt;=0,A885,"")</f>
        <v>880</v>
      </c>
      <c r="K885" s="7" t="n">
        <f aca="false">IF(G885&lt;0,A885,0)</f>
        <v>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575536940</v>
      </c>
      <c r="D886" s="25" t="n">
        <f aca="false">('Chi phí'!$C$77+'Chi phí'!$D$77*B886+'Chi phí'!$E$77*A886+'Giả định'!$B$15*('Chi phí'!$F$77+'Chi phí'!$G$77*B886+'Chi phí'!$H$77*A886))*(1+'Giả định'!$B$16)</f>
        <v>718481940</v>
      </c>
      <c r="E886" s="25" t="n">
        <f aca="false">A886/'Giả định'!$B$19*'Giả định'!$B$20+A886*'Giả định'!$B$23+'Giả định'!$B$24</f>
        <v>651495798.319328</v>
      </c>
      <c r="F886" s="25" t="n">
        <f aca="false">E886-D886</f>
        <v>-66986141.6806722</v>
      </c>
      <c r="G886" s="25" t="n">
        <f aca="false">E886-C886</f>
        <v>75958858.3193278</v>
      </c>
      <c r="H886" s="7" t="str">
        <f aca="false">IF(F886&gt;=0,A886,"")</f>
        <v/>
      </c>
      <c r="I886" s="7" t="n">
        <f aca="false">IF(F886&lt;0,A886,0)</f>
        <v>881</v>
      </c>
      <c r="J886" s="7" t="n">
        <f aca="false">IF(G886&gt;=0,A886,"")</f>
        <v>881</v>
      </c>
      <c r="K886" s="7" t="n">
        <f aca="false">IF(G886&lt;0,A886,0)</f>
        <v>0</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575573680</v>
      </c>
      <c r="D887" s="25" t="n">
        <f aca="false">('Chi phí'!$C$77+'Chi phí'!$D$77*B887+'Chi phí'!$E$77*A887+'Giả định'!$B$15*('Chi phí'!$F$77+'Chi phí'!$G$77*B887+'Chi phí'!$H$77*A887))*(1+'Giả định'!$B$16)</f>
        <v>718518680</v>
      </c>
      <c r="E887" s="25" t="n">
        <f aca="false">A887/'Giả định'!$B$19*'Giả định'!$B$20+A887*'Giả định'!$B$23+'Giả định'!$B$24</f>
        <v>652235294.117647</v>
      </c>
      <c r="F887" s="25" t="n">
        <f aca="false">E887-D887</f>
        <v>-66283385.882353</v>
      </c>
      <c r="G887" s="25" t="n">
        <f aca="false">E887-C887</f>
        <v>76661614.1176471</v>
      </c>
      <c r="H887" s="7" t="str">
        <f aca="false">IF(F887&gt;=0,A887,"")</f>
        <v/>
      </c>
      <c r="I887" s="7" t="n">
        <f aca="false">IF(F887&lt;0,A887,0)</f>
        <v>882</v>
      </c>
      <c r="J887" s="7" t="n">
        <f aca="false">IF(G887&gt;=0,A887,"")</f>
        <v>882</v>
      </c>
      <c r="K887" s="7" t="n">
        <f aca="false">IF(G887&lt;0,A887,0)</f>
        <v>0</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575610420</v>
      </c>
      <c r="D888" s="25" t="n">
        <f aca="false">('Chi phí'!$C$77+'Chi phí'!$D$77*B888+'Chi phí'!$E$77*A888+'Giả định'!$B$15*('Chi phí'!$F$77+'Chi phí'!$G$77*B888+'Chi phí'!$H$77*A888))*(1+'Giả định'!$B$16)</f>
        <v>718555420</v>
      </c>
      <c r="E888" s="25" t="n">
        <f aca="false">A888/'Giả định'!$B$19*'Giả định'!$B$20+A888*'Giả định'!$B$23+'Giả định'!$B$24</f>
        <v>652974789.915966</v>
      </c>
      <c r="F888" s="25" t="n">
        <f aca="false">E888-D888</f>
        <v>-65580630.0840336</v>
      </c>
      <c r="G888" s="25" t="n">
        <f aca="false">E888-C888</f>
        <v>77364369.9159664</v>
      </c>
      <c r="H888" s="7" t="str">
        <f aca="false">IF(F888&gt;=0,A888,"")</f>
        <v/>
      </c>
      <c r="I888" s="7" t="n">
        <f aca="false">IF(F888&lt;0,A888,0)</f>
        <v>883</v>
      </c>
      <c r="J888" s="7" t="n">
        <f aca="false">IF(G888&gt;=0,A888,"")</f>
        <v>883</v>
      </c>
      <c r="K888" s="7" t="n">
        <f aca="false">IF(G888&lt;0,A888,0)</f>
        <v>0</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575647160</v>
      </c>
      <c r="D889" s="25" t="n">
        <f aca="false">('Chi phí'!$C$77+'Chi phí'!$D$77*B889+'Chi phí'!$E$77*A889+'Giả định'!$B$15*('Chi phí'!$F$77+'Chi phí'!$G$77*B889+'Chi phí'!$H$77*A889))*(1+'Giả định'!$B$16)</f>
        <v>718592160</v>
      </c>
      <c r="E889" s="25" t="n">
        <f aca="false">A889/'Giả định'!$B$19*'Giả định'!$B$20+A889*'Giả định'!$B$23+'Giả định'!$B$24</f>
        <v>653714285.714286</v>
      </c>
      <c r="F889" s="25" t="n">
        <f aca="false">E889-D889</f>
        <v>-64877874.2857143</v>
      </c>
      <c r="G889" s="25" t="n">
        <f aca="false">E889-C889</f>
        <v>78067125.7142857</v>
      </c>
      <c r="H889" s="7" t="str">
        <f aca="false">IF(F889&gt;=0,A889,"")</f>
        <v/>
      </c>
      <c r="I889" s="7" t="n">
        <f aca="false">IF(F889&lt;0,A889,0)</f>
        <v>884</v>
      </c>
      <c r="J889" s="7" t="n">
        <f aca="false">IF(G889&gt;=0,A889,"")</f>
        <v>884</v>
      </c>
      <c r="K889" s="7" t="n">
        <f aca="false">IF(G889&lt;0,A889,0)</f>
        <v>0</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575683900</v>
      </c>
      <c r="D890" s="25" t="n">
        <f aca="false">('Chi phí'!$C$77+'Chi phí'!$D$77*B890+'Chi phí'!$E$77*A890+'Giả định'!$B$15*('Chi phí'!$F$77+'Chi phí'!$G$77*B890+'Chi phí'!$H$77*A890))*(1+'Giả định'!$B$16)</f>
        <v>718628900</v>
      </c>
      <c r="E890" s="25" t="n">
        <f aca="false">A890/'Giả định'!$B$19*'Giả định'!$B$20+A890*'Giả định'!$B$23+'Giả định'!$B$24</f>
        <v>654453781.512605</v>
      </c>
      <c r="F890" s="25" t="n">
        <f aca="false">E890-D890</f>
        <v>-64175118.4873949</v>
      </c>
      <c r="G890" s="25" t="n">
        <f aca="false">E890-C890</f>
        <v>78769881.5126051</v>
      </c>
      <c r="H890" s="7" t="str">
        <f aca="false">IF(F890&gt;=0,A890,"")</f>
        <v/>
      </c>
      <c r="I890" s="7" t="n">
        <f aca="false">IF(F890&lt;0,A890,0)</f>
        <v>885</v>
      </c>
      <c r="J890" s="7" t="n">
        <f aca="false">IF(G890&gt;=0,A890,"")</f>
        <v>885</v>
      </c>
      <c r="K890" s="7" t="n">
        <f aca="false">IF(G890&lt;0,A890,0)</f>
        <v>0</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575720640</v>
      </c>
      <c r="D891" s="25" t="n">
        <f aca="false">('Chi phí'!$C$77+'Chi phí'!$D$77*B891+'Chi phí'!$E$77*A891+'Giả định'!$B$15*('Chi phí'!$F$77+'Chi phí'!$G$77*B891+'Chi phí'!$H$77*A891))*(1+'Giả định'!$B$16)</f>
        <v>718665640</v>
      </c>
      <c r="E891" s="25" t="n">
        <f aca="false">A891/'Giả định'!$B$19*'Giả định'!$B$20+A891*'Giả định'!$B$23+'Giả định'!$B$24</f>
        <v>655193277.310924</v>
      </c>
      <c r="F891" s="25" t="n">
        <f aca="false">E891-D891</f>
        <v>-63472362.6890756</v>
      </c>
      <c r="G891" s="25" t="n">
        <f aca="false">E891-C891</f>
        <v>79472637.3109244</v>
      </c>
      <c r="H891" s="7" t="str">
        <f aca="false">IF(F891&gt;=0,A891,"")</f>
        <v/>
      </c>
      <c r="I891" s="7" t="n">
        <f aca="false">IF(F891&lt;0,A891,0)</f>
        <v>886</v>
      </c>
      <c r="J891" s="7" t="n">
        <f aca="false">IF(G891&gt;=0,A891,"")</f>
        <v>886</v>
      </c>
      <c r="K891" s="7" t="n">
        <f aca="false">IF(G891&lt;0,A891,0)</f>
        <v>0</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575757380</v>
      </c>
      <c r="D892" s="25" t="n">
        <f aca="false">('Chi phí'!$C$77+'Chi phí'!$D$77*B892+'Chi phí'!$E$77*A892+'Giả định'!$B$15*('Chi phí'!$F$77+'Chi phí'!$G$77*B892+'Chi phí'!$H$77*A892))*(1+'Giả định'!$B$16)</f>
        <v>718702380</v>
      </c>
      <c r="E892" s="25" t="n">
        <f aca="false">A892/'Giả định'!$B$19*'Giả định'!$B$20+A892*'Giả định'!$B$23+'Giả định'!$B$24</f>
        <v>655932773.109244</v>
      </c>
      <c r="F892" s="25" t="n">
        <f aca="false">E892-D892</f>
        <v>-62769606.8907564</v>
      </c>
      <c r="G892" s="25" t="n">
        <f aca="false">E892-C892</f>
        <v>80175393.1092436</v>
      </c>
      <c r="H892" s="7" t="str">
        <f aca="false">IF(F892&gt;=0,A892,"")</f>
        <v/>
      </c>
      <c r="I892" s="7" t="n">
        <f aca="false">IF(F892&lt;0,A892,0)</f>
        <v>887</v>
      </c>
      <c r="J892" s="7" t="n">
        <f aca="false">IF(G892&gt;=0,A892,"")</f>
        <v>887</v>
      </c>
      <c r="K892" s="7" t="n">
        <f aca="false">IF(G892&lt;0,A892,0)</f>
        <v>0</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575794120</v>
      </c>
      <c r="D893" s="25" t="n">
        <f aca="false">('Chi phí'!$C$77+'Chi phí'!$D$77*B893+'Chi phí'!$E$77*A893+'Giả định'!$B$15*('Chi phí'!$F$77+'Chi phí'!$G$77*B893+'Chi phí'!$H$77*A893))*(1+'Giả định'!$B$16)</f>
        <v>718739120</v>
      </c>
      <c r="E893" s="25" t="n">
        <f aca="false">A893/'Giả định'!$B$19*'Giả định'!$B$20+A893*'Giả định'!$B$23+'Giả định'!$B$24</f>
        <v>656672268.907563</v>
      </c>
      <c r="F893" s="25" t="n">
        <f aca="false">E893-D893</f>
        <v>-62066851.0924369</v>
      </c>
      <c r="G893" s="25" t="n">
        <f aca="false">E893-C893</f>
        <v>80878148.9075631</v>
      </c>
      <c r="H893" s="7" t="str">
        <f aca="false">IF(F893&gt;=0,A893,"")</f>
        <v/>
      </c>
      <c r="I893" s="7" t="n">
        <f aca="false">IF(F893&lt;0,A893,0)</f>
        <v>888</v>
      </c>
      <c r="J893" s="7" t="n">
        <f aca="false">IF(G893&gt;=0,A893,"")</f>
        <v>888</v>
      </c>
      <c r="K893" s="7" t="n">
        <f aca="false">IF(G893&lt;0,A893,0)</f>
        <v>0</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575830860</v>
      </c>
      <c r="D894" s="25" t="n">
        <f aca="false">('Chi phí'!$C$77+'Chi phí'!$D$77*B894+'Chi phí'!$E$77*A894+'Giả định'!$B$15*('Chi phí'!$F$77+'Chi phí'!$G$77*B894+'Chi phí'!$H$77*A894))*(1+'Giả định'!$B$16)</f>
        <v>718775860</v>
      </c>
      <c r="E894" s="25" t="n">
        <f aca="false">A894/'Giả định'!$B$19*'Giả định'!$B$20+A894*'Giả định'!$B$23+'Giả định'!$B$24</f>
        <v>657411764.705882</v>
      </c>
      <c r="F894" s="25" t="n">
        <f aca="false">E894-D894</f>
        <v>-61364095.2941177</v>
      </c>
      <c r="G894" s="25" t="n">
        <f aca="false">E894-C894</f>
        <v>81580904.7058823</v>
      </c>
      <c r="H894" s="7" t="str">
        <f aca="false">IF(F894&gt;=0,A894,"")</f>
        <v/>
      </c>
      <c r="I894" s="7" t="n">
        <f aca="false">IF(F894&lt;0,A894,0)</f>
        <v>889</v>
      </c>
      <c r="J894" s="7" t="n">
        <f aca="false">IF(G894&gt;=0,A894,"")</f>
        <v>889</v>
      </c>
      <c r="K894" s="7" t="n">
        <f aca="false">IF(G894&lt;0,A894,0)</f>
        <v>0</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575867600</v>
      </c>
      <c r="D895" s="25" t="n">
        <f aca="false">('Chi phí'!$C$77+'Chi phí'!$D$77*B895+'Chi phí'!$E$77*A895+'Giả định'!$B$15*('Chi phí'!$F$77+'Chi phí'!$G$77*B895+'Chi phí'!$H$77*A895))*(1+'Giả định'!$B$16)</f>
        <v>718812600</v>
      </c>
      <c r="E895" s="25" t="n">
        <f aca="false">A895/'Giả định'!$B$19*'Giả định'!$B$20+A895*'Giả định'!$B$23+'Giả định'!$B$24</f>
        <v>658151260.504202</v>
      </c>
      <c r="F895" s="25" t="n">
        <f aca="false">E895-D895</f>
        <v>-60661339.4957984</v>
      </c>
      <c r="G895" s="25" t="n">
        <f aca="false">E895-C895</f>
        <v>82283660.5042017</v>
      </c>
      <c r="H895" s="7" t="str">
        <f aca="false">IF(F895&gt;=0,A895,"")</f>
        <v/>
      </c>
      <c r="I895" s="7" t="n">
        <f aca="false">IF(F895&lt;0,A895,0)</f>
        <v>890</v>
      </c>
      <c r="J895" s="7" t="n">
        <f aca="false">IF(G895&gt;=0,A895,"")</f>
        <v>890</v>
      </c>
      <c r="K895" s="7" t="n">
        <f aca="false">IF(G895&lt;0,A895,0)</f>
        <v>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581289940</v>
      </c>
      <c r="D896" s="25" t="n">
        <f aca="false">('Chi phí'!$C$77+'Chi phí'!$D$77*B896+'Chi phí'!$E$77*A896+'Giả định'!$B$15*('Chi phí'!$F$77+'Chi phí'!$G$77*B896+'Chi phí'!$H$77*A896))*(1+'Giả định'!$B$16)</f>
        <v>724234940</v>
      </c>
      <c r="E896" s="25" t="n">
        <f aca="false">A896/'Giả định'!$B$19*'Giả định'!$B$20+A896*'Giả định'!$B$23+'Giả định'!$B$24</f>
        <v>658890756.302521</v>
      </c>
      <c r="F896" s="25" t="n">
        <f aca="false">E896-D896</f>
        <v>-65344183.697479</v>
      </c>
      <c r="G896" s="25" t="n">
        <f aca="false">E896-C896</f>
        <v>77600816.302521</v>
      </c>
      <c r="H896" s="7" t="str">
        <f aca="false">IF(F896&gt;=0,A896,"")</f>
        <v/>
      </c>
      <c r="I896" s="7" t="n">
        <f aca="false">IF(F896&lt;0,A896,0)</f>
        <v>891</v>
      </c>
      <c r="J896" s="7" t="n">
        <f aca="false">IF(G896&gt;=0,A896,"")</f>
        <v>891</v>
      </c>
      <c r="K896" s="7" t="n">
        <f aca="false">IF(G896&lt;0,A896,0)</f>
        <v>0</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581326680</v>
      </c>
      <c r="D897" s="25" t="n">
        <f aca="false">('Chi phí'!$C$77+'Chi phí'!$D$77*B897+'Chi phí'!$E$77*A897+'Giả định'!$B$15*('Chi phí'!$F$77+'Chi phí'!$G$77*B897+'Chi phí'!$H$77*A897))*(1+'Giả định'!$B$16)</f>
        <v>724271680</v>
      </c>
      <c r="E897" s="25" t="n">
        <f aca="false">A897/'Giả định'!$B$19*'Giả định'!$B$20+A897*'Giả định'!$B$23+'Giả định'!$B$24</f>
        <v>659630252.10084</v>
      </c>
      <c r="F897" s="25" t="n">
        <f aca="false">E897-D897</f>
        <v>-64641427.8991596</v>
      </c>
      <c r="G897" s="25" t="n">
        <f aca="false">E897-C897</f>
        <v>78303572.1008405</v>
      </c>
      <c r="H897" s="7" t="str">
        <f aca="false">IF(F897&gt;=0,A897,"")</f>
        <v/>
      </c>
      <c r="I897" s="7" t="n">
        <f aca="false">IF(F897&lt;0,A897,0)</f>
        <v>892</v>
      </c>
      <c r="J897" s="7" t="n">
        <f aca="false">IF(G897&gt;=0,A897,"")</f>
        <v>892</v>
      </c>
      <c r="K897" s="7" t="n">
        <f aca="false">IF(G897&lt;0,A897,0)</f>
        <v>0</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581363420</v>
      </c>
      <c r="D898" s="25" t="n">
        <f aca="false">('Chi phí'!$C$77+'Chi phí'!$D$77*B898+'Chi phí'!$E$77*A898+'Giả định'!$B$15*('Chi phí'!$F$77+'Chi phí'!$G$77*B898+'Chi phí'!$H$77*A898))*(1+'Giả định'!$B$16)</f>
        <v>724308420</v>
      </c>
      <c r="E898" s="25" t="n">
        <f aca="false">A898/'Giả định'!$B$19*'Giả định'!$B$20+A898*'Giả định'!$B$23+'Giả định'!$B$24</f>
        <v>660369747.89916</v>
      </c>
      <c r="F898" s="25" t="n">
        <f aca="false">E898-D898</f>
        <v>-63938672.1008402</v>
      </c>
      <c r="G898" s="25" t="n">
        <f aca="false">E898-C898</f>
        <v>79006327.8991598</v>
      </c>
      <c r="H898" s="7" t="str">
        <f aca="false">IF(F898&gt;=0,A898,"")</f>
        <v/>
      </c>
      <c r="I898" s="7" t="n">
        <f aca="false">IF(F898&lt;0,A898,0)</f>
        <v>893</v>
      </c>
      <c r="J898" s="7" t="n">
        <f aca="false">IF(G898&gt;=0,A898,"")</f>
        <v>893</v>
      </c>
      <c r="K898" s="7" t="n">
        <f aca="false">IF(G898&lt;0,A898,0)</f>
        <v>0</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581400160</v>
      </c>
      <c r="D899" s="25" t="n">
        <f aca="false">('Chi phí'!$C$77+'Chi phí'!$D$77*B899+'Chi phí'!$E$77*A899+'Giả định'!$B$15*('Chi phí'!$F$77+'Chi phí'!$G$77*B899+'Chi phí'!$H$77*A899))*(1+'Giả định'!$B$16)</f>
        <v>724345160</v>
      </c>
      <c r="E899" s="25" t="n">
        <f aca="false">A899/'Giả định'!$B$19*'Giả định'!$B$20+A899*'Giả định'!$B$23+'Giả định'!$B$24</f>
        <v>661109243.697479</v>
      </c>
      <c r="F899" s="25" t="n">
        <f aca="false">E899-D899</f>
        <v>-63235916.302521</v>
      </c>
      <c r="G899" s="25" t="n">
        <f aca="false">E899-C899</f>
        <v>79709083.697479</v>
      </c>
      <c r="H899" s="7" t="str">
        <f aca="false">IF(F899&gt;=0,A899,"")</f>
        <v/>
      </c>
      <c r="I899" s="7" t="n">
        <f aca="false">IF(F899&lt;0,A899,0)</f>
        <v>894</v>
      </c>
      <c r="J899" s="7" t="n">
        <f aca="false">IF(G899&gt;=0,A899,"")</f>
        <v>894</v>
      </c>
      <c r="K899" s="7" t="n">
        <f aca="false">IF(G899&lt;0,A899,0)</f>
        <v>0</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581436900</v>
      </c>
      <c r="D900" s="25" t="n">
        <f aca="false">('Chi phí'!$C$77+'Chi phí'!$D$77*B900+'Chi phí'!$E$77*A900+'Giả định'!$B$15*('Chi phí'!$F$77+'Chi phí'!$G$77*B900+'Chi phí'!$H$77*A900))*(1+'Giả định'!$B$16)</f>
        <v>724381900</v>
      </c>
      <c r="E900" s="25" t="n">
        <f aca="false">A900/'Giả định'!$B$19*'Giả định'!$B$20+A900*'Giả định'!$B$23+'Giả định'!$B$24</f>
        <v>661848739.495799</v>
      </c>
      <c r="F900" s="25" t="n">
        <f aca="false">E900-D900</f>
        <v>-62533160.5042015</v>
      </c>
      <c r="G900" s="25" t="n">
        <f aca="false">E900-C900</f>
        <v>80411839.4957985</v>
      </c>
      <c r="H900" s="7" t="str">
        <f aca="false">IF(F900&gt;=0,A900,"")</f>
        <v/>
      </c>
      <c r="I900" s="7" t="n">
        <f aca="false">IF(F900&lt;0,A900,0)</f>
        <v>895</v>
      </c>
      <c r="J900" s="7" t="n">
        <f aca="false">IF(G900&gt;=0,A900,"")</f>
        <v>895</v>
      </c>
      <c r="K900" s="7" t="n">
        <f aca="false">IF(G900&lt;0,A900,0)</f>
        <v>0</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581473640</v>
      </c>
      <c r="D901" s="25" t="n">
        <f aca="false">('Chi phí'!$C$77+'Chi phí'!$D$77*B901+'Chi phí'!$E$77*A901+'Giả định'!$B$15*('Chi phí'!$F$77+'Chi phí'!$G$77*B901+'Chi phí'!$H$77*A901))*(1+'Giả định'!$B$16)</f>
        <v>724418640</v>
      </c>
      <c r="E901" s="25" t="n">
        <f aca="false">A901/'Giả định'!$B$19*'Giả định'!$B$20+A901*'Giả định'!$B$23+'Giả định'!$B$24</f>
        <v>662588235.294118</v>
      </c>
      <c r="F901" s="25" t="n">
        <f aca="false">E901-D901</f>
        <v>-61830404.7058823</v>
      </c>
      <c r="G901" s="25" t="n">
        <f aca="false">E901-C901</f>
        <v>81114595.2941177</v>
      </c>
      <c r="H901" s="7" t="str">
        <f aca="false">IF(F901&gt;=0,A901,"")</f>
        <v/>
      </c>
      <c r="I901" s="7" t="n">
        <f aca="false">IF(F901&lt;0,A901,0)</f>
        <v>896</v>
      </c>
      <c r="J901" s="7" t="n">
        <f aca="false">IF(G901&gt;=0,A901,"")</f>
        <v>896</v>
      </c>
      <c r="K901" s="7" t="n">
        <f aca="false">IF(G901&lt;0,A901,0)</f>
        <v>0</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581510380</v>
      </c>
      <c r="D902" s="25" t="n">
        <f aca="false">('Chi phí'!$C$77+'Chi phí'!$D$77*B902+'Chi phí'!$E$77*A902+'Giả định'!$B$15*('Chi phí'!$F$77+'Chi phí'!$G$77*B902+'Chi phí'!$H$77*A902))*(1+'Giả định'!$B$16)</f>
        <v>724455380</v>
      </c>
      <c r="E902" s="25" t="n">
        <f aca="false">A902/'Giả định'!$B$19*'Giả định'!$B$20+A902*'Giả định'!$B$23+'Giả định'!$B$24</f>
        <v>663327731.092437</v>
      </c>
      <c r="F902" s="25" t="n">
        <f aca="false">E902-D902</f>
        <v>-61127648.907563</v>
      </c>
      <c r="G902" s="25" t="n">
        <f aca="false">E902-C902</f>
        <v>81817351.092437</v>
      </c>
      <c r="H902" s="7" t="str">
        <f aca="false">IF(F902&gt;=0,A902,"")</f>
        <v/>
      </c>
      <c r="I902" s="7" t="n">
        <f aca="false">IF(F902&lt;0,A902,0)</f>
        <v>897</v>
      </c>
      <c r="J902" s="7" t="n">
        <f aca="false">IF(G902&gt;=0,A902,"")</f>
        <v>897</v>
      </c>
      <c r="K902" s="7" t="n">
        <f aca="false">IF(G902&lt;0,A902,0)</f>
        <v>0</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581547120</v>
      </c>
      <c r="D903" s="25" t="n">
        <f aca="false">('Chi phí'!$C$77+'Chi phí'!$D$77*B903+'Chi phí'!$E$77*A903+'Giả định'!$B$15*('Chi phí'!$F$77+'Chi phí'!$G$77*B903+'Chi phí'!$H$77*A903))*(1+'Giả định'!$B$16)</f>
        <v>724492120</v>
      </c>
      <c r="E903" s="25" t="n">
        <f aca="false">A903/'Giả định'!$B$19*'Giả định'!$B$20+A903*'Giả định'!$B$23+'Giả định'!$B$24</f>
        <v>664067226.890756</v>
      </c>
      <c r="F903" s="25" t="n">
        <f aca="false">E903-D903</f>
        <v>-60424893.1092436</v>
      </c>
      <c r="G903" s="25" t="n">
        <f aca="false">E903-C903</f>
        <v>82520106.8907564</v>
      </c>
      <c r="H903" s="7" t="str">
        <f aca="false">IF(F903&gt;=0,A903,"")</f>
        <v/>
      </c>
      <c r="I903" s="7" t="n">
        <f aca="false">IF(F903&lt;0,A903,0)</f>
        <v>898</v>
      </c>
      <c r="J903" s="7" t="n">
        <f aca="false">IF(G903&gt;=0,A903,"")</f>
        <v>898</v>
      </c>
      <c r="K903" s="7" t="n">
        <f aca="false">IF(G903&lt;0,A903,0)</f>
        <v>0</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581583860</v>
      </c>
      <c r="D904" s="25" t="n">
        <f aca="false">('Chi phí'!$C$77+'Chi phí'!$D$77*B904+'Chi phí'!$E$77*A904+'Giả định'!$B$15*('Chi phí'!$F$77+'Chi phí'!$G$77*B904+'Chi phí'!$H$77*A904))*(1+'Giả định'!$B$16)</f>
        <v>724528860</v>
      </c>
      <c r="E904" s="25" t="n">
        <f aca="false">A904/'Giả định'!$B$19*'Giả định'!$B$20+A904*'Giả định'!$B$23+'Giả định'!$B$24</f>
        <v>664806722.689076</v>
      </c>
      <c r="F904" s="25" t="n">
        <f aca="false">E904-D904</f>
        <v>-59722137.3109243</v>
      </c>
      <c r="G904" s="25" t="n">
        <f aca="false">E904-C904</f>
        <v>83222862.6890757</v>
      </c>
      <c r="H904" s="7" t="str">
        <f aca="false">IF(F904&gt;=0,A904,"")</f>
        <v/>
      </c>
      <c r="I904" s="7" t="n">
        <f aca="false">IF(F904&lt;0,A904,0)</f>
        <v>899</v>
      </c>
      <c r="J904" s="7" t="n">
        <f aca="false">IF(G904&gt;=0,A904,"")</f>
        <v>899</v>
      </c>
      <c r="K904" s="7" t="n">
        <f aca="false">IF(G904&lt;0,A904,0)</f>
        <v>0</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581620600</v>
      </c>
      <c r="D905" s="25" t="n">
        <f aca="false">('Chi phí'!$C$77+'Chi phí'!$D$77*B905+'Chi phí'!$E$77*A905+'Giả định'!$B$15*('Chi phí'!$F$77+'Chi phí'!$G$77*B905+'Chi phí'!$H$77*A905))*(1+'Giả định'!$B$16)</f>
        <v>724565600</v>
      </c>
      <c r="E905" s="25" t="n">
        <f aca="false">A905/'Giả định'!$B$19*'Giả định'!$B$20+A905*'Giả định'!$B$23+'Giả định'!$B$24</f>
        <v>665546218.487395</v>
      </c>
      <c r="F905" s="25" t="n">
        <f aca="false">E905-D905</f>
        <v>-59019381.512605</v>
      </c>
      <c r="G905" s="25" t="n">
        <f aca="false">E905-C905</f>
        <v>83925618.4873951</v>
      </c>
      <c r="H905" s="7" t="str">
        <f aca="false">IF(F905&gt;=0,A905,"")</f>
        <v/>
      </c>
      <c r="I905" s="7" t="n">
        <f aca="false">IF(F905&lt;0,A905,0)</f>
        <v>900</v>
      </c>
      <c r="J905" s="7" t="n">
        <f aca="false">IF(G905&gt;=0,A905,"")</f>
        <v>900</v>
      </c>
      <c r="K905" s="7" t="n">
        <f aca="false">IF(G905&lt;0,A905,0)</f>
        <v>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587042940</v>
      </c>
      <c r="D906" s="25" t="n">
        <f aca="false">('Chi phí'!$C$77+'Chi phí'!$D$77*B906+'Chi phí'!$E$77*A906+'Giả định'!$B$15*('Chi phí'!$F$77+'Chi phí'!$G$77*B906+'Chi phí'!$H$77*A906))*(1+'Giả định'!$B$16)</f>
        <v>729987940</v>
      </c>
      <c r="E906" s="25" t="n">
        <f aca="false">A906/'Giả định'!$B$19*'Giả định'!$B$20+A906*'Giả định'!$B$23+'Giả định'!$B$24</f>
        <v>666285714.285714</v>
      </c>
      <c r="F906" s="25" t="n">
        <f aca="false">E906-D906</f>
        <v>-63702225.7142856</v>
      </c>
      <c r="G906" s="25" t="n">
        <f aca="false">E906-C906</f>
        <v>79242774.2857144</v>
      </c>
      <c r="H906" s="7" t="str">
        <f aca="false">IF(F906&gt;=0,A906,"")</f>
        <v/>
      </c>
      <c r="I906" s="7" t="n">
        <f aca="false">IF(F906&lt;0,A906,0)</f>
        <v>901</v>
      </c>
      <c r="J906" s="7" t="n">
        <f aca="false">IF(G906&gt;=0,A906,"")</f>
        <v>901</v>
      </c>
      <c r="K906" s="7" t="n">
        <f aca="false">IF(G906&lt;0,A906,0)</f>
        <v>0</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587079680</v>
      </c>
      <c r="D907" s="25" t="n">
        <f aca="false">('Chi phí'!$C$77+'Chi phí'!$D$77*B907+'Chi phí'!$E$77*A907+'Giả định'!$B$15*('Chi phí'!$F$77+'Chi phí'!$G$77*B907+'Chi phí'!$H$77*A907))*(1+'Giả định'!$B$16)</f>
        <v>730024680</v>
      </c>
      <c r="E907" s="25" t="n">
        <f aca="false">A907/'Giả định'!$B$19*'Giả định'!$B$20+A907*'Giả định'!$B$23+'Giả định'!$B$24</f>
        <v>667025210.084034</v>
      </c>
      <c r="F907" s="25" t="n">
        <f aca="false">E907-D907</f>
        <v>-62999469.9159663</v>
      </c>
      <c r="G907" s="25" t="n">
        <f aca="false">E907-C907</f>
        <v>79945530.0840337</v>
      </c>
      <c r="H907" s="7" t="str">
        <f aca="false">IF(F907&gt;=0,A907,"")</f>
        <v/>
      </c>
      <c r="I907" s="7" t="n">
        <f aca="false">IF(F907&lt;0,A907,0)</f>
        <v>902</v>
      </c>
      <c r="J907" s="7" t="n">
        <f aca="false">IF(G907&gt;=0,A907,"")</f>
        <v>902</v>
      </c>
      <c r="K907" s="7" t="n">
        <f aca="false">IF(G907&lt;0,A907,0)</f>
        <v>0</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587116420</v>
      </c>
      <c r="D908" s="25" t="n">
        <f aca="false">('Chi phí'!$C$77+'Chi phí'!$D$77*B908+'Chi phí'!$E$77*A908+'Giả định'!$B$15*('Chi phí'!$F$77+'Chi phí'!$G$77*B908+'Chi phí'!$H$77*A908))*(1+'Giả định'!$B$16)</f>
        <v>730061420</v>
      </c>
      <c r="E908" s="25" t="n">
        <f aca="false">A908/'Giả định'!$B$19*'Giả định'!$B$20+A908*'Giả định'!$B$23+'Giả định'!$B$24</f>
        <v>667764705.882353</v>
      </c>
      <c r="F908" s="25" t="n">
        <f aca="false">E908-D908</f>
        <v>-62296714.1176471</v>
      </c>
      <c r="G908" s="25" t="n">
        <f aca="false">E908-C908</f>
        <v>80648285.882353</v>
      </c>
      <c r="H908" s="7" t="str">
        <f aca="false">IF(F908&gt;=0,A908,"")</f>
        <v/>
      </c>
      <c r="I908" s="7" t="n">
        <f aca="false">IF(F908&lt;0,A908,0)</f>
        <v>903</v>
      </c>
      <c r="J908" s="7" t="n">
        <f aca="false">IF(G908&gt;=0,A908,"")</f>
        <v>903</v>
      </c>
      <c r="K908" s="7" t="n">
        <f aca="false">IF(G908&lt;0,A908,0)</f>
        <v>0</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587153160</v>
      </c>
      <c r="D909" s="25" t="n">
        <f aca="false">('Chi phí'!$C$77+'Chi phí'!$D$77*B909+'Chi phí'!$E$77*A909+'Giả định'!$B$15*('Chi phí'!$F$77+'Chi phí'!$G$77*B909+'Chi phí'!$H$77*A909))*(1+'Giả định'!$B$16)</f>
        <v>730098160</v>
      </c>
      <c r="E909" s="25" t="n">
        <f aca="false">A909/'Giả định'!$B$19*'Giả định'!$B$20+A909*'Giả định'!$B$23+'Giả định'!$B$24</f>
        <v>668504201.680672</v>
      </c>
      <c r="F909" s="25" t="n">
        <f aca="false">E909-D909</f>
        <v>-61593958.3193277</v>
      </c>
      <c r="G909" s="25" t="n">
        <f aca="false">E909-C909</f>
        <v>81351041.6806723</v>
      </c>
      <c r="H909" s="7" t="str">
        <f aca="false">IF(F909&gt;=0,A909,"")</f>
        <v/>
      </c>
      <c r="I909" s="7" t="n">
        <f aca="false">IF(F909&lt;0,A909,0)</f>
        <v>904</v>
      </c>
      <c r="J909" s="7" t="n">
        <f aca="false">IF(G909&gt;=0,A909,"")</f>
        <v>904</v>
      </c>
      <c r="K909" s="7" t="n">
        <f aca="false">IF(G909&lt;0,A909,0)</f>
        <v>0</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587189900</v>
      </c>
      <c r="D910" s="25" t="n">
        <f aca="false">('Chi phí'!$C$77+'Chi phí'!$D$77*B910+'Chi phí'!$E$77*A910+'Giả định'!$B$15*('Chi phí'!$F$77+'Chi phí'!$G$77*B910+'Chi phí'!$H$77*A910))*(1+'Giả định'!$B$16)</f>
        <v>730134900</v>
      </c>
      <c r="E910" s="25" t="n">
        <f aca="false">A910/'Giả định'!$B$19*'Giả định'!$B$20+A910*'Giả định'!$B$23+'Giả định'!$B$24</f>
        <v>669243697.478992</v>
      </c>
      <c r="F910" s="25" t="n">
        <f aca="false">E910-D910</f>
        <v>-60891202.5210084</v>
      </c>
      <c r="G910" s="25" t="n">
        <f aca="false">E910-C910</f>
        <v>82053797.4789916</v>
      </c>
      <c r="H910" s="7" t="str">
        <f aca="false">IF(F910&gt;=0,A910,"")</f>
        <v/>
      </c>
      <c r="I910" s="7" t="n">
        <f aca="false">IF(F910&lt;0,A910,0)</f>
        <v>905</v>
      </c>
      <c r="J910" s="7" t="n">
        <f aca="false">IF(G910&gt;=0,A910,"")</f>
        <v>905</v>
      </c>
      <c r="K910" s="7" t="n">
        <f aca="false">IF(G910&lt;0,A910,0)</f>
        <v>0</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587226640</v>
      </c>
      <c r="D911" s="25" t="n">
        <f aca="false">('Chi phí'!$C$77+'Chi phí'!$D$77*B911+'Chi phí'!$E$77*A911+'Giả định'!$B$15*('Chi phí'!$F$77+'Chi phí'!$G$77*B911+'Chi phí'!$H$77*A911))*(1+'Giả định'!$B$16)</f>
        <v>730171640</v>
      </c>
      <c r="E911" s="25" t="n">
        <f aca="false">A911/'Giả định'!$B$19*'Giả định'!$B$20+A911*'Giả định'!$B$23+'Giả định'!$B$24</f>
        <v>669983193.277311</v>
      </c>
      <c r="F911" s="25" t="n">
        <f aca="false">E911-D911</f>
        <v>-60188446.722689</v>
      </c>
      <c r="G911" s="25" t="n">
        <f aca="false">E911-C911</f>
        <v>82756553.277311</v>
      </c>
      <c r="H911" s="7" t="str">
        <f aca="false">IF(F911&gt;=0,A911,"")</f>
        <v/>
      </c>
      <c r="I911" s="7" t="n">
        <f aca="false">IF(F911&lt;0,A911,0)</f>
        <v>906</v>
      </c>
      <c r="J911" s="7" t="n">
        <f aca="false">IF(G911&gt;=0,A911,"")</f>
        <v>906</v>
      </c>
      <c r="K911" s="7" t="n">
        <f aca="false">IF(G911&lt;0,A911,0)</f>
        <v>0</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587263380</v>
      </c>
      <c r="D912" s="25" t="n">
        <f aca="false">('Chi phí'!$C$77+'Chi phí'!$D$77*B912+'Chi phí'!$E$77*A912+'Giả định'!$B$15*('Chi phí'!$F$77+'Chi phí'!$G$77*B912+'Chi phí'!$H$77*A912))*(1+'Giả định'!$B$16)</f>
        <v>730208380</v>
      </c>
      <c r="E912" s="25" t="n">
        <f aca="false">A912/'Giả định'!$B$19*'Giả định'!$B$20+A912*'Giả định'!$B$23+'Giả định'!$B$24</f>
        <v>670722689.07563</v>
      </c>
      <c r="F912" s="25" t="n">
        <f aca="false">E912-D912</f>
        <v>-59485690.9243697</v>
      </c>
      <c r="G912" s="25" t="n">
        <f aca="false">E912-C912</f>
        <v>83459309.0756303</v>
      </c>
      <c r="H912" s="7" t="str">
        <f aca="false">IF(F912&gt;=0,A912,"")</f>
        <v/>
      </c>
      <c r="I912" s="7" t="n">
        <f aca="false">IF(F912&lt;0,A912,0)</f>
        <v>907</v>
      </c>
      <c r="J912" s="7" t="n">
        <f aca="false">IF(G912&gt;=0,A912,"")</f>
        <v>907</v>
      </c>
      <c r="K912" s="7" t="n">
        <f aca="false">IF(G912&lt;0,A912,0)</f>
        <v>0</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587300120</v>
      </c>
      <c r="D913" s="25" t="n">
        <f aca="false">('Chi phí'!$C$77+'Chi phí'!$D$77*B913+'Chi phí'!$E$77*A913+'Giả định'!$B$15*('Chi phí'!$F$77+'Chi phí'!$G$77*B913+'Chi phí'!$H$77*A913))*(1+'Giả định'!$B$16)</f>
        <v>730245120</v>
      </c>
      <c r="E913" s="25" t="n">
        <f aca="false">A913/'Giả định'!$B$19*'Giả định'!$B$20+A913*'Giả định'!$B$23+'Giả định'!$B$24</f>
        <v>671462184.87395</v>
      </c>
      <c r="F913" s="25" t="n">
        <f aca="false">E913-D913</f>
        <v>-58782935.1260504</v>
      </c>
      <c r="G913" s="25" t="n">
        <f aca="false">E913-C913</f>
        <v>84162064.8739497</v>
      </c>
      <c r="H913" s="7" t="str">
        <f aca="false">IF(F913&gt;=0,A913,"")</f>
        <v/>
      </c>
      <c r="I913" s="7" t="n">
        <f aca="false">IF(F913&lt;0,A913,0)</f>
        <v>908</v>
      </c>
      <c r="J913" s="7" t="n">
        <f aca="false">IF(G913&gt;=0,A913,"")</f>
        <v>908</v>
      </c>
      <c r="K913" s="7" t="n">
        <f aca="false">IF(G913&lt;0,A913,0)</f>
        <v>0</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587336860</v>
      </c>
      <c r="D914" s="25" t="n">
        <f aca="false">('Chi phí'!$C$77+'Chi phí'!$D$77*B914+'Chi phí'!$E$77*A914+'Giả định'!$B$15*('Chi phí'!$F$77+'Chi phí'!$G$77*B914+'Chi phí'!$H$77*A914))*(1+'Giả định'!$B$16)</f>
        <v>730281860</v>
      </c>
      <c r="E914" s="25" t="n">
        <f aca="false">A914/'Giả định'!$B$19*'Giả định'!$B$20+A914*'Giả định'!$B$23+'Giả định'!$B$24</f>
        <v>672201680.672269</v>
      </c>
      <c r="F914" s="25" t="n">
        <f aca="false">E914-D914</f>
        <v>-58080179.327731</v>
      </c>
      <c r="G914" s="25" t="n">
        <f aca="false">E914-C914</f>
        <v>84864820.672269</v>
      </c>
      <c r="H914" s="7" t="str">
        <f aca="false">IF(F914&gt;=0,A914,"")</f>
        <v/>
      </c>
      <c r="I914" s="7" t="n">
        <f aca="false">IF(F914&lt;0,A914,0)</f>
        <v>909</v>
      </c>
      <c r="J914" s="7" t="n">
        <f aca="false">IF(G914&gt;=0,A914,"")</f>
        <v>909</v>
      </c>
      <c r="K914" s="7" t="n">
        <f aca="false">IF(G914&lt;0,A914,0)</f>
        <v>0</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587373600</v>
      </c>
      <c r="D915" s="25" t="n">
        <f aca="false">('Chi phí'!$C$77+'Chi phí'!$D$77*B915+'Chi phí'!$E$77*A915+'Giả định'!$B$15*('Chi phí'!$F$77+'Chi phí'!$G$77*B915+'Chi phí'!$H$77*A915))*(1+'Giả định'!$B$16)</f>
        <v>730318600</v>
      </c>
      <c r="E915" s="25" t="n">
        <f aca="false">A915/'Giả định'!$B$19*'Giả định'!$B$20+A915*'Giả định'!$B$23+'Giả định'!$B$24</f>
        <v>672941176.470588</v>
      </c>
      <c r="F915" s="25" t="n">
        <f aca="false">E915-D915</f>
        <v>-57377423.5294118</v>
      </c>
      <c r="G915" s="25" t="n">
        <f aca="false">E915-C915</f>
        <v>85567576.4705882</v>
      </c>
      <c r="H915" s="7" t="str">
        <f aca="false">IF(F915&gt;=0,A915,"")</f>
        <v/>
      </c>
      <c r="I915" s="7" t="n">
        <f aca="false">IF(F915&lt;0,A915,0)</f>
        <v>910</v>
      </c>
      <c r="J915" s="7" t="n">
        <f aca="false">IF(G915&gt;=0,A915,"")</f>
        <v>910</v>
      </c>
      <c r="K915" s="7" t="n">
        <f aca="false">IF(G915&lt;0,A915,0)</f>
        <v>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592795940</v>
      </c>
      <c r="D916" s="25" t="n">
        <f aca="false">('Chi phí'!$C$77+'Chi phí'!$D$77*B916+'Chi phí'!$E$77*A916+'Giả định'!$B$15*('Chi phí'!$F$77+'Chi phí'!$G$77*B916+'Chi phí'!$H$77*A916))*(1+'Giả định'!$B$16)</f>
        <v>735740940</v>
      </c>
      <c r="E916" s="25" t="n">
        <f aca="false">A916/'Giả định'!$B$19*'Giả định'!$B$20+A916*'Giả định'!$B$23+'Giả định'!$B$24</f>
        <v>673680672.268908</v>
      </c>
      <c r="F916" s="25" t="n">
        <f aca="false">E916-D916</f>
        <v>-62060267.7310925</v>
      </c>
      <c r="G916" s="25" t="n">
        <f aca="false">E916-C916</f>
        <v>80884732.2689076</v>
      </c>
      <c r="H916" s="7" t="str">
        <f aca="false">IF(F916&gt;=0,A916,"")</f>
        <v/>
      </c>
      <c r="I916" s="7" t="n">
        <f aca="false">IF(F916&lt;0,A916,0)</f>
        <v>911</v>
      </c>
      <c r="J916" s="7" t="n">
        <f aca="false">IF(G916&gt;=0,A916,"")</f>
        <v>911</v>
      </c>
      <c r="K916" s="7" t="n">
        <f aca="false">IF(G916&lt;0,A916,0)</f>
        <v>0</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592832680</v>
      </c>
      <c r="D917" s="25" t="n">
        <f aca="false">('Chi phí'!$C$77+'Chi phí'!$D$77*B917+'Chi phí'!$E$77*A917+'Giả định'!$B$15*('Chi phí'!$F$77+'Chi phí'!$G$77*B917+'Chi phí'!$H$77*A917))*(1+'Giả định'!$B$16)</f>
        <v>735777680</v>
      </c>
      <c r="E917" s="25" t="n">
        <f aca="false">A917/'Giả định'!$B$19*'Giả định'!$B$20+A917*'Giả định'!$B$23+'Giả định'!$B$24</f>
        <v>674420168.067227</v>
      </c>
      <c r="F917" s="25" t="n">
        <f aca="false">E917-D917</f>
        <v>-61357511.9327731</v>
      </c>
      <c r="G917" s="25" t="n">
        <f aca="false">E917-C917</f>
        <v>81587488.0672269</v>
      </c>
      <c r="H917" s="7" t="str">
        <f aca="false">IF(F917&gt;=0,A917,"")</f>
        <v/>
      </c>
      <c r="I917" s="7" t="n">
        <f aca="false">IF(F917&lt;0,A917,0)</f>
        <v>912</v>
      </c>
      <c r="J917" s="7" t="n">
        <f aca="false">IF(G917&gt;=0,A917,"")</f>
        <v>912</v>
      </c>
      <c r="K917" s="7" t="n">
        <f aca="false">IF(G917&lt;0,A917,0)</f>
        <v>0</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592869420</v>
      </c>
      <c r="D918" s="25" t="n">
        <f aca="false">('Chi phí'!$C$77+'Chi phí'!$D$77*B918+'Chi phí'!$E$77*A918+'Giả định'!$B$15*('Chi phí'!$F$77+'Chi phí'!$G$77*B918+'Chi phí'!$H$77*A918))*(1+'Giả định'!$B$16)</f>
        <v>735814420</v>
      </c>
      <c r="E918" s="25" t="n">
        <f aca="false">A918/'Giả định'!$B$19*'Giả định'!$B$20+A918*'Giả định'!$B$23+'Giả định'!$B$24</f>
        <v>675159663.865546</v>
      </c>
      <c r="F918" s="25" t="n">
        <f aca="false">E918-D918</f>
        <v>-60654756.1344538</v>
      </c>
      <c r="G918" s="25" t="n">
        <f aca="false">E918-C918</f>
        <v>82290243.8655462</v>
      </c>
      <c r="H918" s="7" t="str">
        <f aca="false">IF(F918&gt;=0,A918,"")</f>
        <v/>
      </c>
      <c r="I918" s="7" t="n">
        <f aca="false">IF(F918&lt;0,A918,0)</f>
        <v>913</v>
      </c>
      <c r="J918" s="7" t="n">
        <f aca="false">IF(G918&gt;=0,A918,"")</f>
        <v>913</v>
      </c>
      <c r="K918" s="7" t="n">
        <f aca="false">IF(G918&lt;0,A918,0)</f>
        <v>0</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592906160</v>
      </c>
      <c r="D919" s="25" t="n">
        <f aca="false">('Chi phí'!$C$77+'Chi phí'!$D$77*B919+'Chi phí'!$E$77*A919+'Giả định'!$B$15*('Chi phí'!$F$77+'Chi phí'!$G$77*B919+'Chi phí'!$H$77*A919))*(1+'Giả định'!$B$16)</f>
        <v>735851160</v>
      </c>
      <c r="E919" s="25" t="n">
        <f aca="false">A919/'Giả định'!$B$19*'Giả định'!$B$20+A919*'Giả định'!$B$23+'Giả định'!$B$24</f>
        <v>675899159.663866</v>
      </c>
      <c r="F919" s="25" t="n">
        <f aca="false">E919-D919</f>
        <v>-59952000.3361344</v>
      </c>
      <c r="G919" s="25" t="n">
        <f aca="false">E919-C919</f>
        <v>82992999.6638656</v>
      </c>
      <c r="H919" s="7" t="str">
        <f aca="false">IF(F919&gt;=0,A919,"")</f>
        <v/>
      </c>
      <c r="I919" s="7" t="n">
        <f aca="false">IF(F919&lt;0,A919,0)</f>
        <v>914</v>
      </c>
      <c r="J919" s="7" t="n">
        <f aca="false">IF(G919&gt;=0,A919,"")</f>
        <v>914</v>
      </c>
      <c r="K919" s="7" t="n">
        <f aca="false">IF(G919&lt;0,A919,0)</f>
        <v>0</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592942900</v>
      </c>
      <c r="D920" s="25" t="n">
        <f aca="false">('Chi phí'!$C$77+'Chi phí'!$D$77*B920+'Chi phí'!$E$77*A920+'Giả định'!$B$15*('Chi phí'!$F$77+'Chi phí'!$G$77*B920+'Chi phí'!$H$77*A920))*(1+'Giả định'!$B$16)</f>
        <v>735887900</v>
      </c>
      <c r="E920" s="25" t="n">
        <f aca="false">A920/'Giả định'!$B$19*'Giả định'!$B$20+A920*'Giả định'!$B$23+'Giả định'!$B$24</f>
        <v>676638655.462185</v>
      </c>
      <c r="F920" s="25" t="n">
        <f aca="false">E920-D920</f>
        <v>-59249244.5378151</v>
      </c>
      <c r="G920" s="25" t="n">
        <f aca="false">E920-C920</f>
        <v>83695755.4621849</v>
      </c>
      <c r="H920" s="7" t="str">
        <f aca="false">IF(F920&gt;=0,A920,"")</f>
        <v/>
      </c>
      <c r="I920" s="7" t="n">
        <f aca="false">IF(F920&lt;0,A920,0)</f>
        <v>915</v>
      </c>
      <c r="J920" s="7" t="n">
        <f aca="false">IF(G920&gt;=0,A920,"")</f>
        <v>915</v>
      </c>
      <c r="K920" s="7" t="n">
        <f aca="false">IF(G920&lt;0,A920,0)</f>
        <v>0</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592979640</v>
      </c>
      <c r="D921" s="25" t="n">
        <f aca="false">('Chi phí'!$C$77+'Chi phí'!$D$77*B921+'Chi phí'!$E$77*A921+'Giả định'!$B$15*('Chi phí'!$F$77+'Chi phí'!$G$77*B921+'Chi phí'!$H$77*A921))*(1+'Giả định'!$B$16)</f>
        <v>735924640</v>
      </c>
      <c r="E921" s="25" t="n">
        <f aca="false">A921/'Giả định'!$B$19*'Giả định'!$B$20+A921*'Giả định'!$B$23+'Giả định'!$B$24</f>
        <v>677378151.260504</v>
      </c>
      <c r="F921" s="25" t="n">
        <f aca="false">E921-D921</f>
        <v>-58546488.7394956</v>
      </c>
      <c r="G921" s="25" t="n">
        <f aca="false">E921-C921</f>
        <v>84398511.2605044</v>
      </c>
      <c r="H921" s="7" t="str">
        <f aca="false">IF(F921&gt;=0,A921,"")</f>
        <v/>
      </c>
      <c r="I921" s="7" t="n">
        <f aca="false">IF(F921&lt;0,A921,0)</f>
        <v>916</v>
      </c>
      <c r="J921" s="7" t="n">
        <f aca="false">IF(G921&gt;=0,A921,"")</f>
        <v>916</v>
      </c>
      <c r="K921" s="7" t="n">
        <f aca="false">IF(G921&lt;0,A921,0)</f>
        <v>0</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593016380</v>
      </c>
      <c r="D922" s="25" t="n">
        <f aca="false">('Chi phí'!$C$77+'Chi phí'!$D$77*B922+'Chi phí'!$E$77*A922+'Giả định'!$B$15*('Chi phí'!$F$77+'Chi phí'!$G$77*B922+'Chi phí'!$H$77*A922))*(1+'Giả định'!$B$16)</f>
        <v>735961380</v>
      </c>
      <c r="E922" s="25" t="n">
        <f aca="false">A922/'Giả định'!$B$19*'Giả định'!$B$20+A922*'Giả định'!$B$23+'Giả định'!$B$24</f>
        <v>678117647.058824</v>
      </c>
      <c r="F922" s="25" t="n">
        <f aca="false">E922-D922</f>
        <v>-57843732.9411764</v>
      </c>
      <c r="G922" s="25" t="n">
        <f aca="false">E922-C922</f>
        <v>85101267.0588236</v>
      </c>
      <c r="H922" s="7" t="str">
        <f aca="false">IF(F922&gt;=0,A922,"")</f>
        <v/>
      </c>
      <c r="I922" s="7" t="n">
        <f aca="false">IF(F922&lt;0,A922,0)</f>
        <v>917</v>
      </c>
      <c r="J922" s="7" t="n">
        <f aca="false">IF(G922&gt;=0,A922,"")</f>
        <v>917</v>
      </c>
      <c r="K922" s="7" t="n">
        <f aca="false">IF(G922&lt;0,A922,0)</f>
        <v>0</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593053120</v>
      </c>
      <c r="D923" s="25" t="n">
        <f aca="false">('Chi phí'!$C$77+'Chi phí'!$D$77*B923+'Chi phí'!$E$77*A923+'Giả định'!$B$15*('Chi phí'!$F$77+'Chi phí'!$G$77*B923+'Chi phí'!$H$77*A923))*(1+'Giả định'!$B$16)</f>
        <v>735998120</v>
      </c>
      <c r="E923" s="25" t="n">
        <f aca="false">A923/'Giả định'!$B$19*'Giả định'!$B$20+A923*'Giả định'!$B$23+'Giả định'!$B$24</f>
        <v>678857142.857143</v>
      </c>
      <c r="F923" s="25" t="n">
        <f aca="false">E923-D923</f>
        <v>-57140977.1428571</v>
      </c>
      <c r="G923" s="25" t="n">
        <f aca="false">E923-C923</f>
        <v>85804022.8571429</v>
      </c>
      <c r="H923" s="7" t="str">
        <f aca="false">IF(F923&gt;=0,A923,"")</f>
        <v/>
      </c>
      <c r="I923" s="7" t="n">
        <f aca="false">IF(F923&lt;0,A923,0)</f>
        <v>918</v>
      </c>
      <c r="J923" s="7" t="n">
        <f aca="false">IF(G923&gt;=0,A923,"")</f>
        <v>918</v>
      </c>
      <c r="K923" s="7" t="n">
        <f aca="false">IF(G923&lt;0,A923,0)</f>
        <v>0</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593089860</v>
      </c>
      <c r="D924" s="25" t="n">
        <f aca="false">('Chi phí'!$C$77+'Chi phí'!$D$77*B924+'Chi phí'!$E$77*A924+'Giả định'!$B$15*('Chi phí'!$F$77+'Chi phí'!$G$77*B924+'Chi phí'!$H$77*A924))*(1+'Giả định'!$B$16)</f>
        <v>736034860</v>
      </c>
      <c r="E924" s="25" t="n">
        <f aca="false">A924/'Giả định'!$B$19*'Giả định'!$B$20+A924*'Giả định'!$B$23+'Giả định'!$B$24</f>
        <v>679596638.655462</v>
      </c>
      <c r="F924" s="25" t="n">
        <f aca="false">E924-D924</f>
        <v>-56438221.3445377</v>
      </c>
      <c r="G924" s="25" t="n">
        <f aca="false">E924-C924</f>
        <v>86506778.6554623</v>
      </c>
      <c r="H924" s="7" t="str">
        <f aca="false">IF(F924&gt;=0,A924,"")</f>
        <v/>
      </c>
      <c r="I924" s="7" t="n">
        <f aca="false">IF(F924&lt;0,A924,0)</f>
        <v>919</v>
      </c>
      <c r="J924" s="7" t="n">
        <f aca="false">IF(G924&gt;=0,A924,"")</f>
        <v>919</v>
      </c>
      <c r="K924" s="7" t="n">
        <f aca="false">IF(G924&lt;0,A924,0)</f>
        <v>0</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593126600</v>
      </c>
      <c r="D925" s="25" t="n">
        <f aca="false">('Chi phí'!$C$77+'Chi phí'!$D$77*B925+'Chi phí'!$E$77*A925+'Giả định'!$B$15*('Chi phí'!$F$77+'Chi phí'!$G$77*B925+'Chi phí'!$H$77*A925))*(1+'Giả định'!$B$16)</f>
        <v>736071600</v>
      </c>
      <c r="E925" s="25" t="n">
        <f aca="false">A925/'Giả định'!$B$19*'Giả định'!$B$20+A925*'Giả định'!$B$23+'Giả định'!$B$24</f>
        <v>680336134.453782</v>
      </c>
      <c r="F925" s="25" t="n">
        <f aca="false">E925-D925</f>
        <v>-55735465.5462184</v>
      </c>
      <c r="G925" s="25" t="n">
        <f aca="false">E925-C925</f>
        <v>87209534.4537816</v>
      </c>
      <c r="H925" s="7" t="str">
        <f aca="false">IF(F925&gt;=0,A925,"")</f>
        <v/>
      </c>
      <c r="I925" s="7" t="n">
        <f aca="false">IF(F925&lt;0,A925,0)</f>
        <v>920</v>
      </c>
      <c r="J925" s="7" t="n">
        <f aca="false">IF(G925&gt;=0,A925,"")</f>
        <v>920</v>
      </c>
      <c r="K925" s="7" t="n">
        <f aca="false">IF(G925&lt;0,A925,0)</f>
        <v>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598548940</v>
      </c>
      <c r="D926" s="25" t="n">
        <f aca="false">('Chi phí'!$C$77+'Chi phí'!$D$77*B926+'Chi phí'!$E$77*A926+'Giả định'!$B$15*('Chi phí'!$F$77+'Chi phí'!$G$77*B926+'Chi phí'!$H$77*A926))*(1+'Giả định'!$B$16)</f>
        <v>741493940</v>
      </c>
      <c r="E926" s="25" t="n">
        <f aca="false">A926/'Giả định'!$B$19*'Giả định'!$B$20+A926*'Giả định'!$B$23+'Giả định'!$B$24</f>
        <v>681075630.252101</v>
      </c>
      <c r="F926" s="25" t="n">
        <f aca="false">E926-D926</f>
        <v>-60418309.7478992</v>
      </c>
      <c r="G926" s="25" t="n">
        <f aca="false">E926-C926</f>
        <v>82526690.2521009</v>
      </c>
      <c r="H926" s="7" t="str">
        <f aca="false">IF(F926&gt;=0,A926,"")</f>
        <v/>
      </c>
      <c r="I926" s="7" t="n">
        <f aca="false">IF(F926&lt;0,A926,0)</f>
        <v>921</v>
      </c>
      <c r="J926" s="7" t="n">
        <f aca="false">IF(G926&gt;=0,A926,"")</f>
        <v>921</v>
      </c>
      <c r="K926" s="7" t="n">
        <f aca="false">IF(G926&lt;0,A926,0)</f>
        <v>0</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598585680</v>
      </c>
      <c r="D927" s="25" t="n">
        <f aca="false">('Chi phí'!$C$77+'Chi phí'!$D$77*B927+'Chi phí'!$E$77*A927+'Giả định'!$B$15*('Chi phí'!$F$77+'Chi phí'!$G$77*B927+'Chi phí'!$H$77*A927))*(1+'Giả định'!$B$16)</f>
        <v>741530680</v>
      </c>
      <c r="E927" s="25" t="n">
        <f aca="false">A927/'Giả định'!$B$19*'Giả định'!$B$20+A927*'Giả định'!$B$23+'Giả định'!$B$24</f>
        <v>681815126.05042</v>
      </c>
      <c r="F927" s="25" t="n">
        <f aca="false">E927-D927</f>
        <v>-59715553.9495798</v>
      </c>
      <c r="G927" s="25" t="n">
        <f aca="false">E927-C927</f>
        <v>83229446.0504203</v>
      </c>
      <c r="H927" s="7" t="str">
        <f aca="false">IF(F927&gt;=0,A927,"")</f>
        <v/>
      </c>
      <c r="I927" s="7" t="n">
        <f aca="false">IF(F927&lt;0,A927,0)</f>
        <v>922</v>
      </c>
      <c r="J927" s="7" t="n">
        <f aca="false">IF(G927&gt;=0,A927,"")</f>
        <v>922</v>
      </c>
      <c r="K927" s="7" t="n">
        <f aca="false">IF(G927&lt;0,A927,0)</f>
        <v>0</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598622420</v>
      </c>
      <c r="D928" s="25" t="n">
        <f aca="false">('Chi phí'!$C$77+'Chi phí'!$D$77*B928+'Chi phí'!$E$77*A928+'Giả định'!$B$15*('Chi phí'!$F$77+'Chi phí'!$G$77*B928+'Chi phí'!$H$77*A928))*(1+'Giả định'!$B$16)</f>
        <v>741567420</v>
      </c>
      <c r="E928" s="25" t="n">
        <f aca="false">A928/'Giả định'!$B$19*'Giả định'!$B$20+A928*'Giả định'!$B$23+'Giả định'!$B$24</f>
        <v>682554621.84874</v>
      </c>
      <c r="F928" s="25" t="n">
        <f aca="false">E928-D928</f>
        <v>-59012798.1512605</v>
      </c>
      <c r="G928" s="25" t="n">
        <f aca="false">E928-C928</f>
        <v>83932201.8487396</v>
      </c>
      <c r="H928" s="7" t="str">
        <f aca="false">IF(F928&gt;=0,A928,"")</f>
        <v/>
      </c>
      <c r="I928" s="7" t="n">
        <f aca="false">IF(F928&lt;0,A928,0)</f>
        <v>923</v>
      </c>
      <c r="J928" s="7" t="n">
        <f aca="false">IF(G928&gt;=0,A928,"")</f>
        <v>923</v>
      </c>
      <c r="K928" s="7" t="n">
        <f aca="false">IF(G928&lt;0,A928,0)</f>
        <v>0</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598659160</v>
      </c>
      <c r="D929" s="25" t="n">
        <f aca="false">('Chi phí'!$C$77+'Chi phí'!$D$77*B929+'Chi phí'!$E$77*A929+'Giả định'!$B$15*('Chi phí'!$F$77+'Chi phí'!$G$77*B929+'Chi phí'!$H$77*A929))*(1+'Giả định'!$B$16)</f>
        <v>741604160</v>
      </c>
      <c r="E929" s="25" t="n">
        <f aca="false">A929/'Giả định'!$B$19*'Giả định'!$B$20+A929*'Giả định'!$B$23+'Giả định'!$B$24</f>
        <v>683294117.647059</v>
      </c>
      <c r="F929" s="25" t="n">
        <f aca="false">E929-D929</f>
        <v>-58310042.3529413</v>
      </c>
      <c r="G929" s="25" t="n">
        <f aca="false">E929-C929</f>
        <v>84634957.6470588</v>
      </c>
      <c r="H929" s="7" t="str">
        <f aca="false">IF(F929&gt;=0,A929,"")</f>
        <v/>
      </c>
      <c r="I929" s="7" t="n">
        <f aca="false">IF(F929&lt;0,A929,0)</f>
        <v>924</v>
      </c>
      <c r="J929" s="7" t="n">
        <f aca="false">IF(G929&gt;=0,A929,"")</f>
        <v>924</v>
      </c>
      <c r="K929" s="7" t="n">
        <f aca="false">IF(G929&lt;0,A929,0)</f>
        <v>0</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598695900</v>
      </c>
      <c r="D930" s="25" t="n">
        <f aca="false">('Chi phí'!$C$77+'Chi phí'!$D$77*B930+'Chi phí'!$E$77*A930+'Giả định'!$B$15*('Chi phí'!$F$77+'Chi phí'!$G$77*B930+'Chi phí'!$H$77*A930))*(1+'Giả định'!$B$16)</f>
        <v>741640900</v>
      </c>
      <c r="E930" s="25" t="n">
        <f aca="false">A930/'Giả định'!$B$19*'Giả định'!$B$20+A930*'Giả định'!$B$23+'Giả định'!$B$24</f>
        <v>684033613.445378</v>
      </c>
      <c r="F930" s="25" t="n">
        <f aca="false">E930-D930</f>
        <v>-57607286.5546219</v>
      </c>
      <c r="G930" s="25" t="n">
        <f aca="false">E930-C930</f>
        <v>85337713.4453782</v>
      </c>
      <c r="H930" s="7" t="str">
        <f aca="false">IF(F930&gt;=0,A930,"")</f>
        <v/>
      </c>
      <c r="I930" s="7" t="n">
        <f aca="false">IF(F930&lt;0,A930,0)</f>
        <v>925</v>
      </c>
      <c r="J930" s="7" t="n">
        <f aca="false">IF(G930&gt;=0,A930,"")</f>
        <v>925</v>
      </c>
      <c r="K930" s="7" t="n">
        <f aca="false">IF(G930&lt;0,A930,0)</f>
        <v>0</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598732640</v>
      </c>
      <c r="D931" s="25" t="n">
        <f aca="false">('Chi phí'!$C$77+'Chi phí'!$D$77*B931+'Chi phí'!$E$77*A931+'Giả định'!$B$15*('Chi phí'!$F$77+'Chi phí'!$G$77*B931+'Chi phí'!$H$77*A931))*(1+'Giả định'!$B$16)</f>
        <v>741677640</v>
      </c>
      <c r="E931" s="25" t="n">
        <f aca="false">A931/'Giả định'!$B$19*'Giả định'!$B$20+A931*'Giả định'!$B$23+'Giả định'!$B$24</f>
        <v>684773109.243698</v>
      </c>
      <c r="F931" s="25" t="n">
        <f aca="false">E931-D931</f>
        <v>-56904530.7563026</v>
      </c>
      <c r="G931" s="25" t="n">
        <f aca="false">E931-C931</f>
        <v>86040469.2436975</v>
      </c>
      <c r="H931" s="7" t="str">
        <f aca="false">IF(F931&gt;=0,A931,"")</f>
        <v/>
      </c>
      <c r="I931" s="7" t="n">
        <f aca="false">IF(F931&lt;0,A931,0)</f>
        <v>926</v>
      </c>
      <c r="J931" s="7" t="n">
        <f aca="false">IF(G931&gt;=0,A931,"")</f>
        <v>926</v>
      </c>
      <c r="K931" s="7" t="n">
        <f aca="false">IF(G931&lt;0,A931,0)</f>
        <v>0</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598769380</v>
      </c>
      <c r="D932" s="25" t="n">
        <f aca="false">('Chi phí'!$C$77+'Chi phí'!$D$77*B932+'Chi phí'!$E$77*A932+'Giả định'!$B$15*('Chi phí'!$F$77+'Chi phí'!$G$77*B932+'Chi phí'!$H$77*A932))*(1+'Giả định'!$B$16)</f>
        <v>741714380</v>
      </c>
      <c r="E932" s="25" t="n">
        <f aca="false">A932/'Giả định'!$B$19*'Giả định'!$B$20+A932*'Giả định'!$B$23+'Giả định'!$B$24</f>
        <v>685512605.042017</v>
      </c>
      <c r="F932" s="25" t="n">
        <f aca="false">E932-D932</f>
        <v>-56201774.9579833</v>
      </c>
      <c r="G932" s="25" t="n">
        <f aca="false">E932-C932</f>
        <v>86743225.0420169</v>
      </c>
      <c r="H932" s="7" t="str">
        <f aca="false">IF(F932&gt;=0,A932,"")</f>
        <v/>
      </c>
      <c r="I932" s="7" t="n">
        <f aca="false">IF(F932&lt;0,A932,0)</f>
        <v>927</v>
      </c>
      <c r="J932" s="7" t="n">
        <f aca="false">IF(G932&gt;=0,A932,"")</f>
        <v>927</v>
      </c>
      <c r="K932" s="7" t="n">
        <f aca="false">IF(G932&lt;0,A932,0)</f>
        <v>0</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598806120</v>
      </c>
      <c r="D933" s="25" t="n">
        <f aca="false">('Chi phí'!$C$77+'Chi phí'!$D$77*B933+'Chi phí'!$E$77*A933+'Giả định'!$B$15*('Chi phí'!$F$77+'Chi phí'!$G$77*B933+'Chi phí'!$H$77*A933))*(1+'Giả định'!$B$16)</f>
        <v>741751120</v>
      </c>
      <c r="E933" s="25" t="n">
        <f aca="false">A933/'Giả định'!$B$19*'Giả định'!$B$20+A933*'Giả định'!$B$23+'Giả định'!$B$24</f>
        <v>686252100.840336</v>
      </c>
      <c r="F933" s="25" t="n">
        <f aca="false">E933-D933</f>
        <v>-55499019.1596639</v>
      </c>
      <c r="G933" s="25" t="n">
        <f aca="false">E933-C933</f>
        <v>87445980.8403362</v>
      </c>
      <c r="H933" s="7" t="str">
        <f aca="false">IF(F933&gt;=0,A933,"")</f>
        <v/>
      </c>
      <c r="I933" s="7" t="n">
        <f aca="false">IF(F933&lt;0,A933,0)</f>
        <v>928</v>
      </c>
      <c r="J933" s="7" t="n">
        <f aca="false">IF(G933&gt;=0,A933,"")</f>
        <v>928</v>
      </c>
      <c r="K933" s="7" t="n">
        <f aca="false">IF(G933&lt;0,A933,0)</f>
        <v>0</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598842860</v>
      </c>
      <c r="D934" s="25" t="n">
        <f aca="false">('Chi phí'!$C$77+'Chi phí'!$D$77*B934+'Chi phí'!$E$77*A934+'Giả định'!$B$15*('Chi phí'!$F$77+'Chi phí'!$G$77*B934+'Chi phí'!$H$77*A934))*(1+'Giả định'!$B$16)</f>
        <v>741787860</v>
      </c>
      <c r="E934" s="25" t="n">
        <f aca="false">A934/'Giả định'!$B$19*'Giả định'!$B$20+A934*'Giả định'!$B$23+'Giả định'!$B$24</f>
        <v>686991596.638656</v>
      </c>
      <c r="F934" s="25" t="n">
        <f aca="false">E934-D934</f>
        <v>-54796263.3613446</v>
      </c>
      <c r="G934" s="25" t="n">
        <f aca="false">E934-C934</f>
        <v>88148736.6386555</v>
      </c>
      <c r="H934" s="7" t="str">
        <f aca="false">IF(F934&gt;=0,A934,"")</f>
        <v/>
      </c>
      <c r="I934" s="7" t="n">
        <f aca="false">IF(F934&lt;0,A934,0)</f>
        <v>929</v>
      </c>
      <c r="J934" s="7" t="n">
        <f aca="false">IF(G934&gt;=0,A934,"")</f>
        <v>929</v>
      </c>
      <c r="K934" s="7" t="n">
        <f aca="false">IF(G934&lt;0,A934,0)</f>
        <v>0</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598879600</v>
      </c>
      <c r="D935" s="25" t="n">
        <f aca="false">('Chi phí'!$C$77+'Chi phí'!$D$77*B935+'Chi phí'!$E$77*A935+'Giả định'!$B$15*('Chi phí'!$F$77+'Chi phí'!$G$77*B935+'Chi phí'!$H$77*A935))*(1+'Giả định'!$B$16)</f>
        <v>741824600</v>
      </c>
      <c r="E935" s="25" t="n">
        <f aca="false">A935/'Giả định'!$B$19*'Giả định'!$B$20+A935*'Giả định'!$B$23+'Giả định'!$B$24</f>
        <v>687731092.436975</v>
      </c>
      <c r="F935" s="25" t="n">
        <f aca="false">E935-D935</f>
        <v>-54093507.5630252</v>
      </c>
      <c r="G935" s="25" t="n">
        <f aca="false">E935-C935</f>
        <v>88851492.4369749</v>
      </c>
      <c r="H935" s="7" t="str">
        <f aca="false">IF(F935&gt;=0,A935,"")</f>
        <v/>
      </c>
      <c r="I935" s="7" t="n">
        <f aca="false">IF(F935&lt;0,A935,0)</f>
        <v>930</v>
      </c>
      <c r="J935" s="7" t="n">
        <f aca="false">IF(G935&gt;=0,A935,"")</f>
        <v>930</v>
      </c>
      <c r="K935" s="7" t="n">
        <f aca="false">IF(G935&lt;0,A935,0)</f>
        <v>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604301940</v>
      </c>
      <c r="D936" s="25" t="n">
        <f aca="false">('Chi phí'!$C$77+'Chi phí'!$D$77*B936+'Chi phí'!$E$77*A936+'Giả định'!$B$15*('Chi phí'!$F$77+'Chi phí'!$G$77*B936+'Chi phí'!$H$77*A936))*(1+'Giả định'!$B$16)</f>
        <v>747246940</v>
      </c>
      <c r="E936" s="25" t="n">
        <f aca="false">A936/'Giả định'!$B$19*'Giả định'!$B$20+A936*'Giả định'!$B$23+'Giả định'!$B$24</f>
        <v>688470588.235294</v>
      </c>
      <c r="F936" s="25" t="n">
        <f aca="false">E936-D936</f>
        <v>-58776351.764706</v>
      </c>
      <c r="G936" s="25" t="n">
        <f aca="false">E936-C936</f>
        <v>84168648.2352941</v>
      </c>
      <c r="H936" s="7" t="str">
        <f aca="false">IF(F936&gt;=0,A936,"")</f>
        <v/>
      </c>
      <c r="I936" s="7" t="n">
        <f aca="false">IF(F936&lt;0,A936,0)</f>
        <v>931</v>
      </c>
      <c r="J936" s="7" t="n">
        <f aca="false">IF(G936&gt;=0,A936,"")</f>
        <v>931</v>
      </c>
      <c r="K936" s="7" t="n">
        <f aca="false">IF(G936&lt;0,A936,0)</f>
        <v>0</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604338680</v>
      </c>
      <c r="D937" s="25" t="n">
        <f aca="false">('Chi phí'!$C$77+'Chi phí'!$D$77*B937+'Chi phí'!$E$77*A937+'Giả định'!$B$15*('Chi phí'!$F$77+'Chi phí'!$G$77*B937+'Chi phí'!$H$77*A937))*(1+'Giả định'!$B$16)</f>
        <v>747283680</v>
      </c>
      <c r="E937" s="25" t="n">
        <f aca="false">A937/'Giả định'!$B$19*'Giả định'!$B$20+A937*'Giả định'!$B$23+'Giả định'!$B$24</f>
        <v>689210084.033613</v>
      </c>
      <c r="F937" s="25" t="n">
        <f aca="false">E937-D937</f>
        <v>-58073595.9663867</v>
      </c>
      <c r="G937" s="25" t="n">
        <f aca="false">E937-C937</f>
        <v>84871404.0336134</v>
      </c>
      <c r="H937" s="7" t="str">
        <f aca="false">IF(F937&gt;=0,A937,"")</f>
        <v/>
      </c>
      <c r="I937" s="7" t="n">
        <f aca="false">IF(F937&lt;0,A937,0)</f>
        <v>932</v>
      </c>
      <c r="J937" s="7" t="n">
        <f aca="false">IF(G937&gt;=0,A937,"")</f>
        <v>932</v>
      </c>
      <c r="K937" s="7" t="n">
        <f aca="false">IF(G937&lt;0,A937,0)</f>
        <v>0</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604375420</v>
      </c>
      <c r="D938" s="25" t="n">
        <f aca="false">('Chi phí'!$C$77+'Chi phí'!$D$77*B938+'Chi phí'!$E$77*A938+'Giả định'!$B$15*('Chi phí'!$F$77+'Chi phí'!$G$77*B938+'Chi phí'!$H$77*A938))*(1+'Giả định'!$B$16)</f>
        <v>747320420</v>
      </c>
      <c r="E938" s="25" t="n">
        <f aca="false">A938/'Giả định'!$B$19*'Giả định'!$B$20+A938*'Giả định'!$B$23+'Giả định'!$B$24</f>
        <v>689949579.831933</v>
      </c>
      <c r="F938" s="25" t="n">
        <f aca="false">E938-D938</f>
        <v>-57370840.1680673</v>
      </c>
      <c r="G938" s="25" t="n">
        <f aca="false">E938-C938</f>
        <v>85574159.8319328</v>
      </c>
      <c r="H938" s="7" t="str">
        <f aca="false">IF(F938&gt;=0,A938,"")</f>
        <v/>
      </c>
      <c r="I938" s="7" t="n">
        <f aca="false">IF(F938&lt;0,A938,0)</f>
        <v>933</v>
      </c>
      <c r="J938" s="7" t="n">
        <f aca="false">IF(G938&gt;=0,A938,"")</f>
        <v>933</v>
      </c>
      <c r="K938" s="7" t="n">
        <f aca="false">IF(G938&lt;0,A938,0)</f>
        <v>0</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604412160</v>
      </c>
      <c r="D939" s="25" t="n">
        <f aca="false">('Chi phí'!$C$77+'Chi phí'!$D$77*B939+'Chi phí'!$E$77*A939+'Giả định'!$B$15*('Chi phí'!$F$77+'Chi phí'!$G$77*B939+'Chi phí'!$H$77*A939))*(1+'Giả định'!$B$16)</f>
        <v>747357160</v>
      </c>
      <c r="E939" s="25" t="n">
        <f aca="false">A939/'Giả định'!$B$19*'Giả định'!$B$20+A939*'Giả định'!$B$23+'Giả định'!$B$24</f>
        <v>690689075.630252</v>
      </c>
      <c r="F939" s="25" t="n">
        <f aca="false">E939-D939</f>
        <v>-56668084.369748</v>
      </c>
      <c r="G939" s="25" t="n">
        <f aca="false">E939-C939</f>
        <v>86276915.6302521</v>
      </c>
      <c r="H939" s="7" t="str">
        <f aca="false">IF(F939&gt;=0,A939,"")</f>
        <v/>
      </c>
      <c r="I939" s="7" t="n">
        <f aca="false">IF(F939&lt;0,A939,0)</f>
        <v>934</v>
      </c>
      <c r="J939" s="7" t="n">
        <f aca="false">IF(G939&gt;=0,A939,"")</f>
        <v>934</v>
      </c>
      <c r="K939" s="7" t="n">
        <f aca="false">IF(G939&lt;0,A939,0)</f>
        <v>0</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604448900</v>
      </c>
      <c r="D940" s="25" t="n">
        <f aca="false">('Chi phí'!$C$77+'Chi phí'!$D$77*B940+'Chi phí'!$E$77*A940+'Giả định'!$B$15*('Chi phí'!$F$77+'Chi phí'!$G$77*B940+'Chi phí'!$H$77*A940))*(1+'Giả định'!$B$16)</f>
        <v>747393900</v>
      </c>
      <c r="E940" s="25" t="n">
        <f aca="false">A940/'Giả định'!$B$19*'Giả định'!$B$20+A940*'Giả định'!$B$23+'Giả định'!$B$24</f>
        <v>691428571.428572</v>
      </c>
      <c r="F940" s="25" t="n">
        <f aca="false">E940-D940</f>
        <v>-55965328.5714287</v>
      </c>
      <c r="G940" s="25" t="n">
        <f aca="false">E940-C940</f>
        <v>86979671.4285715</v>
      </c>
      <c r="H940" s="7" t="str">
        <f aca="false">IF(F940&gt;=0,A940,"")</f>
        <v/>
      </c>
      <c r="I940" s="7" t="n">
        <f aca="false">IF(F940&lt;0,A940,0)</f>
        <v>935</v>
      </c>
      <c r="J940" s="7" t="n">
        <f aca="false">IF(G940&gt;=0,A940,"")</f>
        <v>935</v>
      </c>
      <c r="K940" s="7" t="n">
        <f aca="false">IF(G940&lt;0,A940,0)</f>
        <v>0</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604485640</v>
      </c>
      <c r="D941" s="25" t="n">
        <f aca="false">('Chi phí'!$C$77+'Chi phí'!$D$77*B941+'Chi phí'!$E$77*A941+'Giả định'!$B$15*('Chi phí'!$F$77+'Chi phí'!$G$77*B941+'Chi phí'!$H$77*A941))*(1+'Giả định'!$B$16)</f>
        <v>747430640</v>
      </c>
      <c r="E941" s="25" t="n">
        <f aca="false">A941/'Giả định'!$B$19*'Giả định'!$B$20+A941*'Giả định'!$B$23+'Giả định'!$B$24</f>
        <v>692168067.226891</v>
      </c>
      <c r="F941" s="25" t="n">
        <f aca="false">E941-D941</f>
        <v>-55262572.7731093</v>
      </c>
      <c r="G941" s="25" t="n">
        <f aca="false">E941-C941</f>
        <v>87682427.2268908</v>
      </c>
      <c r="H941" s="7" t="str">
        <f aca="false">IF(F941&gt;=0,A941,"")</f>
        <v/>
      </c>
      <c r="I941" s="7" t="n">
        <f aca="false">IF(F941&lt;0,A941,0)</f>
        <v>936</v>
      </c>
      <c r="J941" s="7" t="n">
        <f aca="false">IF(G941&gt;=0,A941,"")</f>
        <v>936</v>
      </c>
      <c r="K941" s="7" t="n">
        <f aca="false">IF(G941&lt;0,A941,0)</f>
        <v>0</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604522380</v>
      </c>
      <c r="D942" s="25" t="n">
        <f aca="false">('Chi phí'!$C$77+'Chi phí'!$D$77*B942+'Chi phí'!$E$77*A942+'Giả định'!$B$15*('Chi phí'!$F$77+'Chi phí'!$G$77*B942+'Chi phí'!$H$77*A942))*(1+'Giả định'!$B$16)</f>
        <v>747467380</v>
      </c>
      <c r="E942" s="25" t="n">
        <f aca="false">A942/'Giả định'!$B$19*'Giả định'!$B$20+A942*'Giả định'!$B$23+'Giả định'!$B$24</f>
        <v>692907563.02521</v>
      </c>
      <c r="F942" s="25" t="n">
        <f aca="false">E942-D942</f>
        <v>-54559816.97479</v>
      </c>
      <c r="G942" s="25" t="n">
        <f aca="false">E942-C942</f>
        <v>88385183.0252101</v>
      </c>
      <c r="H942" s="7" t="str">
        <f aca="false">IF(F942&gt;=0,A942,"")</f>
        <v/>
      </c>
      <c r="I942" s="7" t="n">
        <f aca="false">IF(F942&lt;0,A942,0)</f>
        <v>937</v>
      </c>
      <c r="J942" s="7" t="n">
        <f aca="false">IF(G942&gt;=0,A942,"")</f>
        <v>937</v>
      </c>
      <c r="K942" s="7" t="n">
        <f aca="false">IF(G942&lt;0,A942,0)</f>
        <v>0</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604559120</v>
      </c>
      <c r="D943" s="25" t="n">
        <f aca="false">('Chi phí'!$C$77+'Chi phí'!$D$77*B943+'Chi phí'!$E$77*A943+'Giả định'!$B$15*('Chi phí'!$F$77+'Chi phí'!$G$77*B943+'Chi phí'!$H$77*A943))*(1+'Giả định'!$B$16)</f>
        <v>747504120</v>
      </c>
      <c r="E943" s="25" t="n">
        <f aca="false">A943/'Giả định'!$B$19*'Giả định'!$B$20+A943*'Giả định'!$B$23+'Giả định'!$B$24</f>
        <v>693647058.823529</v>
      </c>
      <c r="F943" s="25" t="n">
        <f aca="false">E943-D943</f>
        <v>-53857061.1764708</v>
      </c>
      <c r="G943" s="25" t="n">
        <f aca="false">E943-C943</f>
        <v>89087938.8235294</v>
      </c>
      <c r="H943" s="7" t="str">
        <f aca="false">IF(F943&gt;=0,A943,"")</f>
        <v/>
      </c>
      <c r="I943" s="7" t="n">
        <f aca="false">IF(F943&lt;0,A943,0)</f>
        <v>938</v>
      </c>
      <c r="J943" s="7" t="n">
        <f aca="false">IF(G943&gt;=0,A943,"")</f>
        <v>938</v>
      </c>
      <c r="K943" s="7" t="n">
        <f aca="false">IF(G943&lt;0,A943,0)</f>
        <v>0</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604595860</v>
      </c>
      <c r="D944" s="25" t="n">
        <f aca="false">('Chi phí'!$C$77+'Chi phí'!$D$77*B944+'Chi phí'!$E$77*A944+'Giả định'!$B$15*('Chi phí'!$F$77+'Chi phí'!$G$77*B944+'Chi phí'!$H$77*A944))*(1+'Giả định'!$B$16)</f>
        <v>747540860</v>
      </c>
      <c r="E944" s="25" t="n">
        <f aca="false">A944/'Giả định'!$B$19*'Giả định'!$B$20+A944*'Giả định'!$B$23+'Giả định'!$B$24</f>
        <v>694386554.621849</v>
      </c>
      <c r="F944" s="25" t="n">
        <f aca="false">E944-D944</f>
        <v>-53154305.3781513</v>
      </c>
      <c r="G944" s="25" t="n">
        <f aca="false">E944-C944</f>
        <v>89790694.6218488</v>
      </c>
      <c r="H944" s="7" t="str">
        <f aca="false">IF(F944&gt;=0,A944,"")</f>
        <v/>
      </c>
      <c r="I944" s="7" t="n">
        <f aca="false">IF(F944&lt;0,A944,0)</f>
        <v>939</v>
      </c>
      <c r="J944" s="7" t="n">
        <f aca="false">IF(G944&gt;=0,A944,"")</f>
        <v>939</v>
      </c>
      <c r="K944" s="7" t="n">
        <f aca="false">IF(G944&lt;0,A944,0)</f>
        <v>0</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604632600</v>
      </c>
      <c r="D945" s="25" t="n">
        <f aca="false">('Chi phí'!$C$77+'Chi phí'!$D$77*B945+'Chi phí'!$E$77*A945+'Giả định'!$B$15*('Chi phí'!$F$77+'Chi phí'!$G$77*B945+'Chi phí'!$H$77*A945))*(1+'Giả định'!$B$16)</f>
        <v>747577600</v>
      </c>
      <c r="E945" s="25" t="n">
        <f aca="false">A945/'Giả định'!$B$19*'Giả định'!$B$20+A945*'Giả định'!$B$23+'Giả định'!$B$24</f>
        <v>695126050.420168</v>
      </c>
      <c r="F945" s="25" t="n">
        <f aca="false">E945-D945</f>
        <v>-52451549.579832</v>
      </c>
      <c r="G945" s="25" t="n">
        <f aca="false">E945-C945</f>
        <v>90493450.4201682</v>
      </c>
      <c r="H945" s="7" t="str">
        <f aca="false">IF(F945&gt;=0,A945,"")</f>
        <v/>
      </c>
      <c r="I945" s="7" t="n">
        <f aca="false">IF(F945&lt;0,A945,0)</f>
        <v>940</v>
      </c>
      <c r="J945" s="7" t="n">
        <f aca="false">IF(G945&gt;=0,A945,"")</f>
        <v>940</v>
      </c>
      <c r="K945" s="7" t="n">
        <f aca="false">IF(G945&lt;0,A945,0)</f>
        <v>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610054940</v>
      </c>
      <c r="D946" s="25" t="n">
        <f aca="false">('Chi phí'!$C$77+'Chi phí'!$D$77*B946+'Chi phí'!$E$77*A946+'Giả định'!$B$15*('Chi phí'!$F$77+'Chi phí'!$G$77*B946+'Chi phí'!$H$77*A946))*(1+'Giả định'!$B$16)</f>
        <v>752999940</v>
      </c>
      <c r="E946" s="25" t="n">
        <f aca="false">A946/'Giả định'!$B$19*'Giả định'!$B$20+A946*'Giả định'!$B$23+'Giả định'!$B$24</f>
        <v>695865546.218488</v>
      </c>
      <c r="F946" s="25" t="n">
        <f aca="false">E946-D946</f>
        <v>-57134393.7815126</v>
      </c>
      <c r="G946" s="25" t="n">
        <f aca="false">E946-C946</f>
        <v>85810606.2184875</v>
      </c>
      <c r="H946" s="7" t="str">
        <f aca="false">IF(F946&gt;=0,A946,"")</f>
        <v/>
      </c>
      <c r="I946" s="7" t="n">
        <f aca="false">IF(F946&lt;0,A946,0)</f>
        <v>941</v>
      </c>
      <c r="J946" s="7" t="n">
        <f aca="false">IF(G946&gt;=0,A946,"")</f>
        <v>941</v>
      </c>
      <c r="K946" s="7" t="n">
        <f aca="false">IF(G946&lt;0,A946,0)</f>
        <v>0</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610091680</v>
      </c>
      <c r="D947" s="25" t="n">
        <f aca="false">('Chi phí'!$C$77+'Chi phí'!$D$77*B947+'Chi phí'!$E$77*A947+'Giả định'!$B$15*('Chi phí'!$F$77+'Chi phí'!$G$77*B947+'Chi phí'!$H$77*A947))*(1+'Giả định'!$B$16)</f>
        <v>753036680</v>
      </c>
      <c r="E947" s="25" t="n">
        <f aca="false">A947/'Giả định'!$B$19*'Giả định'!$B$20+A947*'Giả định'!$B$23+'Giả định'!$B$24</f>
        <v>696605042.016807</v>
      </c>
      <c r="F947" s="25" t="n">
        <f aca="false">E947-D947</f>
        <v>-56431637.9831933</v>
      </c>
      <c r="G947" s="25" t="n">
        <f aca="false">E947-C947</f>
        <v>86513362.0168068</v>
      </c>
      <c r="H947" s="7" t="str">
        <f aca="false">IF(F947&gt;=0,A947,"")</f>
        <v/>
      </c>
      <c r="I947" s="7" t="n">
        <f aca="false">IF(F947&lt;0,A947,0)</f>
        <v>942</v>
      </c>
      <c r="J947" s="7" t="n">
        <f aca="false">IF(G947&gt;=0,A947,"")</f>
        <v>942</v>
      </c>
      <c r="K947" s="7" t="n">
        <f aca="false">IF(G947&lt;0,A947,0)</f>
        <v>0</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610128420</v>
      </c>
      <c r="D948" s="25" t="n">
        <f aca="false">('Chi phí'!$C$77+'Chi phí'!$D$77*B948+'Chi phí'!$E$77*A948+'Giả định'!$B$15*('Chi phí'!$F$77+'Chi phí'!$G$77*B948+'Chi phí'!$H$77*A948))*(1+'Giả định'!$B$16)</f>
        <v>753073420</v>
      </c>
      <c r="E948" s="25" t="n">
        <f aca="false">A948/'Giả định'!$B$19*'Giả định'!$B$20+A948*'Giả định'!$B$23+'Giả định'!$B$24</f>
        <v>697344537.815126</v>
      </c>
      <c r="F948" s="25" t="n">
        <f aca="false">E948-D948</f>
        <v>-55728882.1848739</v>
      </c>
      <c r="G948" s="25" t="n">
        <f aca="false">E948-C948</f>
        <v>87216117.8151262</v>
      </c>
      <c r="H948" s="7" t="str">
        <f aca="false">IF(F948&gt;=0,A948,"")</f>
        <v/>
      </c>
      <c r="I948" s="7" t="n">
        <f aca="false">IF(F948&lt;0,A948,0)</f>
        <v>943</v>
      </c>
      <c r="J948" s="7" t="n">
        <f aca="false">IF(G948&gt;=0,A948,"")</f>
        <v>943</v>
      </c>
      <c r="K948" s="7" t="n">
        <f aca="false">IF(G948&lt;0,A948,0)</f>
        <v>0</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610165160</v>
      </c>
      <c r="D949" s="25" t="n">
        <f aca="false">('Chi phí'!$C$77+'Chi phí'!$D$77*B949+'Chi phí'!$E$77*A949+'Giả định'!$B$15*('Chi phí'!$F$77+'Chi phí'!$G$77*B949+'Chi phí'!$H$77*A949))*(1+'Giả định'!$B$16)</f>
        <v>753110160</v>
      </c>
      <c r="E949" s="25" t="n">
        <f aca="false">A949/'Giả định'!$B$19*'Giả định'!$B$20+A949*'Giả định'!$B$23+'Giả định'!$B$24</f>
        <v>698084033.613446</v>
      </c>
      <c r="F949" s="25" t="n">
        <f aca="false">E949-D949</f>
        <v>-55026126.3865546</v>
      </c>
      <c r="G949" s="25" t="n">
        <f aca="false">E949-C949</f>
        <v>87918873.6134455</v>
      </c>
      <c r="H949" s="7" t="str">
        <f aca="false">IF(F949&gt;=0,A949,"")</f>
        <v/>
      </c>
      <c r="I949" s="7" t="n">
        <f aca="false">IF(F949&lt;0,A949,0)</f>
        <v>944</v>
      </c>
      <c r="J949" s="7" t="n">
        <f aca="false">IF(G949&gt;=0,A949,"")</f>
        <v>944</v>
      </c>
      <c r="K949" s="7" t="n">
        <f aca="false">IF(G949&lt;0,A949,0)</f>
        <v>0</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610201900</v>
      </c>
      <c r="D950" s="25" t="n">
        <f aca="false">('Chi phí'!$C$77+'Chi phí'!$D$77*B950+'Chi phí'!$E$77*A950+'Giả định'!$B$15*('Chi phí'!$F$77+'Chi phí'!$G$77*B950+'Chi phí'!$H$77*A950))*(1+'Giả định'!$B$16)</f>
        <v>753146900</v>
      </c>
      <c r="E950" s="25" t="n">
        <f aca="false">A950/'Giả định'!$B$19*'Giả định'!$B$20+A950*'Giả định'!$B$23+'Giả định'!$B$24</f>
        <v>698823529.411765</v>
      </c>
      <c r="F950" s="25" t="n">
        <f aca="false">E950-D950</f>
        <v>-54323370.5882354</v>
      </c>
      <c r="G950" s="25" t="n">
        <f aca="false">E950-C950</f>
        <v>88621629.4117647</v>
      </c>
      <c r="H950" s="7" t="str">
        <f aca="false">IF(F950&gt;=0,A950,"")</f>
        <v/>
      </c>
      <c r="I950" s="7" t="n">
        <f aca="false">IF(F950&lt;0,A950,0)</f>
        <v>945</v>
      </c>
      <c r="J950" s="7" t="n">
        <f aca="false">IF(G950&gt;=0,A950,"")</f>
        <v>945</v>
      </c>
      <c r="K950" s="7" t="n">
        <f aca="false">IF(G950&lt;0,A950,0)</f>
        <v>0</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610238640</v>
      </c>
      <c r="D951" s="25" t="n">
        <f aca="false">('Chi phí'!$C$77+'Chi phí'!$D$77*B951+'Chi phí'!$E$77*A951+'Giả định'!$B$15*('Chi phí'!$F$77+'Chi phí'!$G$77*B951+'Chi phí'!$H$77*A951))*(1+'Giả định'!$B$16)</f>
        <v>753183640</v>
      </c>
      <c r="E951" s="25" t="n">
        <f aca="false">A951/'Giả định'!$B$19*'Giả định'!$B$20+A951*'Giả định'!$B$23+'Giả định'!$B$24</f>
        <v>699563025.210084</v>
      </c>
      <c r="F951" s="25" t="n">
        <f aca="false">E951-D951</f>
        <v>-53620614.789916</v>
      </c>
      <c r="G951" s="25" t="n">
        <f aca="false">E951-C951</f>
        <v>89324385.2100841</v>
      </c>
      <c r="H951" s="7" t="str">
        <f aca="false">IF(F951&gt;=0,A951,"")</f>
        <v/>
      </c>
      <c r="I951" s="7" t="n">
        <f aca="false">IF(F951&lt;0,A951,0)</f>
        <v>946</v>
      </c>
      <c r="J951" s="7" t="n">
        <f aca="false">IF(G951&gt;=0,A951,"")</f>
        <v>946</v>
      </c>
      <c r="K951" s="7" t="n">
        <f aca="false">IF(G951&lt;0,A951,0)</f>
        <v>0</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610275380</v>
      </c>
      <c r="D952" s="25" t="n">
        <f aca="false">('Chi phí'!$C$77+'Chi phí'!$D$77*B952+'Chi phí'!$E$77*A952+'Giả định'!$B$15*('Chi phí'!$F$77+'Chi phí'!$G$77*B952+'Chi phí'!$H$77*A952))*(1+'Giả định'!$B$16)</f>
        <v>753220380</v>
      </c>
      <c r="E952" s="25" t="n">
        <f aca="false">A952/'Giả định'!$B$19*'Giả định'!$B$20+A952*'Giả định'!$B$23+'Giả định'!$B$24</f>
        <v>700302521.008403</v>
      </c>
      <c r="F952" s="25" t="n">
        <f aca="false">E952-D952</f>
        <v>-52917858.9915967</v>
      </c>
      <c r="G952" s="25" t="n">
        <f aca="false">E952-C952</f>
        <v>90027141.0084034</v>
      </c>
      <c r="H952" s="7" t="str">
        <f aca="false">IF(F952&gt;=0,A952,"")</f>
        <v/>
      </c>
      <c r="I952" s="7" t="n">
        <f aca="false">IF(F952&lt;0,A952,0)</f>
        <v>947</v>
      </c>
      <c r="J952" s="7" t="n">
        <f aca="false">IF(G952&gt;=0,A952,"")</f>
        <v>947</v>
      </c>
      <c r="K952" s="7" t="n">
        <f aca="false">IF(G952&lt;0,A952,0)</f>
        <v>0</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610312120</v>
      </c>
      <c r="D953" s="25" t="n">
        <f aca="false">('Chi phí'!$C$77+'Chi phí'!$D$77*B953+'Chi phí'!$E$77*A953+'Giả định'!$B$15*('Chi phí'!$F$77+'Chi phí'!$G$77*B953+'Chi phí'!$H$77*A953))*(1+'Giả định'!$B$16)</f>
        <v>753257120</v>
      </c>
      <c r="E953" s="25" t="n">
        <f aca="false">A953/'Giả định'!$B$19*'Giả định'!$B$20+A953*'Giả định'!$B$23+'Giả định'!$B$24</f>
        <v>701042016.806723</v>
      </c>
      <c r="F953" s="25" t="n">
        <f aca="false">E953-D953</f>
        <v>-52215103.1932774</v>
      </c>
      <c r="G953" s="25" t="n">
        <f aca="false">E953-C953</f>
        <v>90729896.8067228</v>
      </c>
      <c r="H953" s="7" t="str">
        <f aca="false">IF(F953&gt;=0,A953,"")</f>
        <v/>
      </c>
      <c r="I953" s="7" t="n">
        <f aca="false">IF(F953&lt;0,A953,0)</f>
        <v>948</v>
      </c>
      <c r="J953" s="7" t="n">
        <f aca="false">IF(G953&gt;=0,A953,"")</f>
        <v>948</v>
      </c>
      <c r="K953" s="7" t="n">
        <f aca="false">IF(G953&lt;0,A953,0)</f>
        <v>0</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610348860</v>
      </c>
      <c r="D954" s="25" t="n">
        <f aca="false">('Chi phí'!$C$77+'Chi phí'!$D$77*B954+'Chi phí'!$E$77*A954+'Giả định'!$B$15*('Chi phí'!$F$77+'Chi phí'!$G$77*B954+'Chi phí'!$H$77*A954))*(1+'Giả định'!$B$16)</f>
        <v>753293860</v>
      </c>
      <c r="E954" s="25" t="n">
        <f aca="false">A954/'Giả định'!$B$19*'Giả định'!$B$20+A954*'Giả định'!$B$23+'Giả định'!$B$24</f>
        <v>701781512.605042</v>
      </c>
      <c r="F954" s="25" t="n">
        <f aca="false">E954-D954</f>
        <v>-51512347.394958</v>
      </c>
      <c r="G954" s="25" t="n">
        <f aca="false">E954-C954</f>
        <v>91432652.6050421</v>
      </c>
      <c r="H954" s="7" t="str">
        <f aca="false">IF(F954&gt;=0,A954,"")</f>
        <v/>
      </c>
      <c r="I954" s="7" t="n">
        <f aca="false">IF(F954&lt;0,A954,0)</f>
        <v>949</v>
      </c>
      <c r="J954" s="7" t="n">
        <f aca="false">IF(G954&gt;=0,A954,"")</f>
        <v>949</v>
      </c>
      <c r="K954" s="7" t="n">
        <f aca="false">IF(G954&lt;0,A954,0)</f>
        <v>0</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610385600</v>
      </c>
      <c r="D955" s="25" t="n">
        <f aca="false">('Chi phí'!$C$77+'Chi phí'!$D$77*B955+'Chi phí'!$E$77*A955+'Giả định'!$B$15*('Chi phí'!$F$77+'Chi phí'!$G$77*B955+'Chi phí'!$H$77*A955))*(1+'Giả định'!$B$16)</f>
        <v>753330600</v>
      </c>
      <c r="E955" s="25" t="n">
        <f aca="false">A955/'Giả định'!$B$19*'Giả định'!$B$20+A955*'Giả định'!$B$23+'Giả định'!$B$24</f>
        <v>702521008.403361</v>
      </c>
      <c r="F955" s="25" t="n">
        <f aca="false">E955-D955</f>
        <v>-50809591.5966387</v>
      </c>
      <c r="G955" s="25" t="n">
        <f aca="false">E955-C955</f>
        <v>92135408.4033614</v>
      </c>
      <c r="H955" s="7" t="str">
        <f aca="false">IF(F955&gt;=0,A955,"")</f>
        <v/>
      </c>
      <c r="I955" s="7" t="n">
        <f aca="false">IF(F955&lt;0,A955,0)</f>
        <v>950</v>
      </c>
      <c r="J955" s="7" t="n">
        <f aca="false">IF(G955&gt;=0,A955,"")</f>
        <v>950</v>
      </c>
      <c r="K955" s="7" t="n">
        <f aca="false">IF(G955&lt;0,A955,0)</f>
        <v>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615807940</v>
      </c>
      <c r="D956" s="25" t="n">
        <f aca="false">('Chi phí'!$C$77+'Chi phí'!$D$77*B956+'Chi phí'!$E$77*A956+'Giả định'!$B$15*('Chi phí'!$F$77+'Chi phí'!$G$77*B956+'Chi phí'!$H$77*A956))*(1+'Giả định'!$B$16)</f>
        <v>758752940</v>
      </c>
      <c r="E956" s="25" t="n">
        <f aca="false">A956/'Giả định'!$B$19*'Giả định'!$B$20+A956*'Giả định'!$B$23+'Giả định'!$B$24</f>
        <v>703260504.201681</v>
      </c>
      <c r="F956" s="25" t="n">
        <f aca="false">E956-D956</f>
        <v>-55492435.7983193</v>
      </c>
      <c r="G956" s="25" t="n">
        <f aca="false">E956-C956</f>
        <v>87452564.2016808</v>
      </c>
      <c r="H956" s="7" t="str">
        <f aca="false">IF(F956&gt;=0,A956,"")</f>
        <v/>
      </c>
      <c r="I956" s="7" t="n">
        <f aca="false">IF(F956&lt;0,A956,0)</f>
        <v>951</v>
      </c>
      <c r="J956" s="7" t="n">
        <f aca="false">IF(G956&gt;=0,A956,"")</f>
        <v>951</v>
      </c>
      <c r="K956" s="7" t="n">
        <f aca="false">IF(G956&lt;0,A956,0)</f>
        <v>0</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615844680</v>
      </c>
      <c r="D957" s="25" t="n">
        <f aca="false">('Chi phí'!$C$77+'Chi phí'!$D$77*B957+'Chi phí'!$E$77*A957+'Giả định'!$B$15*('Chi phí'!$F$77+'Chi phí'!$G$77*B957+'Chi phí'!$H$77*A957))*(1+'Giả định'!$B$16)</f>
        <v>758789680</v>
      </c>
      <c r="E957" s="25" t="n">
        <f aca="false">A957/'Giả định'!$B$19*'Giả định'!$B$20+A957*'Giả định'!$B$23+'Giả định'!$B$24</f>
        <v>704000000</v>
      </c>
      <c r="F957" s="25" t="n">
        <f aca="false">E957-D957</f>
        <v>-54789680.0000001</v>
      </c>
      <c r="G957" s="25" t="n">
        <f aca="false">E957-C957</f>
        <v>88155320</v>
      </c>
      <c r="H957" s="7" t="str">
        <f aca="false">IF(F957&gt;=0,A957,"")</f>
        <v/>
      </c>
      <c r="I957" s="7" t="n">
        <f aca="false">IF(F957&lt;0,A957,0)</f>
        <v>952</v>
      </c>
      <c r="J957" s="7" t="n">
        <f aca="false">IF(G957&gt;=0,A957,"")</f>
        <v>952</v>
      </c>
      <c r="K957" s="7" t="n">
        <f aca="false">IF(G957&lt;0,A957,0)</f>
        <v>0</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615881420</v>
      </c>
      <c r="D958" s="25" t="n">
        <f aca="false">('Chi phí'!$C$77+'Chi phí'!$D$77*B958+'Chi phí'!$E$77*A958+'Giả định'!$B$15*('Chi phí'!$F$77+'Chi phí'!$G$77*B958+'Chi phí'!$H$77*A958))*(1+'Giả định'!$B$16)</f>
        <v>758826420</v>
      </c>
      <c r="E958" s="25" t="n">
        <f aca="false">A958/'Giả định'!$B$19*'Giả định'!$B$20+A958*'Giả định'!$B$23+'Giả định'!$B$24</f>
        <v>704739495.798319</v>
      </c>
      <c r="F958" s="25" t="n">
        <f aca="false">E958-D958</f>
        <v>-54086924.2016808</v>
      </c>
      <c r="G958" s="25" t="n">
        <f aca="false">E958-C958</f>
        <v>88858075.7983193</v>
      </c>
      <c r="H958" s="7" t="str">
        <f aca="false">IF(F958&gt;=0,A958,"")</f>
        <v/>
      </c>
      <c r="I958" s="7" t="n">
        <f aca="false">IF(F958&lt;0,A958,0)</f>
        <v>953</v>
      </c>
      <c r="J958" s="7" t="n">
        <f aca="false">IF(G958&gt;=0,A958,"")</f>
        <v>953</v>
      </c>
      <c r="K958" s="7" t="n">
        <f aca="false">IF(G958&lt;0,A958,0)</f>
        <v>0</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615918160</v>
      </c>
      <c r="D959" s="25" t="n">
        <f aca="false">('Chi phí'!$C$77+'Chi phí'!$D$77*B959+'Chi phí'!$E$77*A959+'Giả định'!$B$15*('Chi phí'!$F$77+'Chi phí'!$G$77*B959+'Chi phí'!$H$77*A959))*(1+'Giả định'!$B$16)</f>
        <v>758863160</v>
      </c>
      <c r="E959" s="25" t="n">
        <f aca="false">A959/'Giả định'!$B$19*'Giả định'!$B$20+A959*'Giả định'!$B$23+'Giả định'!$B$24</f>
        <v>705478991.596639</v>
      </c>
      <c r="F959" s="25" t="n">
        <f aca="false">E959-D959</f>
        <v>-53384168.4033614</v>
      </c>
      <c r="G959" s="25" t="n">
        <f aca="false">E959-C959</f>
        <v>89560831.5966387</v>
      </c>
      <c r="H959" s="7" t="str">
        <f aca="false">IF(F959&gt;=0,A959,"")</f>
        <v/>
      </c>
      <c r="I959" s="7" t="n">
        <f aca="false">IF(F959&lt;0,A959,0)</f>
        <v>954</v>
      </c>
      <c r="J959" s="7" t="n">
        <f aca="false">IF(G959&gt;=0,A959,"")</f>
        <v>954</v>
      </c>
      <c r="K959" s="7" t="n">
        <f aca="false">IF(G959&lt;0,A959,0)</f>
        <v>0</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615954900</v>
      </c>
      <c r="D960" s="25" t="n">
        <f aca="false">('Chi phí'!$C$77+'Chi phí'!$D$77*B960+'Chi phí'!$E$77*A960+'Giả định'!$B$15*('Chi phí'!$F$77+'Chi phí'!$G$77*B960+'Chi phí'!$H$77*A960))*(1+'Giả định'!$B$16)</f>
        <v>758899900</v>
      </c>
      <c r="E960" s="25" t="n">
        <f aca="false">A960/'Giả định'!$B$19*'Giả định'!$B$20+A960*'Giả định'!$B$23+'Giả định'!$B$24</f>
        <v>706218487.394958</v>
      </c>
      <c r="F960" s="25" t="n">
        <f aca="false">E960-D960</f>
        <v>-52681412.6050421</v>
      </c>
      <c r="G960" s="25" t="n">
        <f aca="false">E960-C960</f>
        <v>90263587.394958</v>
      </c>
      <c r="H960" s="7" t="str">
        <f aca="false">IF(F960&gt;=0,A960,"")</f>
        <v/>
      </c>
      <c r="I960" s="7" t="n">
        <f aca="false">IF(F960&lt;0,A960,0)</f>
        <v>955</v>
      </c>
      <c r="J960" s="7" t="n">
        <f aca="false">IF(G960&gt;=0,A960,"")</f>
        <v>955</v>
      </c>
      <c r="K960" s="7" t="n">
        <f aca="false">IF(G960&lt;0,A960,0)</f>
        <v>0</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615991640</v>
      </c>
      <c r="D961" s="25" t="n">
        <f aca="false">('Chi phí'!$C$77+'Chi phí'!$D$77*B961+'Chi phí'!$E$77*A961+'Giả định'!$B$15*('Chi phí'!$F$77+'Chi phí'!$G$77*B961+'Chi phí'!$H$77*A961))*(1+'Giả định'!$B$16)</f>
        <v>758936640</v>
      </c>
      <c r="E961" s="25" t="n">
        <f aca="false">A961/'Giả định'!$B$19*'Giả định'!$B$20+A961*'Giả định'!$B$23+'Giả định'!$B$24</f>
        <v>706957983.193277</v>
      </c>
      <c r="F961" s="25" t="n">
        <f aca="false">E961-D961</f>
        <v>-51978656.8067228</v>
      </c>
      <c r="G961" s="25" t="n">
        <f aca="false">E961-C961</f>
        <v>90966343.1932774</v>
      </c>
      <c r="H961" s="7" t="str">
        <f aca="false">IF(F961&gt;=0,A961,"")</f>
        <v/>
      </c>
      <c r="I961" s="7" t="n">
        <f aca="false">IF(F961&lt;0,A961,0)</f>
        <v>956</v>
      </c>
      <c r="J961" s="7" t="n">
        <f aca="false">IF(G961&gt;=0,A961,"")</f>
        <v>956</v>
      </c>
      <c r="K961" s="7" t="n">
        <f aca="false">IF(G961&lt;0,A961,0)</f>
        <v>0</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616028380</v>
      </c>
      <c r="D962" s="25" t="n">
        <f aca="false">('Chi phí'!$C$77+'Chi phí'!$D$77*B962+'Chi phí'!$E$77*A962+'Giả định'!$B$15*('Chi phí'!$F$77+'Chi phí'!$G$77*B962+'Chi phí'!$H$77*A962))*(1+'Giả định'!$B$16)</f>
        <v>758973380</v>
      </c>
      <c r="E962" s="25" t="n">
        <f aca="false">A962/'Giả định'!$B$19*'Giả định'!$B$20+A962*'Giả định'!$B$23+'Giả định'!$B$24</f>
        <v>707697478.991597</v>
      </c>
      <c r="F962" s="25" t="n">
        <f aca="false">E962-D962</f>
        <v>-51275901.0084034</v>
      </c>
      <c r="G962" s="25" t="n">
        <f aca="false">E962-C962</f>
        <v>91669098.9915967</v>
      </c>
      <c r="H962" s="7" t="str">
        <f aca="false">IF(F962&gt;=0,A962,"")</f>
        <v/>
      </c>
      <c r="I962" s="7" t="n">
        <f aca="false">IF(F962&lt;0,A962,0)</f>
        <v>957</v>
      </c>
      <c r="J962" s="7" t="n">
        <f aca="false">IF(G962&gt;=0,A962,"")</f>
        <v>957</v>
      </c>
      <c r="K962" s="7" t="n">
        <f aca="false">IF(G962&lt;0,A962,0)</f>
        <v>0</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616065120</v>
      </c>
      <c r="D963" s="25" t="n">
        <f aca="false">('Chi phí'!$C$77+'Chi phí'!$D$77*B963+'Chi phí'!$E$77*A963+'Giả định'!$B$15*('Chi phí'!$F$77+'Chi phí'!$G$77*B963+'Chi phí'!$H$77*A963))*(1+'Giả định'!$B$16)</f>
        <v>759010120</v>
      </c>
      <c r="E963" s="25" t="n">
        <f aca="false">A963/'Giả định'!$B$19*'Giả định'!$B$20+A963*'Giả định'!$B$23+'Giả định'!$B$24</f>
        <v>708436974.789916</v>
      </c>
      <c r="F963" s="25" t="n">
        <f aca="false">E963-D963</f>
        <v>-50573145.2100841</v>
      </c>
      <c r="G963" s="25" t="n">
        <f aca="false">E963-C963</f>
        <v>92371854.789916</v>
      </c>
      <c r="H963" s="7" t="str">
        <f aca="false">IF(F963&gt;=0,A963,"")</f>
        <v/>
      </c>
      <c r="I963" s="7" t="n">
        <f aca="false">IF(F963&lt;0,A963,0)</f>
        <v>958</v>
      </c>
      <c r="J963" s="7" t="n">
        <f aca="false">IF(G963&gt;=0,A963,"")</f>
        <v>958</v>
      </c>
      <c r="K963" s="7" t="n">
        <f aca="false">IF(G963&lt;0,A963,0)</f>
        <v>0</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616101860</v>
      </c>
      <c r="D964" s="25" t="n">
        <f aca="false">('Chi phí'!$C$77+'Chi phí'!$D$77*B964+'Chi phí'!$E$77*A964+'Giả định'!$B$15*('Chi phí'!$F$77+'Chi phí'!$G$77*B964+'Chi phí'!$H$77*A964))*(1+'Giả định'!$B$16)</f>
        <v>759046860</v>
      </c>
      <c r="E964" s="25" t="n">
        <f aca="false">A964/'Giả định'!$B$19*'Giả định'!$B$20+A964*'Giả định'!$B$23+'Giả định'!$B$24</f>
        <v>709176470.588235</v>
      </c>
      <c r="F964" s="25" t="n">
        <f aca="false">E964-D964</f>
        <v>-49870389.4117649</v>
      </c>
      <c r="G964" s="25" t="n">
        <f aca="false">E964-C964</f>
        <v>93074610.5882353</v>
      </c>
      <c r="H964" s="7" t="str">
        <f aca="false">IF(F964&gt;=0,A964,"")</f>
        <v/>
      </c>
      <c r="I964" s="7" t="n">
        <f aca="false">IF(F964&lt;0,A964,0)</f>
        <v>959</v>
      </c>
      <c r="J964" s="7" t="n">
        <f aca="false">IF(G964&gt;=0,A964,"")</f>
        <v>959</v>
      </c>
      <c r="K964" s="7" t="n">
        <f aca="false">IF(G964&lt;0,A964,0)</f>
        <v>0</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616138600</v>
      </c>
      <c r="D965" s="25" t="n">
        <f aca="false">('Chi phí'!$C$77+'Chi phí'!$D$77*B965+'Chi phí'!$E$77*A965+'Giả định'!$B$15*('Chi phí'!$F$77+'Chi phí'!$G$77*B965+'Chi phí'!$H$77*A965))*(1+'Giả định'!$B$16)</f>
        <v>759083600</v>
      </c>
      <c r="E965" s="25" t="n">
        <f aca="false">A965/'Giả định'!$B$19*'Giả định'!$B$20+A965*'Giả định'!$B$23+'Giả định'!$B$24</f>
        <v>709915966.386555</v>
      </c>
      <c r="F965" s="25" t="n">
        <f aca="false">E965-D965</f>
        <v>-49167633.6134455</v>
      </c>
      <c r="G965" s="25" t="n">
        <f aca="false">E965-C965</f>
        <v>93777366.3865546</v>
      </c>
      <c r="H965" s="7" t="str">
        <f aca="false">IF(F965&gt;=0,A965,"")</f>
        <v/>
      </c>
      <c r="I965" s="7" t="n">
        <f aca="false">IF(F965&lt;0,A965,0)</f>
        <v>960</v>
      </c>
      <c r="J965" s="7" t="n">
        <f aca="false">IF(G965&gt;=0,A965,"")</f>
        <v>960</v>
      </c>
      <c r="K965" s="7" t="n">
        <f aca="false">IF(G965&lt;0,A965,0)</f>
        <v>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621560940</v>
      </c>
      <c r="D966" s="25" t="n">
        <f aca="false">('Chi phí'!$C$77+'Chi phí'!$D$77*B966+'Chi phí'!$E$77*A966+'Giả định'!$B$15*('Chi phí'!$F$77+'Chi phí'!$G$77*B966+'Chi phí'!$H$77*A966))*(1+'Giả định'!$B$16)</f>
        <v>764505940</v>
      </c>
      <c r="E966" s="25" t="n">
        <f aca="false">A966/'Giả định'!$B$19*'Giả định'!$B$20+A966*'Giả định'!$B$23+'Giả định'!$B$24</f>
        <v>710655462.184874</v>
      </c>
      <c r="F966" s="25" t="n">
        <f aca="false">E966-D966</f>
        <v>-53850477.8151262</v>
      </c>
      <c r="G966" s="25" t="n">
        <f aca="false">E966-C966</f>
        <v>89094522.1848739</v>
      </c>
      <c r="H966" s="7" t="str">
        <f aca="false">IF(F966&gt;=0,A966,"")</f>
        <v/>
      </c>
      <c r="I966" s="7" t="n">
        <f aca="false">IF(F966&lt;0,A966,0)</f>
        <v>961</v>
      </c>
      <c r="J966" s="7" t="n">
        <f aca="false">IF(G966&gt;=0,A966,"")</f>
        <v>961</v>
      </c>
      <c r="K966" s="7" t="n">
        <f aca="false">IF(G966&lt;0,A966,0)</f>
        <v>0</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621597680</v>
      </c>
      <c r="D967" s="25" t="n">
        <f aca="false">('Chi phí'!$C$77+'Chi phí'!$D$77*B967+'Chi phí'!$E$77*A967+'Giả định'!$B$15*('Chi phí'!$F$77+'Chi phí'!$G$77*B967+'Chi phí'!$H$77*A967))*(1+'Giả định'!$B$16)</f>
        <v>764542680</v>
      </c>
      <c r="E967" s="25" t="n">
        <f aca="false">A967/'Giả định'!$B$19*'Giả định'!$B$20+A967*'Giả định'!$B$23+'Giả định'!$B$24</f>
        <v>711394957.983193</v>
      </c>
      <c r="F967" s="25" t="n">
        <f aca="false">E967-D967</f>
        <v>-53147722.0168067</v>
      </c>
      <c r="G967" s="25" t="n">
        <f aca="false">E967-C967</f>
        <v>89797277.9831934</v>
      </c>
      <c r="H967" s="7" t="str">
        <f aca="false">IF(F967&gt;=0,A967,"")</f>
        <v/>
      </c>
      <c r="I967" s="7" t="n">
        <f aca="false">IF(F967&lt;0,A967,0)</f>
        <v>962</v>
      </c>
      <c r="J967" s="7" t="n">
        <f aca="false">IF(G967&gt;=0,A967,"")</f>
        <v>962</v>
      </c>
      <c r="K967" s="7" t="n">
        <f aca="false">IF(G967&lt;0,A967,0)</f>
        <v>0</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621634420</v>
      </c>
      <c r="D968" s="25" t="n">
        <f aca="false">('Chi phí'!$C$77+'Chi phí'!$D$77*B968+'Chi phí'!$E$77*A968+'Giả định'!$B$15*('Chi phí'!$F$77+'Chi phí'!$G$77*B968+'Chi phí'!$H$77*A968))*(1+'Giả định'!$B$16)</f>
        <v>764579420</v>
      </c>
      <c r="E968" s="25" t="n">
        <f aca="false">A968/'Giả định'!$B$19*'Giả định'!$B$20+A968*'Giả định'!$B$23+'Giả định'!$B$24</f>
        <v>712134453.781513</v>
      </c>
      <c r="F968" s="25" t="n">
        <f aca="false">E968-D968</f>
        <v>-52444966.2184874</v>
      </c>
      <c r="G968" s="25" t="n">
        <f aca="false">E968-C968</f>
        <v>90500033.7815127</v>
      </c>
      <c r="H968" s="7" t="str">
        <f aca="false">IF(F968&gt;=0,A968,"")</f>
        <v/>
      </c>
      <c r="I968" s="7" t="n">
        <f aca="false">IF(F968&lt;0,A968,0)</f>
        <v>963</v>
      </c>
      <c r="J968" s="7" t="n">
        <f aca="false">IF(G968&gt;=0,A968,"")</f>
        <v>963</v>
      </c>
      <c r="K968" s="7" t="n">
        <f aca="false">IF(G968&lt;0,A968,0)</f>
        <v>0</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621671160</v>
      </c>
      <c r="D969" s="25" t="n">
        <f aca="false">('Chi phí'!$C$77+'Chi phí'!$D$77*B969+'Chi phí'!$E$77*A969+'Giả định'!$B$15*('Chi phí'!$F$77+'Chi phí'!$G$77*B969+'Chi phí'!$H$77*A969))*(1+'Giả định'!$B$16)</f>
        <v>764616160</v>
      </c>
      <c r="E969" s="25" t="n">
        <f aca="false">A969/'Giả định'!$B$19*'Giả định'!$B$20+A969*'Giả định'!$B$23+'Giả định'!$B$24</f>
        <v>712873949.579832</v>
      </c>
      <c r="F969" s="25" t="n">
        <f aca="false">E969-D969</f>
        <v>-51742210.420168</v>
      </c>
      <c r="G969" s="25" t="n">
        <f aca="false">E969-C969</f>
        <v>91202789.5798321</v>
      </c>
      <c r="H969" s="7" t="str">
        <f aca="false">IF(F969&gt;=0,A969,"")</f>
        <v/>
      </c>
      <c r="I969" s="7" t="n">
        <f aca="false">IF(F969&lt;0,A969,0)</f>
        <v>964</v>
      </c>
      <c r="J969" s="7" t="n">
        <f aca="false">IF(G969&gt;=0,A969,"")</f>
        <v>964</v>
      </c>
      <c r="K969" s="7" t="n">
        <f aca="false">IF(G969&lt;0,A969,0)</f>
        <v>0</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621707900</v>
      </c>
      <c r="D970" s="25" t="n">
        <f aca="false">('Chi phí'!$C$77+'Chi phí'!$D$77*B970+'Chi phí'!$E$77*A970+'Giả định'!$B$15*('Chi phí'!$F$77+'Chi phí'!$G$77*B970+'Chi phí'!$H$77*A970))*(1+'Giả định'!$B$16)</f>
        <v>764652900</v>
      </c>
      <c r="E970" s="25" t="n">
        <f aca="false">A970/'Giả định'!$B$19*'Giả định'!$B$20+A970*'Giả định'!$B$23+'Giả định'!$B$24</f>
        <v>713613445.378151</v>
      </c>
      <c r="F970" s="25" t="n">
        <f aca="false">E970-D970</f>
        <v>-51039454.6218487</v>
      </c>
      <c r="G970" s="25" t="n">
        <f aca="false">E970-C970</f>
        <v>91905545.3781514</v>
      </c>
      <c r="H970" s="7" t="str">
        <f aca="false">IF(F970&gt;=0,A970,"")</f>
        <v/>
      </c>
      <c r="I970" s="7" t="n">
        <f aca="false">IF(F970&lt;0,A970,0)</f>
        <v>965</v>
      </c>
      <c r="J970" s="7" t="n">
        <f aca="false">IF(G970&gt;=0,A970,"")</f>
        <v>965</v>
      </c>
      <c r="K970" s="7" t="n">
        <f aca="false">IF(G970&lt;0,A970,0)</f>
        <v>0</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621744640</v>
      </c>
      <c r="D971" s="25" t="n">
        <f aca="false">('Chi phí'!$C$77+'Chi phí'!$D$77*B971+'Chi phí'!$E$77*A971+'Giả định'!$B$15*('Chi phí'!$F$77+'Chi phí'!$G$77*B971+'Chi phí'!$H$77*A971))*(1+'Giả định'!$B$16)</f>
        <v>764689640</v>
      </c>
      <c r="E971" s="25" t="n">
        <f aca="false">A971/'Giả định'!$B$19*'Giả định'!$B$20+A971*'Giả định'!$B$23+'Giả định'!$B$24</f>
        <v>714352941.176471</v>
      </c>
      <c r="F971" s="25" t="n">
        <f aca="false">E971-D971</f>
        <v>-50336698.8235295</v>
      </c>
      <c r="G971" s="25" t="n">
        <f aca="false">E971-C971</f>
        <v>92608301.1764706</v>
      </c>
      <c r="H971" s="7" t="str">
        <f aca="false">IF(F971&gt;=0,A971,"")</f>
        <v/>
      </c>
      <c r="I971" s="7" t="n">
        <f aca="false">IF(F971&lt;0,A971,0)</f>
        <v>966</v>
      </c>
      <c r="J971" s="7" t="n">
        <f aca="false">IF(G971&gt;=0,A971,"")</f>
        <v>966</v>
      </c>
      <c r="K971" s="7" t="n">
        <f aca="false">IF(G971&lt;0,A971,0)</f>
        <v>0</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621781380</v>
      </c>
      <c r="D972" s="25" t="n">
        <f aca="false">('Chi phí'!$C$77+'Chi phí'!$D$77*B972+'Chi phí'!$E$77*A972+'Giả định'!$B$15*('Chi phí'!$F$77+'Chi phí'!$G$77*B972+'Chi phí'!$H$77*A972))*(1+'Giả định'!$B$16)</f>
        <v>764726380</v>
      </c>
      <c r="E972" s="25" t="n">
        <f aca="false">A972/'Giả định'!$B$19*'Giả định'!$B$20+A972*'Giả định'!$B$23+'Giả định'!$B$24</f>
        <v>715092436.97479</v>
      </c>
      <c r="F972" s="25" t="n">
        <f aca="false">E972-D972</f>
        <v>-49633943.0252101</v>
      </c>
      <c r="G972" s="25" t="n">
        <f aca="false">E972-C972</f>
        <v>93311056.97479</v>
      </c>
      <c r="H972" s="7" t="str">
        <f aca="false">IF(F972&gt;=0,A972,"")</f>
        <v/>
      </c>
      <c r="I972" s="7" t="n">
        <f aca="false">IF(F972&lt;0,A972,0)</f>
        <v>967</v>
      </c>
      <c r="J972" s="7" t="n">
        <f aca="false">IF(G972&gt;=0,A972,"")</f>
        <v>967</v>
      </c>
      <c r="K972" s="7" t="n">
        <f aca="false">IF(G972&lt;0,A972,0)</f>
        <v>0</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621818120</v>
      </c>
      <c r="D973" s="25" t="n">
        <f aca="false">('Chi phí'!$C$77+'Chi phí'!$D$77*B973+'Chi phí'!$E$77*A973+'Giả định'!$B$15*('Chi phí'!$F$77+'Chi phí'!$G$77*B973+'Chi phí'!$H$77*A973))*(1+'Giả định'!$B$16)</f>
        <v>764763120</v>
      </c>
      <c r="E973" s="25" t="n">
        <f aca="false">A973/'Giả định'!$B$19*'Giả định'!$B$20+A973*'Giả định'!$B$23+'Giả định'!$B$24</f>
        <v>715831932.773109</v>
      </c>
      <c r="F973" s="25" t="n">
        <f aca="false">E973-D973</f>
        <v>-48931187.2268908</v>
      </c>
      <c r="G973" s="25" t="n">
        <f aca="false">E973-C973</f>
        <v>94013812.7731093</v>
      </c>
      <c r="H973" s="7" t="str">
        <f aca="false">IF(F973&gt;=0,A973,"")</f>
        <v/>
      </c>
      <c r="I973" s="7" t="n">
        <f aca="false">IF(F973&lt;0,A973,0)</f>
        <v>968</v>
      </c>
      <c r="J973" s="7" t="n">
        <f aca="false">IF(G973&gt;=0,A973,"")</f>
        <v>968</v>
      </c>
      <c r="K973" s="7" t="n">
        <f aca="false">IF(G973&lt;0,A973,0)</f>
        <v>0</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621854860</v>
      </c>
      <c r="D974" s="25" t="n">
        <f aca="false">('Chi phí'!$C$77+'Chi phí'!$D$77*B974+'Chi phí'!$E$77*A974+'Giả định'!$B$15*('Chi phí'!$F$77+'Chi phí'!$G$77*B974+'Chi phí'!$H$77*A974))*(1+'Giả định'!$B$16)</f>
        <v>764799860</v>
      </c>
      <c r="E974" s="25" t="n">
        <f aca="false">A974/'Giả định'!$B$19*'Giả định'!$B$20+A974*'Giả định'!$B$23+'Giả định'!$B$24</f>
        <v>716571428.571429</v>
      </c>
      <c r="F974" s="25" t="n">
        <f aca="false">E974-D974</f>
        <v>-48228431.4285715</v>
      </c>
      <c r="G974" s="25" t="n">
        <f aca="false">E974-C974</f>
        <v>94716568.5714287</v>
      </c>
      <c r="H974" s="7" t="str">
        <f aca="false">IF(F974&gt;=0,A974,"")</f>
        <v/>
      </c>
      <c r="I974" s="7" t="n">
        <f aca="false">IF(F974&lt;0,A974,0)</f>
        <v>969</v>
      </c>
      <c r="J974" s="7" t="n">
        <f aca="false">IF(G974&gt;=0,A974,"")</f>
        <v>969</v>
      </c>
      <c r="K974" s="7" t="n">
        <f aca="false">IF(G974&lt;0,A974,0)</f>
        <v>0</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621891600</v>
      </c>
      <c r="D975" s="25" t="n">
        <f aca="false">('Chi phí'!$C$77+'Chi phí'!$D$77*B975+'Chi phí'!$E$77*A975+'Giả định'!$B$15*('Chi phí'!$F$77+'Chi phí'!$G$77*B975+'Chi phí'!$H$77*A975))*(1+'Giả định'!$B$16)</f>
        <v>764836600</v>
      </c>
      <c r="E975" s="25" t="n">
        <f aca="false">A975/'Giả định'!$B$19*'Giả định'!$B$20+A975*'Giả định'!$B$23+'Giả định'!$B$24</f>
        <v>717310924.369748</v>
      </c>
      <c r="F975" s="25" t="n">
        <f aca="false">E975-D975</f>
        <v>-47525675.6302521</v>
      </c>
      <c r="G975" s="25" t="n">
        <f aca="false">E975-C975</f>
        <v>95419324.369748</v>
      </c>
      <c r="H975" s="7" t="str">
        <f aca="false">IF(F975&gt;=0,A975,"")</f>
        <v/>
      </c>
      <c r="I975" s="7" t="n">
        <f aca="false">IF(F975&lt;0,A975,0)</f>
        <v>970</v>
      </c>
      <c r="J975" s="7" t="n">
        <f aca="false">IF(G975&gt;=0,A975,"")</f>
        <v>970</v>
      </c>
      <c r="K975" s="7" t="n">
        <f aca="false">IF(G975&lt;0,A975,0)</f>
        <v>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627313940</v>
      </c>
      <c r="D976" s="25" t="n">
        <f aca="false">('Chi phí'!$C$77+'Chi phí'!$D$77*B976+'Chi phí'!$E$77*A976+'Giả định'!$B$15*('Chi phí'!$F$77+'Chi phí'!$G$77*B976+'Chi phí'!$H$77*A976))*(1+'Giả định'!$B$16)</f>
        <v>770258940</v>
      </c>
      <c r="E976" s="25" t="n">
        <f aca="false">A976/'Giả định'!$B$19*'Giả định'!$B$20+A976*'Giả định'!$B$23+'Giả định'!$B$24</f>
        <v>718050420.168067</v>
      </c>
      <c r="F976" s="25" t="n">
        <f aca="false">E976-D976</f>
        <v>-52208519.8319328</v>
      </c>
      <c r="G976" s="25" t="n">
        <f aca="false">E976-C976</f>
        <v>90736480.1680673</v>
      </c>
      <c r="H976" s="7" t="str">
        <f aca="false">IF(F976&gt;=0,A976,"")</f>
        <v/>
      </c>
      <c r="I976" s="7" t="n">
        <f aca="false">IF(F976&lt;0,A976,0)</f>
        <v>971</v>
      </c>
      <c r="J976" s="7" t="n">
        <f aca="false">IF(G976&gt;=0,A976,"")</f>
        <v>971</v>
      </c>
      <c r="K976" s="7" t="n">
        <f aca="false">IF(G976&lt;0,A976,0)</f>
        <v>0</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627350680</v>
      </c>
      <c r="D977" s="25" t="n">
        <f aca="false">('Chi phí'!$C$77+'Chi phí'!$D$77*B977+'Chi phí'!$E$77*A977+'Giả định'!$B$15*('Chi phí'!$F$77+'Chi phí'!$G$77*B977+'Chi phí'!$H$77*A977))*(1+'Giả định'!$B$16)</f>
        <v>770295680</v>
      </c>
      <c r="E977" s="25" t="n">
        <f aca="false">A977/'Giả định'!$B$19*'Giả định'!$B$20+A977*'Giả định'!$B$23+'Giả định'!$B$24</f>
        <v>718789915.966387</v>
      </c>
      <c r="F977" s="25" t="n">
        <f aca="false">E977-D977</f>
        <v>-51505764.0336134</v>
      </c>
      <c r="G977" s="25" t="n">
        <f aca="false">E977-C977</f>
        <v>91439235.9663867</v>
      </c>
      <c r="H977" s="7" t="str">
        <f aca="false">IF(F977&gt;=0,A977,"")</f>
        <v/>
      </c>
      <c r="I977" s="7" t="n">
        <f aca="false">IF(F977&lt;0,A977,0)</f>
        <v>972</v>
      </c>
      <c r="J977" s="7" t="n">
        <f aca="false">IF(G977&gt;=0,A977,"")</f>
        <v>972</v>
      </c>
      <c r="K977" s="7" t="n">
        <f aca="false">IF(G977&lt;0,A977,0)</f>
        <v>0</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627387420</v>
      </c>
      <c r="D978" s="25" t="n">
        <f aca="false">('Chi phí'!$C$77+'Chi phí'!$D$77*B978+'Chi phí'!$E$77*A978+'Giả định'!$B$15*('Chi phí'!$F$77+'Chi phí'!$G$77*B978+'Chi phí'!$H$77*A978))*(1+'Giả định'!$B$16)</f>
        <v>770332420</v>
      </c>
      <c r="E978" s="25" t="n">
        <f aca="false">A978/'Giả định'!$B$19*'Giả định'!$B$20+A978*'Giả định'!$B$23+'Giả định'!$B$24</f>
        <v>719529411.764706</v>
      </c>
      <c r="F978" s="25" t="n">
        <f aca="false">E978-D978</f>
        <v>-50803008.2352942</v>
      </c>
      <c r="G978" s="25" t="n">
        <f aca="false">E978-C978</f>
        <v>92141991.7647059</v>
      </c>
      <c r="H978" s="7" t="str">
        <f aca="false">IF(F978&gt;=0,A978,"")</f>
        <v/>
      </c>
      <c r="I978" s="7" t="n">
        <f aca="false">IF(F978&lt;0,A978,0)</f>
        <v>973</v>
      </c>
      <c r="J978" s="7" t="n">
        <f aca="false">IF(G978&gt;=0,A978,"")</f>
        <v>973</v>
      </c>
      <c r="K978" s="7" t="n">
        <f aca="false">IF(G978&lt;0,A978,0)</f>
        <v>0</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627424160</v>
      </c>
      <c r="D979" s="25" t="n">
        <f aca="false">('Chi phí'!$C$77+'Chi phí'!$D$77*B979+'Chi phí'!$E$77*A979+'Giả định'!$B$15*('Chi phí'!$F$77+'Chi phí'!$G$77*B979+'Chi phí'!$H$77*A979))*(1+'Giả định'!$B$16)</f>
        <v>770369160</v>
      </c>
      <c r="E979" s="25" t="n">
        <f aca="false">A979/'Giả định'!$B$19*'Giả định'!$B$20+A979*'Giả định'!$B$23+'Giả định'!$B$24</f>
        <v>720268907.563025</v>
      </c>
      <c r="F979" s="25" t="n">
        <f aca="false">E979-D979</f>
        <v>-50100252.4369749</v>
      </c>
      <c r="G979" s="25" t="n">
        <f aca="false">E979-C979</f>
        <v>92844747.5630252</v>
      </c>
      <c r="H979" s="7" t="str">
        <f aca="false">IF(F979&gt;=0,A979,"")</f>
        <v/>
      </c>
      <c r="I979" s="7" t="n">
        <f aca="false">IF(F979&lt;0,A979,0)</f>
        <v>974</v>
      </c>
      <c r="J979" s="7" t="n">
        <f aca="false">IF(G979&gt;=0,A979,"")</f>
        <v>974</v>
      </c>
      <c r="K979" s="7" t="n">
        <f aca="false">IF(G979&lt;0,A979,0)</f>
        <v>0</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627460900</v>
      </c>
      <c r="D980" s="25" t="n">
        <f aca="false">('Chi phí'!$C$77+'Chi phí'!$D$77*B980+'Chi phí'!$E$77*A980+'Giả định'!$B$15*('Chi phí'!$F$77+'Chi phí'!$G$77*B980+'Chi phí'!$H$77*A980))*(1+'Giả định'!$B$16)</f>
        <v>770405900</v>
      </c>
      <c r="E980" s="25" t="n">
        <f aca="false">A980/'Giả định'!$B$19*'Giả định'!$B$20+A980*'Giả định'!$B$23+'Giả định'!$B$24</f>
        <v>721008403.361345</v>
      </c>
      <c r="F980" s="25" t="n">
        <f aca="false">E980-D980</f>
        <v>-49397496.6386555</v>
      </c>
      <c r="G980" s="25" t="n">
        <f aca="false">E980-C980</f>
        <v>93547503.3613446</v>
      </c>
      <c r="H980" s="7" t="str">
        <f aca="false">IF(F980&gt;=0,A980,"")</f>
        <v/>
      </c>
      <c r="I980" s="7" t="n">
        <f aca="false">IF(F980&lt;0,A980,0)</f>
        <v>975</v>
      </c>
      <c r="J980" s="7" t="n">
        <f aca="false">IF(G980&gt;=0,A980,"")</f>
        <v>975</v>
      </c>
      <c r="K980" s="7" t="n">
        <f aca="false">IF(G980&lt;0,A980,0)</f>
        <v>0</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627497640</v>
      </c>
      <c r="D981" s="25" t="n">
        <f aca="false">('Chi phí'!$C$77+'Chi phí'!$D$77*B981+'Chi phí'!$E$77*A981+'Giả định'!$B$15*('Chi phí'!$F$77+'Chi phí'!$G$77*B981+'Chi phí'!$H$77*A981))*(1+'Giả định'!$B$16)</f>
        <v>770442640</v>
      </c>
      <c r="E981" s="25" t="n">
        <f aca="false">A981/'Giả định'!$B$19*'Giả định'!$B$20+A981*'Giả định'!$B$23+'Giả định'!$B$24</f>
        <v>721747899.159664</v>
      </c>
      <c r="F981" s="25" t="n">
        <f aca="false">E981-D981</f>
        <v>-48694740.8403362</v>
      </c>
      <c r="G981" s="25" t="n">
        <f aca="false">E981-C981</f>
        <v>94250259.1596639</v>
      </c>
      <c r="H981" s="7" t="str">
        <f aca="false">IF(F981&gt;=0,A981,"")</f>
        <v/>
      </c>
      <c r="I981" s="7" t="n">
        <f aca="false">IF(F981&lt;0,A981,0)</f>
        <v>976</v>
      </c>
      <c r="J981" s="7" t="n">
        <f aca="false">IF(G981&gt;=0,A981,"")</f>
        <v>976</v>
      </c>
      <c r="K981" s="7" t="n">
        <f aca="false">IF(G981&lt;0,A981,0)</f>
        <v>0</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627534380</v>
      </c>
      <c r="D982" s="25" t="n">
        <f aca="false">('Chi phí'!$C$77+'Chi phí'!$D$77*B982+'Chi phí'!$E$77*A982+'Giả định'!$B$15*('Chi phí'!$F$77+'Chi phí'!$G$77*B982+'Chi phí'!$H$77*A982))*(1+'Giả định'!$B$16)</f>
        <v>770479380</v>
      </c>
      <c r="E982" s="25" t="n">
        <f aca="false">A982/'Giả định'!$B$19*'Giả định'!$B$20+A982*'Giả định'!$B$23+'Giả định'!$B$24</f>
        <v>722487394.957983</v>
      </c>
      <c r="F982" s="25" t="n">
        <f aca="false">E982-D982</f>
        <v>-47991985.0420169</v>
      </c>
      <c r="G982" s="25" t="n">
        <f aca="false">E982-C982</f>
        <v>94953014.9579833</v>
      </c>
      <c r="H982" s="7" t="str">
        <f aca="false">IF(F982&gt;=0,A982,"")</f>
        <v/>
      </c>
      <c r="I982" s="7" t="n">
        <f aca="false">IF(F982&lt;0,A982,0)</f>
        <v>977</v>
      </c>
      <c r="J982" s="7" t="n">
        <f aca="false">IF(G982&gt;=0,A982,"")</f>
        <v>977</v>
      </c>
      <c r="K982" s="7" t="n">
        <f aca="false">IF(G982&lt;0,A982,0)</f>
        <v>0</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627571120</v>
      </c>
      <c r="D983" s="25" t="n">
        <f aca="false">('Chi phí'!$C$77+'Chi phí'!$D$77*B983+'Chi phí'!$E$77*A983+'Giả định'!$B$15*('Chi phí'!$F$77+'Chi phí'!$G$77*B983+'Chi phí'!$H$77*A983))*(1+'Giả định'!$B$16)</f>
        <v>770516120</v>
      </c>
      <c r="E983" s="25" t="n">
        <f aca="false">A983/'Giả định'!$B$19*'Giả định'!$B$20+A983*'Giả định'!$B$23+'Giả định'!$B$24</f>
        <v>723226890.756303</v>
      </c>
      <c r="F983" s="25" t="n">
        <f aca="false">E983-D983</f>
        <v>-47289229.2436975</v>
      </c>
      <c r="G983" s="25" t="n">
        <f aca="false">E983-C983</f>
        <v>95655770.7563026</v>
      </c>
      <c r="H983" s="7" t="str">
        <f aca="false">IF(F983&gt;=0,A983,"")</f>
        <v/>
      </c>
      <c r="I983" s="7" t="n">
        <f aca="false">IF(F983&lt;0,A983,0)</f>
        <v>978</v>
      </c>
      <c r="J983" s="7" t="n">
        <f aca="false">IF(G983&gt;=0,A983,"")</f>
        <v>978</v>
      </c>
      <c r="K983" s="7" t="n">
        <f aca="false">IF(G983&lt;0,A983,0)</f>
        <v>0</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627607860</v>
      </c>
      <c r="D984" s="25" t="n">
        <f aca="false">('Chi phí'!$C$77+'Chi phí'!$D$77*B984+'Chi phí'!$E$77*A984+'Giả định'!$B$15*('Chi phí'!$F$77+'Chi phí'!$G$77*B984+'Chi phí'!$H$77*A984))*(1+'Giả định'!$B$16)</f>
        <v>770552860</v>
      </c>
      <c r="E984" s="25" t="n">
        <f aca="false">A984/'Giả định'!$B$19*'Giả định'!$B$20+A984*'Giả định'!$B$23+'Giả định'!$B$24</f>
        <v>723966386.554622</v>
      </c>
      <c r="F984" s="25" t="n">
        <f aca="false">E984-D984</f>
        <v>-46586473.4453782</v>
      </c>
      <c r="G984" s="25" t="n">
        <f aca="false">E984-C984</f>
        <v>96358526.5546219</v>
      </c>
      <c r="H984" s="7" t="str">
        <f aca="false">IF(F984&gt;=0,A984,"")</f>
        <v/>
      </c>
      <c r="I984" s="7" t="n">
        <f aca="false">IF(F984&lt;0,A984,0)</f>
        <v>979</v>
      </c>
      <c r="J984" s="7" t="n">
        <f aca="false">IF(G984&gt;=0,A984,"")</f>
        <v>979</v>
      </c>
      <c r="K984" s="7" t="n">
        <f aca="false">IF(G984&lt;0,A984,0)</f>
        <v>0</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627644600</v>
      </c>
      <c r="D985" s="25" t="n">
        <f aca="false">('Chi phí'!$C$77+'Chi phí'!$D$77*B985+'Chi phí'!$E$77*A985+'Giả định'!$B$15*('Chi phí'!$F$77+'Chi phí'!$G$77*B985+'Chi phí'!$H$77*A985))*(1+'Giả định'!$B$16)</f>
        <v>770589600</v>
      </c>
      <c r="E985" s="25" t="n">
        <f aca="false">A985/'Giả định'!$B$19*'Giả định'!$B$20+A985*'Giả định'!$B$23+'Giả định'!$B$24</f>
        <v>724705882.352941</v>
      </c>
      <c r="F985" s="25" t="n">
        <f aca="false">E985-D985</f>
        <v>-45883717.647059</v>
      </c>
      <c r="G985" s="25" t="n">
        <f aca="false">E985-C985</f>
        <v>97061282.3529412</v>
      </c>
      <c r="H985" s="7" t="str">
        <f aca="false">IF(F985&gt;=0,A985,"")</f>
        <v/>
      </c>
      <c r="I985" s="7" t="n">
        <f aca="false">IF(F985&lt;0,A985,0)</f>
        <v>980</v>
      </c>
      <c r="J985" s="7" t="n">
        <f aca="false">IF(G985&gt;=0,A985,"")</f>
        <v>980</v>
      </c>
      <c r="K985" s="7" t="n">
        <f aca="false">IF(G985&lt;0,A985,0)</f>
        <v>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633066940</v>
      </c>
      <c r="D986" s="25" t="n">
        <f aca="false">('Chi phí'!$C$77+'Chi phí'!$D$77*B986+'Chi phí'!$E$77*A986+'Giả định'!$B$15*('Chi phí'!$F$77+'Chi phí'!$G$77*B986+'Chi phí'!$H$77*A986))*(1+'Giả định'!$B$16)</f>
        <v>776011940</v>
      </c>
      <c r="E986" s="25" t="n">
        <f aca="false">A986/'Giả định'!$B$19*'Giả định'!$B$20+A986*'Giả định'!$B$23+'Giả định'!$B$24</f>
        <v>725445378.151261</v>
      </c>
      <c r="F986" s="25" t="n">
        <f aca="false">E986-D986</f>
        <v>-50566561.8487396</v>
      </c>
      <c r="G986" s="25" t="n">
        <f aca="false">E986-C986</f>
        <v>92378438.1512605</v>
      </c>
      <c r="H986" s="7" t="str">
        <f aca="false">IF(F986&gt;=0,A986,"")</f>
        <v/>
      </c>
      <c r="I986" s="7" t="n">
        <f aca="false">IF(F986&lt;0,A986,0)</f>
        <v>981</v>
      </c>
      <c r="J986" s="7" t="n">
        <f aca="false">IF(G986&gt;=0,A986,"")</f>
        <v>981</v>
      </c>
      <c r="K986" s="7" t="n">
        <f aca="false">IF(G986&lt;0,A986,0)</f>
        <v>0</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633103680</v>
      </c>
      <c r="D987" s="25" t="n">
        <f aca="false">('Chi phí'!$C$77+'Chi phí'!$D$77*B987+'Chi phí'!$E$77*A987+'Giả định'!$B$15*('Chi phí'!$F$77+'Chi phí'!$G$77*B987+'Chi phí'!$H$77*A987))*(1+'Giả định'!$B$16)</f>
        <v>776048680</v>
      </c>
      <c r="E987" s="25" t="n">
        <f aca="false">A987/'Giả định'!$B$19*'Giả định'!$B$20+A987*'Giả định'!$B$23+'Giả định'!$B$24</f>
        <v>726184873.94958</v>
      </c>
      <c r="F987" s="25" t="n">
        <f aca="false">E987-D987</f>
        <v>-49863806.0504203</v>
      </c>
      <c r="G987" s="25" t="n">
        <f aca="false">E987-C987</f>
        <v>93081193.9495798</v>
      </c>
      <c r="H987" s="7" t="str">
        <f aca="false">IF(F987&gt;=0,A987,"")</f>
        <v/>
      </c>
      <c r="I987" s="7" t="n">
        <f aca="false">IF(F987&lt;0,A987,0)</f>
        <v>982</v>
      </c>
      <c r="J987" s="7" t="n">
        <f aca="false">IF(G987&gt;=0,A987,"")</f>
        <v>982</v>
      </c>
      <c r="K987" s="7" t="n">
        <f aca="false">IF(G987&lt;0,A987,0)</f>
        <v>0</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633140420</v>
      </c>
      <c r="D988" s="25" t="n">
        <f aca="false">('Chi phí'!$C$77+'Chi phí'!$D$77*B988+'Chi phí'!$E$77*A988+'Giả định'!$B$15*('Chi phí'!$F$77+'Chi phí'!$G$77*B988+'Chi phí'!$H$77*A988))*(1+'Giả định'!$B$16)</f>
        <v>776085420</v>
      </c>
      <c r="E988" s="25" t="n">
        <f aca="false">A988/'Giả định'!$B$19*'Giả định'!$B$20+A988*'Giả định'!$B$23+'Giả định'!$B$24</f>
        <v>726924369.747899</v>
      </c>
      <c r="F988" s="25" t="n">
        <f aca="false">E988-D988</f>
        <v>-49161050.2521009</v>
      </c>
      <c r="G988" s="25" t="n">
        <f aca="false">E988-C988</f>
        <v>93783949.7478992</v>
      </c>
      <c r="H988" s="7" t="str">
        <f aca="false">IF(F988&gt;=0,A988,"")</f>
        <v/>
      </c>
      <c r="I988" s="7" t="n">
        <f aca="false">IF(F988&lt;0,A988,0)</f>
        <v>983</v>
      </c>
      <c r="J988" s="7" t="n">
        <f aca="false">IF(G988&gt;=0,A988,"")</f>
        <v>983</v>
      </c>
      <c r="K988" s="7" t="n">
        <f aca="false">IF(G988&lt;0,A988,0)</f>
        <v>0</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633177160</v>
      </c>
      <c r="D989" s="25" t="n">
        <f aca="false">('Chi phí'!$C$77+'Chi phí'!$D$77*B989+'Chi phí'!$E$77*A989+'Giả định'!$B$15*('Chi phí'!$F$77+'Chi phí'!$G$77*B989+'Chi phí'!$H$77*A989))*(1+'Giả định'!$B$16)</f>
        <v>776122160</v>
      </c>
      <c r="E989" s="25" t="n">
        <f aca="false">A989/'Giả định'!$B$19*'Giả định'!$B$20+A989*'Giả định'!$B$23+'Giả định'!$B$24</f>
        <v>727663865.546219</v>
      </c>
      <c r="F989" s="25" t="n">
        <f aca="false">E989-D989</f>
        <v>-48458294.4537816</v>
      </c>
      <c r="G989" s="25" t="n">
        <f aca="false">E989-C989</f>
        <v>94486705.5462185</v>
      </c>
      <c r="H989" s="7" t="str">
        <f aca="false">IF(F989&gt;=0,A989,"")</f>
        <v/>
      </c>
      <c r="I989" s="7" t="n">
        <f aca="false">IF(F989&lt;0,A989,0)</f>
        <v>984</v>
      </c>
      <c r="J989" s="7" t="n">
        <f aca="false">IF(G989&gt;=0,A989,"")</f>
        <v>984</v>
      </c>
      <c r="K989" s="7" t="n">
        <f aca="false">IF(G989&lt;0,A989,0)</f>
        <v>0</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633213900</v>
      </c>
      <c r="D990" s="25" t="n">
        <f aca="false">('Chi phí'!$C$77+'Chi phí'!$D$77*B990+'Chi phí'!$E$77*A990+'Giả định'!$B$15*('Chi phí'!$F$77+'Chi phí'!$G$77*B990+'Chi phí'!$H$77*A990))*(1+'Giả định'!$B$16)</f>
        <v>776158900</v>
      </c>
      <c r="E990" s="25" t="n">
        <f aca="false">A990/'Giả định'!$B$19*'Giả định'!$B$20+A990*'Giả định'!$B$23+'Giả định'!$B$24</f>
        <v>728403361.344538</v>
      </c>
      <c r="F990" s="25" t="n">
        <f aca="false">E990-D990</f>
        <v>-47755538.6554623</v>
      </c>
      <c r="G990" s="25" t="n">
        <f aca="false">E990-C990</f>
        <v>95189461.3445379</v>
      </c>
      <c r="H990" s="7" t="str">
        <f aca="false">IF(F990&gt;=0,A990,"")</f>
        <v/>
      </c>
      <c r="I990" s="7" t="n">
        <f aca="false">IF(F990&lt;0,A990,0)</f>
        <v>985</v>
      </c>
      <c r="J990" s="7" t="n">
        <f aca="false">IF(G990&gt;=0,A990,"")</f>
        <v>985</v>
      </c>
      <c r="K990" s="7" t="n">
        <f aca="false">IF(G990&lt;0,A990,0)</f>
        <v>0</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633250640</v>
      </c>
      <c r="D991" s="25" t="n">
        <f aca="false">('Chi phí'!$C$77+'Chi phí'!$D$77*B991+'Chi phí'!$E$77*A991+'Giả định'!$B$15*('Chi phí'!$F$77+'Chi phí'!$G$77*B991+'Chi phí'!$H$77*A991))*(1+'Giả định'!$B$16)</f>
        <v>776195640</v>
      </c>
      <c r="E991" s="25" t="n">
        <f aca="false">A991/'Giả định'!$B$19*'Giả định'!$B$20+A991*'Giả định'!$B$23+'Giả định'!$B$24</f>
        <v>729142857.142857</v>
      </c>
      <c r="F991" s="25" t="n">
        <f aca="false">E991-D991</f>
        <v>-47052782.8571428</v>
      </c>
      <c r="G991" s="25" t="n">
        <f aca="false">E991-C991</f>
        <v>95892217.1428573</v>
      </c>
      <c r="H991" s="7" t="str">
        <f aca="false">IF(F991&gt;=0,A991,"")</f>
        <v/>
      </c>
      <c r="I991" s="7" t="n">
        <f aca="false">IF(F991&lt;0,A991,0)</f>
        <v>986</v>
      </c>
      <c r="J991" s="7" t="n">
        <f aca="false">IF(G991&gt;=0,A991,"")</f>
        <v>986</v>
      </c>
      <c r="K991" s="7" t="n">
        <f aca="false">IF(G991&lt;0,A991,0)</f>
        <v>0</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633287380</v>
      </c>
      <c r="D992" s="25" t="n">
        <f aca="false">('Chi phí'!$C$77+'Chi phí'!$D$77*B992+'Chi phí'!$E$77*A992+'Giả định'!$B$15*('Chi phí'!$F$77+'Chi phí'!$G$77*B992+'Chi phí'!$H$77*A992))*(1+'Giả định'!$B$16)</f>
        <v>776232380</v>
      </c>
      <c r="E992" s="25" t="n">
        <f aca="false">A992/'Giả định'!$B$19*'Giả định'!$B$20+A992*'Giả định'!$B$23+'Giả định'!$B$24</f>
        <v>729882352.941177</v>
      </c>
      <c r="F992" s="25" t="n">
        <f aca="false">E992-D992</f>
        <v>-46350027.0588236</v>
      </c>
      <c r="G992" s="25" t="n">
        <f aca="false">E992-C992</f>
        <v>96594972.9411765</v>
      </c>
      <c r="H992" s="7" t="str">
        <f aca="false">IF(F992&gt;=0,A992,"")</f>
        <v/>
      </c>
      <c r="I992" s="7" t="n">
        <f aca="false">IF(F992&lt;0,A992,0)</f>
        <v>987</v>
      </c>
      <c r="J992" s="7" t="n">
        <f aca="false">IF(G992&gt;=0,A992,"")</f>
        <v>987</v>
      </c>
      <c r="K992" s="7" t="n">
        <f aca="false">IF(G992&lt;0,A992,0)</f>
        <v>0</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633324120</v>
      </c>
      <c r="D993" s="25" t="n">
        <f aca="false">('Chi phí'!$C$77+'Chi phí'!$D$77*B993+'Chi phí'!$E$77*A993+'Giả định'!$B$15*('Chi phí'!$F$77+'Chi phí'!$G$77*B993+'Chi phí'!$H$77*A993))*(1+'Giả định'!$B$16)</f>
        <v>776269120</v>
      </c>
      <c r="E993" s="25" t="n">
        <f aca="false">A993/'Giả định'!$B$19*'Giả định'!$B$20+A993*'Giả định'!$B$23+'Giả định'!$B$24</f>
        <v>730621848.739496</v>
      </c>
      <c r="F993" s="25" t="n">
        <f aca="false">E993-D993</f>
        <v>-45647271.2605042</v>
      </c>
      <c r="G993" s="25" t="n">
        <f aca="false">E993-C993</f>
        <v>97297728.7394959</v>
      </c>
      <c r="H993" s="7" t="str">
        <f aca="false">IF(F993&gt;=0,A993,"")</f>
        <v/>
      </c>
      <c r="I993" s="7" t="n">
        <f aca="false">IF(F993&lt;0,A993,0)</f>
        <v>988</v>
      </c>
      <c r="J993" s="7" t="n">
        <f aca="false">IF(G993&gt;=0,A993,"")</f>
        <v>988</v>
      </c>
      <c r="K993" s="7" t="n">
        <f aca="false">IF(G993&lt;0,A993,0)</f>
        <v>0</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633360860</v>
      </c>
      <c r="D994" s="25" t="n">
        <f aca="false">('Chi phí'!$C$77+'Chi phí'!$D$77*B994+'Chi phí'!$E$77*A994+'Giả định'!$B$15*('Chi phí'!$F$77+'Chi phí'!$G$77*B994+'Chi phí'!$H$77*A994))*(1+'Giả định'!$B$16)</f>
        <v>776305860</v>
      </c>
      <c r="E994" s="25" t="n">
        <f aca="false">A994/'Giả định'!$B$19*'Giả định'!$B$20+A994*'Giả định'!$B$23+'Giả định'!$B$24</f>
        <v>731361344.537815</v>
      </c>
      <c r="F994" s="25" t="n">
        <f aca="false">E994-D994</f>
        <v>-44944515.4621849</v>
      </c>
      <c r="G994" s="25" t="n">
        <f aca="false">E994-C994</f>
        <v>98000484.5378152</v>
      </c>
      <c r="H994" s="7" t="str">
        <f aca="false">IF(F994&gt;=0,A994,"")</f>
        <v/>
      </c>
      <c r="I994" s="7" t="n">
        <f aca="false">IF(F994&lt;0,A994,0)</f>
        <v>989</v>
      </c>
      <c r="J994" s="7" t="n">
        <f aca="false">IF(G994&gt;=0,A994,"")</f>
        <v>989</v>
      </c>
      <c r="K994" s="7" t="n">
        <f aca="false">IF(G994&lt;0,A994,0)</f>
        <v>0</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633397600</v>
      </c>
      <c r="D995" s="25" t="n">
        <f aca="false">('Chi phí'!$C$77+'Chi phí'!$D$77*B995+'Chi phí'!$E$77*A995+'Giả định'!$B$15*('Chi phí'!$F$77+'Chi phí'!$G$77*B995+'Chi phí'!$H$77*A995))*(1+'Giả định'!$B$16)</f>
        <v>776342600</v>
      </c>
      <c r="E995" s="25" t="n">
        <f aca="false">A995/'Giả định'!$B$19*'Giả định'!$B$20+A995*'Giả định'!$B$23+'Giả định'!$B$24</f>
        <v>732100840.336135</v>
      </c>
      <c r="F995" s="25" t="n">
        <f aca="false">E995-D995</f>
        <v>-44241759.6638656</v>
      </c>
      <c r="G995" s="25" t="n">
        <f aca="false">E995-C995</f>
        <v>98703240.3361346</v>
      </c>
      <c r="H995" s="7" t="str">
        <f aca="false">IF(F995&gt;=0,A995,"")</f>
        <v/>
      </c>
      <c r="I995" s="7" t="n">
        <f aca="false">IF(F995&lt;0,A995,0)</f>
        <v>990</v>
      </c>
      <c r="J995" s="7" t="n">
        <f aca="false">IF(G995&gt;=0,A995,"")</f>
        <v>990</v>
      </c>
      <c r="K995" s="7" t="n">
        <f aca="false">IF(G995&lt;0,A995,0)</f>
        <v>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638819940</v>
      </c>
      <c r="D996" s="25" t="n">
        <f aca="false">('Chi phí'!$C$77+'Chi phí'!$D$77*B996+'Chi phí'!$E$77*A996+'Giả định'!$B$15*('Chi phí'!$F$77+'Chi phí'!$G$77*B996+'Chi phí'!$H$77*A996))*(1+'Giả định'!$B$16)</f>
        <v>781764940</v>
      </c>
      <c r="E996" s="25" t="n">
        <f aca="false">A996/'Giả định'!$B$19*'Giả định'!$B$20+A996*'Giả định'!$B$23+'Giả định'!$B$24</f>
        <v>732840336.134454</v>
      </c>
      <c r="F996" s="25" t="n">
        <f aca="false">E996-D996</f>
        <v>-48924603.8655462</v>
      </c>
      <c r="G996" s="25" t="n">
        <f aca="false">E996-C996</f>
        <v>94020396.1344539</v>
      </c>
      <c r="H996" s="7" t="str">
        <f aca="false">IF(F996&gt;=0,A996,"")</f>
        <v/>
      </c>
      <c r="I996" s="7" t="n">
        <f aca="false">IF(F996&lt;0,A996,0)</f>
        <v>991</v>
      </c>
      <c r="J996" s="7" t="n">
        <f aca="false">IF(G996&gt;=0,A996,"")</f>
        <v>991</v>
      </c>
      <c r="K996" s="7" t="n">
        <f aca="false">IF(G996&lt;0,A996,0)</f>
        <v>0</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638856680</v>
      </c>
      <c r="D997" s="25" t="n">
        <f aca="false">('Chi phí'!$C$77+'Chi phí'!$D$77*B997+'Chi phí'!$E$77*A997+'Giả định'!$B$15*('Chi phí'!$F$77+'Chi phí'!$G$77*B997+'Chi phí'!$H$77*A997))*(1+'Giả định'!$B$16)</f>
        <v>781801680</v>
      </c>
      <c r="E997" s="25" t="n">
        <f aca="false">A997/'Giả định'!$B$19*'Giả định'!$B$20+A997*'Giả định'!$B$23+'Giả định'!$B$24</f>
        <v>733579831.932773</v>
      </c>
      <c r="F997" s="25" t="n">
        <f aca="false">E997-D997</f>
        <v>-48221848.0672269</v>
      </c>
      <c r="G997" s="25" t="n">
        <f aca="false">E997-C997</f>
        <v>94723151.9327732</v>
      </c>
      <c r="H997" s="7" t="str">
        <f aca="false">IF(F997&gt;=0,A997,"")</f>
        <v/>
      </c>
      <c r="I997" s="7" t="n">
        <f aca="false">IF(F997&lt;0,A997,0)</f>
        <v>992</v>
      </c>
      <c r="J997" s="7" t="n">
        <f aca="false">IF(G997&gt;=0,A997,"")</f>
        <v>992</v>
      </c>
      <c r="K997" s="7" t="n">
        <f aca="false">IF(G997&lt;0,A997,0)</f>
        <v>0</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638893420</v>
      </c>
      <c r="D998" s="25" t="n">
        <f aca="false">('Chi phí'!$C$77+'Chi phí'!$D$77*B998+'Chi phí'!$E$77*A998+'Giả định'!$B$15*('Chi phí'!$F$77+'Chi phí'!$G$77*B998+'Chi phí'!$H$77*A998))*(1+'Giả định'!$B$16)</f>
        <v>781838420</v>
      </c>
      <c r="E998" s="25" t="n">
        <f aca="false">A998/'Giả định'!$B$19*'Giả định'!$B$20+A998*'Giả định'!$B$23+'Giả định'!$B$24</f>
        <v>734319327.731093</v>
      </c>
      <c r="F998" s="25" t="n">
        <f aca="false">E998-D998</f>
        <v>-47519092.2689076</v>
      </c>
      <c r="G998" s="25" t="n">
        <f aca="false">E998-C998</f>
        <v>95425907.7310926</v>
      </c>
      <c r="H998" s="7" t="str">
        <f aca="false">IF(F998&gt;=0,A998,"")</f>
        <v/>
      </c>
      <c r="I998" s="7" t="n">
        <f aca="false">IF(F998&lt;0,A998,0)</f>
        <v>993</v>
      </c>
      <c r="J998" s="7" t="n">
        <f aca="false">IF(G998&gt;=0,A998,"")</f>
        <v>993</v>
      </c>
      <c r="K998" s="7" t="n">
        <f aca="false">IF(G998&lt;0,A998,0)</f>
        <v>0</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638930160</v>
      </c>
      <c r="D999" s="25" t="n">
        <f aca="false">('Chi phí'!$C$77+'Chi phí'!$D$77*B999+'Chi phí'!$E$77*A999+'Giả định'!$B$15*('Chi phí'!$F$77+'Chi phí'!$G$77*B999+'Chi phí'!$H$77*A999))*(1+'Giả định'!$B$16)</f>
        <v>781875160</v>
      </c>
      <c r="E999" s="25" t="n">
        <f aca="false">A999/'Giả định'!$B$19*'Giả định'!$B$20+A999*'Giả định'!$B$23+'Giả định'!$B$24</f>
        <v>735058823.529412</v>
      </c>
      <c r="F999" s="25" t="n">
        <f aca="false">E999-D999</f>
        <v>-46816336.4705883</v>
      </c>
      <c r="G999" s="25" t="n">
        <f aca="false">E999-C999</f>
        <v>96128663.5294118</v>
      </c>
      <c r="H999" s="7" t="str">
        <f aca="false">IF(F999&gt;=0,A999,"")</f>
        <v/>
      </c>
      <c r="I999" s="7" t="n">
        <f aca="false">IF(F999&lt;0,A999,0)</f>
        <v>994</v>
      </c>
      <c r="J999" s="7" t="n">
        <f aca="false">IF(G999&gt;=0,A999,"")</f>
        <v>994</v>
      </c>
      <c r="K999" s="7" t="n">
        <f aca="false">IF(G999&lt;0,A999,0)</f>
        <v>0</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638966900</v>
      </c>
      <c r="D1000" s="25" t="n">
        <f aca="false">('Chi phí'!$C$77+'Chi phí'!$D$77*B1000+'Chi phí'!$E$77*A1000+'Giả định'!$B$15*('Chi phí'!$F$77+'Chi phí'!$G$77*B1000+'Chi phí'!$H$77*A1000))*(1+'Giả định'!$B$16)</f>
        <v>781911900</v>
      </c>
      <c r="E1000" s="25" t="n">
        <f aca="false">A1000/'Giả định'!$B$19*'Giả định'!$B$20+A1000*'Giả định'!$B$23+'Giả định'!$B$24</f>
        <v>735798319.327731</v>
      </c>
      <c r="F1000" s="25" t="n">
        <f aca="false">E1000-D1000</f>
        <v>-46113580.672269</v>
      </c>
      <c r="G1000" s="25" t="n">
        <f aca="false">E1000-C1000</f>
        <v>96831419.3277311</v>
      </c>
      <c r="H1000" s="7" t="str">
        <f aca="false">IF(F1000&gt;=0,A1000,"")</f>
        <v/>
      </c>
      <c r="I1000" s="7" t="n">
        <f aca="false">IF(F1000&lt;0,A1000,0)</f>
        <v>995</v>
      </c>
      <c r="J1000" s="7" t="n">
        <f aca="false">IF(G1000&gt;=0,A1000,"")</f>
        <v>995</v>
      </c>
      <c r="K1000" s="7" t="n">
        <f aca="false">IF(G1000&lt;0,A1000,0)</f>
        <v>0</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639003640</v>
      </c>
      <c r="D1001" s="25" t="n">
        <f aca="false">('Chi phí'!$C$77+'Chi phí'!$D$77*B1001+'Chi phí'!$E$77*A1001+'Giả định'!$B$15*('Chi phí'!$F$77+'Chi phí'!$G$77*B1001+'Chi phí'!$H$77*A1001))*(1+'Giả định'!$B$16)</f>
        <v>781948640</v>
      </c>
      <c r="E1001" s="25" t="n">
        <f aca="false">A1001/'Giả định'!$B$19*'Giả định'!$B$20+A1001*'Giả định'!$B$23+'Giả định'!$B$24</f>
        <v>736537815.126051</v>
      </c>
      <c r="F1001" s="25" t="n">
        <f aca="false">E1001-D1001</f>
        <v>-45410824.8739497</v>
      </c>
      <c r="G1001" s="25" t="n">
        <f aca="false">E1001-C1001</f>
        <v>97534175.1260505</v>
      </c>
      <c r="H1001" s="7" t="str">
        <f aca="false">IF(F1001&gt;=0,A1001,"")</f>
        <v/>
      </c>
      <c r="I1001" s="7" t="n">
        <f aca="false">IF(F1001&lt;0,A1001,0)</f>
        <v>996</v>
      </c>
      <c r="J1001" s="7" t="n">
        <f aca="false">IF(G1001&gt;=0,A1001,"")</f>
        <v>996</v>
      </c>
      <c r="K1001" s="7" t="n">
        <f aca="false">IF(G1001&lt;0,A1001,0)</f>
        <v>0</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639040380</v>
      </c>
      <c r="D1002" s="25" t="n">
        <f aca="false">('Chi phí'!$C$77+'Chi phí'!$D$77*B1002+'Chi phí'!$E$77*A1002+'Giả định'!$B$15*('Chi phí'!$F$77+'Chi phí'!$G$77*B1002+'Chi phí'!$H$77*A1002))*(1+'Giả định'!$B$16)</f>
        <v>781985380</v>
      </c>
      <c r="E1002" s="25" t="n">
        <f aca="false">A1002/'Giả định'!$B$19*'Giả định'!$B$20+A1002*'Giả định'!$B$23+'Giả định'!$B$24</f>
        <v>737277310.92437</v>
      </c>
      <c r="F1002" s="25" t="n">
        <f aca="false">E1002-D1002</f>
        <v>-44708069.0756303</v>
      </c>
      <c r="G1002" s="25" t="n">
        <f aca="false">E1002-C1002</f>
        <v>98236930.9243698</v>
      </c>
      <c r="H1002" s="7" t="str">
        <f aca="false">IF(F1002&gt;=0,A1002,"")</f>
        <v/>
      </c>
      <c r="I1002" s="7" t="n">
        <f aca="false">IF(F1002&lt;0,A1002,0)</f>
        <v>997</v>
      </c>
      <c r="J1002" s="7" t="n">
        <f aca="false">IF(G1002&gt;=0,A1002,"")</f>
        <v>997</v>
      </c>
      <c r="K1002" s="7" t="n">
        <f aca="false">IF(G1002&lt;0,A1002,0)</f>
        <v>0</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639077120</v>
      </c>
      <c r="D1003" s="25" t="n">
        <f aca="false">('Chi phí'!$C$77+'Chi phí'!$D$77*B1003+'Chi phí'!$E$77*A1003+'Giả định'!$B$15*('Chi phí'!$F$77+'Chi phí'!$G$77*B1003+'Chi phí'!$H$77*A1003))*(1+'Giả định'!$B$16)</f>
        <v>782022120</v>
      </c>
      <c r="E1003" s="25" t="n">
        <f aca="false">A1003/'Giả định'!$B$19*'Giả định'!$B$20+A1003*'Giả định'!$B$23+'Giả định'!$B$24</f>
        <v>738016806.722689</v>
      </c>
      <c r="F1003" s="25" t="n">
        <f aca="false">E1003-D1003</f>
        <v>-44005313.277311</v>
      </c>
      <c r="G1003" s="25" t="n">
        <f aca="false">E1003-C1003</f>
        <v>98939686.7226892</v>
      </c>
      <c r="H1003" s="7" t="str">
        <f aca="false">IF(F1003&gt;=0,A1003,"")</f>
        <v/>
      </c>
      <c r="I1003" s="7" t="n">
        <f aca="false">IF(F1003&lt;0,A1003,0)</f>
        <v>998</v>
      </c>
      <c r="J1003" s="7" t="n">
        <f aca="false">IF(G1003&gt;=0,A1003,"")</f>
        <v>998</v>
      </c>
      <c r="K1003" s="7" t="n">
        <f aca="false">IF(G1003&lt;0,A1003,0)</f>
        <v>0</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639113860</v>
      </c>
      <c r="D1004" s="25" t="n">
        <f aca="false">('Chi phí'!$C$77+'Chi phí'!$D$77*B1004+'Chi phí'!$E$77*A1004+'Giả định'!$B$15*('Chi phí'!$F$77+'Chi phí'!$G$77*B1004+'Chi phí'!$H$77*A1004))*(1+'Giả định'!$B$16)</f>
        <v>782058860</v>
      </c>
      <c r="E1004" s="25" t="n">
        <f aca="false">A1004/'Giả định'!$B$19*'Giả định'!$B$20+A1004*'Giả định'!$B$23+'Giả định'!$B$24</f>
        <v>738756302.521009</v>
      </c>
      <c r="F1004" s="25" t="n">
        <f aca="false">E1004-D1004</f>
        <v>-43302557.4789916</v>
      </c>
      <c r="G1004" s="25" t="n">
        <f aca="false">E1004-C1004</f>
        <v>99642442.5210085</v>
      </c>
      <c r="H1004" s="7" t="str">
        <f aca="false">IF(F1004&gt;=0,A1004,"")</f>
        <v/>
      </c>
      <c r="I1004" s="7" t="n">
        <f aca="false">IF(F1004&lt;0,A1004,0)</f>
        <v>999</v>
      </c>
      <c r="J1004" s="7" t="n">
        <f aca="false">IF(G1004&gt;=0,A1004,"")</f>
        <v>999</v>
      </c>
      <c r="K1004" s="7" t="n">
        <f aca="false">IF(G1004&lt;0,A1004,0)</f>
        <v>0</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639150600</v>
      </c>
      <c r="D1005" s="25" t="n">
        <f aca="false">('Chi phí'!$C$77+'Chi phí'!$D$77*B1005+'Chi phí'!$E$77*A1005+'Giả định'!$B$15*('Chi phí'!$F$77+'Chi phí'!$G$77*B1005+'Chi phí'!$H$77*A1005))*(1+'Giả định'!$B$16)</f>
        <v>782095600</v>
      </c>
      <c r="E1005" s="25" t="n">
        <f aca="false">A1005/'Giả định'!$B$19*'Giả định'!$B$20+A1005*'Giả định'!$B$23+'Giả định'!$B$24</f>
        <v>739495798.319328</v>
      </c>
      <c r="F1005" s="25" t="n">
        <f aca="false">E1005-D1005</f>
        <v>-42599801.6806723</v>
      </c>
      <c r="G1005" s="25" t="n">
        <f aca="false">E1005-C1005</f>
        <v>100345198.319328</v>
      </c>
      <c r="H1005" s="7" t="str">
        <f aca="false">IF(F1005&gt;=0,A1005,"")</f>
        <v/>
      </c>
      <c r="I1005" s="7" t="n">
        <f aca="false">IF(F1005&lt;0,A1005,0)</f>
        <v>1000</v>
      </c>
      <c r="J1005" s="7" t="n">
        <f aca="false">IF(G1005&gt;=0,A1005,"")</f>
        <v>1000</v>
      </c>
      <c r="K1005" s="7" t="n">
        <f aca="false">IF(G1005&lt;0,A1005,0)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2026-10-23T21:22:25Z</dcterms:created>
  <dc:creator>openpyxl</dc:creator>
  <dc:description/>
  <dc:language>en-US</dc:language>
  <cp:lastModifiedBy/>
  <dcterms:modified xsi:type="dcterms:W3CDTF">2026-10-23T21:22:28Z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