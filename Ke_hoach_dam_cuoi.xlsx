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Phương án" sheetId="6" state="visible" r:id="rId8"/>
    <sheet name="Kế hoạch tiết kiệm" sheetId="7" state="visible" r:id="rId9"/>
    <sheet name="Mô phỏ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<sst xmlns="http://schemas.openxmlformats.org/spreadsheetml/2006/main" count="467" uniqueCount="345">
  <si>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</si>
  <si>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</si>
  <si>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</si>
  <si>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</si>
  <si>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</si>
  <si>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</si>
  <si>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</si>
  <si>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</si>
  <si>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Giá bàn tiệc, VAT và phí phục vụ được lấy từ khảo sát TP.HCM 2026 (xem dòng Nguồn bên dưới) rồi cộng thêm buffer. Mọi hạng mục khác (trang trí, ảnh, váy, MC...) và mức mừng là ƯỚC TÍNH của Claude, vì không tìm được bảng giá hay thống kê TP.HCM đáng tin. Chưa có báo giá nhà hàng nào, nên bạn cần thay bằng báo giá thật trước khi ra quyết định.</t>
  </si>
  <si>
    <t xml:space="preserve">Nguồn khảo sát (TP.HCM)</t>
  </si>
  <si>
    <t xml:space="preserve">Phần lớn là trang quảng cáo của sảnh tiệc và đơn vị dịch vụ, đăng cách đây vài tháng, chưa kiểm chứng:
- tonywedding.vn/bang-gia-nha-hang-tiec-cuoi (giá bàn theo sảnh)
- asiana-plaza.com/bang-gia-nha-hang-tiec-cuoi-tphcm (4.5 đến 7.18 triệu/bàn)
- capellagallery.com, whitewedding.vn, chungdoi.com (khung giá theo khu vực, mùa vụ, phụ thu 5% đến 10% cộng VAT)
- Nghị quyết 204/2025/QH15: VAT 8% đến hết 31/12/2026
- vnexpress.net/an-cuoi-dat-do-4810963.html (ví dụ mức mừng 500,000 mỗi người)
Không có khảo sát nào về mức mừng trung bình hay tỷ lệ khách đến ở TP.HCM.</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</si>
  <si>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</si>
  <si>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</si>
  <si>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Phương án không lỗ</t>
  </si>
  <si>
    <t xml:space="preserve">Sheet Phương án so sánh kịch bản hiện tại với 3 phương án dùng bản chi phí gọn (cột L ở sheet Chi phí). Dòng 'Mừng TB mỗi phong bì tối thiểu để không lỗ' cho biết mức mừng bạn cần thực sự nhận được. Nếu mức đó cao hơn mức mừng bạn tin là có thể, phương án chưa khả thi và bạn cần cắt thêm hoặc chuẩn bị nguồn bù.</t>
  </si>
  <si>
    <t xml:space="preserve">Kế hoạch tiết kiệm 23 bàn</t>
  </si>
  <si>
    <t xml:space="preserve">Sheet Kế hoạch tiết kiệm tái hiện kế hoạch bạn gửi (23 bàn trọn gói 4.2 triệu, mừng 800,000 mỗi người) ở cột B, và bản đã kiểm lại ở cột C với các rủi ro: giá bàn chưa gồm VAT và phí phục vụ, thiếu bàn dự phòng, và các khoản bị bỏ sót. Mức mừng 800,000 mỗi người là giả định quyết định và chưa có số liệu thực tế.</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</si>
  <si>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</si>
  <si>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</si>
  <si>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</si>
  <si>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</si>
  <si>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</si>
  <si>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</si>
  <si>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</si>
  <si>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</si>
  <si>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</si>
  <si>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</si>
  <si>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</si>
  <si>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</si>
  <si>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</si>
  <si>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</si>
  <si>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</si>
  <si>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</si>
  <si>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</si>
  <si>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</si>
  <si>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</si>
  <si>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</si>
  <si>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</si>
  <si>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</si>
  <si>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</si>
  <si>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</si>
  <si>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</si>
  <si>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</si>
  <si>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</si>
  <si>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VAT giảm còn 8% chỉ áp dụng đến 31/12/2026 (Nghị quyết 204/2025/QH15), và chưa xác nhận được dịch vụ tiệc có thuộc diện giảm không. Bạn chưa chốt ngày cưới nên Claude dùng 10% để thận trọng. Nếu cưới trước hết 2026 và hóa đơn ghi 8% thì đổi thành 0.08.</t>
  </si>
  <si>
    <t xml:space="preserve">Phí phục vụ (service charge) trên các khoản đánh dấu VAT = 1</t>
  </si>
  <si>
    <t xml:space="preserve">Các nguồn khảo sát TP.HCM ghi phí phục vụ khoảng 5% đến 10%. Claude lấy 7% (giữa khoảng, thiên cao một chút).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</si>
  <si>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</si>
  <si>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</si>
  <si>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</si>
  <si>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</si>
  <si>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</si>
  <si>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</si>
  <si>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</si>
  <si>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</si>
  <si>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</si>
  <si>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</si>
  <si>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Theo yêu cầu của bạn: lấy mức thấp nhất, 500,000 mỗi phong bì (kịch bản xấu nhất). Không có thống kê TP.HCM: ví dụ cá nhân là 500,000 mỗi người khi dự tiệc, và khoảng 1,000,000 đến 4,000,000 cho tiệc nhà hàng, khách sạn (nguồn chung, không phải khảo sát). Đây là giả định quyết định lãi hay lỗ, thay bằng số thật khi có.</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</si>
  <si>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</si>
  <si>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</si>
  <si>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</si>
  <si>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thấp nhất như khách dự. Ví dụ cá nhân ở TP.HCM: 300,000 khi không dự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</si>
  <si>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</si>
  <si>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</si>
  <si>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</si>
  <si>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</si>
  <si>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</si>
  <si>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</si>
  <si>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</si>
  <si>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 Mục tiêu (dùng cho công cụ đảo ngược ở sheet Hòa vốn)</t>
  </si>
  <si>
    <t xml:space="preserve">Ngân sách trần tổng chi phí</t>
  </si>
  <si>
    <t xml:space="preserve">Bạn chưa có số này nên để trống. Khi nhập, sheet Hòa vốn sẽ tính giá thực đơn tối đa mỗi bàn để không vượt trần.</t>
  </si>
  <si>
    <t xml:space="preserve">Mức lỗ chấp nhận được</t>
  </si>
  <si>
    <t xml:space="preserve">0 nghĩa là phải hòa vốn. Nhập số dương (ví dụ 30,000,000) nếu bạn chấp nhận bù một phần từ tiền của mình.</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</si>
  <si>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</si>
  <si>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</si>
  <si>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Cột L: đơn giá của BẢN GỌN (tiệc tối giản) để sheet Phương án so sánh. Mặc định bằng giá đầy đủ nếu không cắt. Giá bản gọn là ước tính của Claude, bạn chỉnh theo thực tế. Riêng giá bàn tiệc không dùng cột này, được nhập trực tiếp ở từng phương án.</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</si>
  <si>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</si>
  <si>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</si>
  <si>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</si>
  <si>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</si>
  <si>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</si>
  <si>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</si>
  <si>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</si>
  <si>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</si>
  <si>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</si>
  <si>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</si>
  <si>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</si>
  <si>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Đơn giá BẢN GỌN (VND)</t>
  </si>
  <si>
    <t xml:space="preserve">Chi phí hiệu dụng bản gọn (cột phụ)</t>
  </si>
  <si>
    <t xml:space="preserve">1. Tiệc cưới</t>
  </si>
  <si>
    <t xml:space="preserve">Thực đơn tiệc trọn bàn (món ăn, đã gồm đồ uống)</t>
  </si>
  <si>
    <t xml:space="preserve">Theo bàn</t>
  </si>
  <si>
    <t xml:space="preserve">Theo yêu cầu của bạn: giá bàn trung bình 7 triệu, hiểu là trọn bàn gồm cả đồ uống, chưa VAT và phí phục vụ. Khảo sát TP.HCM 2026 (trang quảng cáo sảnh): phổ thông 3.3 đến 4.5 triệu, Asiana Plaza 4.5 đến 7.18, khách sạn cao hơn. Biến số lớn nhất của ngân sách, thay bằng báo giá thật.</t>
  </si>
  <si>
    <t xml:space="preserve">Đồ uống tính thêm (nếu báo giá chưa gồm)</t>
  </si>
  <si>
    <t xml:space="preserve">Đang để 0 vì giá 7 triệu đã hiểu là gồm đồ uống. Nếu nhà hàng tính đồ uống riêng, nhập thêm (ví dụ 500,000 mỗi bàn).</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</si>
  <si>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</si>
  <si>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</si>
  <si>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</si>
  <si>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</si>
  <si>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</si>
  <si>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</si>
  <si>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</si>
  <si>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</si>
  <si>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</si>
  <si>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</si>
  <si>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</si>
  <si>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</si>
  <si>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</si>
  <si>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</si>
  <si>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</si>
  <si>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</si>
  <si>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</si>
  <si>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</si>
  <si>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</si>
  <si>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</si>
  <si>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</si>
  <si>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</si>
  <si>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</si>
  <si>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</si>
  <si>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</si>
  <si>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</si>
  <si>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</si>
  <si>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</si>
  <si>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</si>
  <si>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</si>
  <si>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</si>
  <si>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</si>
  <si>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</si>
  <si>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</si>
  <si>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</si>
  <si>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</si>
  <si>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</si>
  <si>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</si>
  <si>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</si>
  <si>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</si>
  <si>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</si>
  <si>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</si>
  <si>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</si>
  <si>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</si>
  <si>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</si>
  <si>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</si>
  <si>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</si>
  <si>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</si>
  <si>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</si>
  <si>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</si>
  <si>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</si>
  <si>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</si>
  <si>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</si>
  <si>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</si>
  <si>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</si>
  <si>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</si>
  <si>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</si>
  <si>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</si>
  <si>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</si>
  <si>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</si>
  <si>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</si>
  <si>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</si>
  <si>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</si>
  <si>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</si>
  <si>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</si>
  <si>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</si>
  <si>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</si>
  <si>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</si>
  <si>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</si>
  <si>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</si>
  <si>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</si>
  <si>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</si>
  <si>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</si>
  <si>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</si>
  <si>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</si>
  <si>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</si>
  <si>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</si>
  <si>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</si>
  <si>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</si>
  <si>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</si>
  <si>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</si>
  <si>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</si>
  <si>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</si>
  <si>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</si>
  <si>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</si>
  <si>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</si>
  <si>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 (bản đầy đủ)</t>
  </si>
  <si>
    <t xml:space="preserve">Toàn bộ chi phí (bản gọn)</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</si>
  <si>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</si>
  <si>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</si>
  <si>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</si>
  <si>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</si>
  <si>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</si>
  <si>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</si>
  <si>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</si>
  <si>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</si>
  <si>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</si>
  <si>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</si>
  <si>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</si>
  <si>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Toàn bộ chi phí</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</si>
  <si>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</si>
  <si>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</si>
  <si>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</si>
  <si>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</si>
  <si>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</si>
  <si>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</si>
  <si>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</si>
  <si>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</si>
  <si>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</si>
  <si>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</si>
  <si>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</si>
  <si>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</si>
  <si>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</si>
  <si>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</si>
  <si>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Đảo ngược: giá thực đơn tối đa mỗi bàn (VND) để không lỗ quá mức chấp nhận</t>
  </si>
  <si>
    <t xml:space="preserve">Giá thực đơn hiện tại mỗi bàn (VND)</t>
  </si>
  <si>
    <t xml:space="preserve">Giá thực đơn tối đa để hòa vốn (lỗ không quá mức chấp nhận ở sheet Giả định), ở khách cơ sở</t>
  </si>
  <si>
    <t xml:space="preserve">Giá thực đơn tối đa để tổng chi phí không vượt ngân sách trần, ở khách cơ sở</t>
  </si>
  <si>
    <t xml:space="preserve">Giữ nguyên mọi hạng mục khác, chỉ đổi giá thực đơn. Số âm nghĩa là dù thực đơn miễn phí vẫn chưa hòa vốn, cần cắt khoản khác hoặc tăng mức mừng.</t>
  </si>
  <si>
    <t xml:space="preserve">Xanh = thực đơn hiện tại vẫn đủ hòa vốn ở mức khách và mức mừng đó. Đỏ = phải giảm giá thực đơn xuống đúng số trong ô mới hòa vốn.</t>
  </si>
  <si>
    <t xml:space="preserve">6.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</si>
  <si>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</si>
  <si>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</si>
  <si>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</si>
  <si>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</si>
  <si>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</si>
  <si>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</si>
  <si>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</si>
  <si>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</si>
  <si>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</si>
  <si>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</si>
  <si>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</si>
  <si>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</si>
  <si>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</si>
  <si>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</si>
  <si>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</si>
  <si>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</si>
  <si>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</si>
  <si>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</si>
  <si>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</si>
  <si>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</si>
  <si>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</si>
  <si>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</si>
  <si>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</si>
  <si>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</si>
  <si>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</si>
  <si>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</si>
  <si>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</si>
  <si>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</si>
  <si>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</si>
  <si>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</si>
  <si>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Phương án để KHÔNG LỖ</t>
  </si>
  <si>
    <t xml:space="preserve">Cột B là kịch bản hiện tại theo sheet Giả định. Cột C đến E là các phương án bạn chỉnh (chữ xanh). Các dòng 'tối thiểu / tối đa' tính ngược: đó là điều kiện cần để P/L bằng hoặc cao hơn mức lỗ chấp nhận ở sheet Giả định.</t>
  </si>
  <si>
    <t xml:space="preserve">Tham số</t>
  </si>
  <si>
    <t xml:space="preserve">Hiện tại (theo Giả định)</t>
  </si>
  <si>
    <t xml:space="preserve">Phương án A</t>
  </si>
  <si>
    <t xml:space="preserve">Phương án B</t>
  </si>
  <si>
    <t xml:space="preserve">Phương án C</t>
  </si>
  <si>
    <t xml:space="preserve">Tên phương án</t>
  </si>
  <si>
    <t xml:space="preserve">Theo Giả định và Chi phí</t>
  </si>
  <si>
    <t xml:space="preserve">Tiệc gọn, sảnh phổ thông 4,2 triệu/bàn</t>
  </si>
  <si>
    <t xml:space="preserve">Tiệc gọn, sảnh rẻ 3,3 triệu/bàn</t>
  </si>
  <si>
    <t xml:space="preserve">Giữ bàn 7 triệu, chỉ cắt cho gọn</t>
  </si>
  <si>
    <t xml:space="preserve">Bản chi phí (1 = đầy đủ, 2 = gọn)</t>
  </si>
  <si>
    <t xml:space="preserve">Tỷ lệ khách đến</t>
  </si>
  <si>
    <t xml:space="preserve">Số khách đến</t>
  </si>
  <si>
    <t xml:space="preserve">Giá bàn trọn gói (VND/bàn, chưa VAT và phí phục vụ)</t>
  </si>
  <si>
    <t xml:space="preserve">Số người mỗi phong bì</t>
  </si>
  <si>
    <t xml:space="preserve">Mừng trung bình mỗi phong bì (VND)</t>
  </si>
  <si>
    <t xml:space="preserve">LÃI / (LỖ) (VND)</t>
  </si>
  <si>
    <t xml:space="preserve">Kết luận</t>
  </si>
  <si>
    <t xml:space="preserve">Chi phí cố định hiệu dụng, đã gồm VAT, dự phòng, bàn dự phòng (VND)</t>
  </si>
  <si>
    <t xml:space="preserve">Tính ngược: điều kiện cần để không lỗ (giữ nguyên các tham số khác)</t>
  </si>
  <si>
    <t xml:space="preserve">Mừng TB mỗi phong bì TỐI THIỂU để không lỗ (VND)</t>
  </si>
  <si>
    <t xml:space="preserve">Giá bàn TỐI ĐA để không lỗ (VND, số âm = không khả thi)</t>
  </si>
  <si>
    <t xml:space="preserve">Số khách đến xấp xỉ để hòa vốn (cố định hiệu dụng / đóng góp biên)</t>
  </si>
  <si>
    <t xml:space="preserve">Tham số tính toán (cột phụ, không cần chỉnh)</t>
  </si>
  <si>
    <t xml:space="preserve">Chi phí cố định (VND)</t>
  </si>
  <si>
    <t xml:space="preserve">Giá bàn mỗi bàn, gồm các khoản theo bàn khác (VND)</t>
  </si>
  <si>
    <t xml:space="preserve">Chi phí theo khách (VND/khách)</t>
  </si>
  <si>
    <t xml:space="preserve">Cố định chịu VAT (VND)</t>
  </si>
  <si>
    <t xml:space="preserve">Theo bàn chịu VAT (VND/bàn)</t>
  </si>
  <si>
    <t xml:space="preserve">Theo khách chịu VAT (VND/khách)</t>
  </si>
  <si>
    <t xml:space="preserve">Mừng từ người vắng mặt tính trên mỗi khách đến (VND)</t>
  </si>
  <si>
    <t xml:space="preserve">Kiểm tra: cột B khớp với sheet Hòa vốn</t>
  </si>
  <si>
    <t xml:space="preserve">Cách đọc: dòng 24 là mức mừng bình quân bạn phải THỰC SỰ nhận để không lỗ ở phương án đó. Nếu thấp hơn mức mừng bạn tin là có thể, phương án đó khả thi. Dòng 25 cho biết nếu giữ mức mừng, giá bàn phải xuống bao nhiêu.</t>
  </si>
  <si>
    <t xml:space="preserve">Kế hoạch tiết kiệm 23 bàn: số liệu bạn gửi và bản đã kiểm lại</t>
  </si>
  <si>
    <t xml:space="preserve">Cột B tái hiện đúng kế hoạch bạn gửi. Cột C giữ cùng giả định mừng nhưng sửa các điểm còn rủi ro (xem ghi chú). Chữ xanh là ô bạn nhập.</t>
  </si>
  <si>
    <t xml:space="preserve">Như kế hoạch bạn gửi</t>
  </si>
  <si>
    <t xml:space="preserve">Đã kiểm lại (thận trọng)</t>
  </si>
  <si>
    <t xml:space="preserve">Ghi chú kiểm tra</t>
  </si>
  <si>
    <t xml:space="preserve">Kế hoạch gốc: 27 bàn tương đương 270 khách mời.</t>
  </si>
  <si>
    <t xml:space="preserve">Kế hoạch gốc dùng 85%. Chưa có thống kê TP.HCM, chỉ có ví dụ cá nhân (một tiệc trống hơn 10% số bàn).</t>
  </si>
  <si>
    <t xml:space="preserve">Mừng trung bình mỗi NGƯỜI đến (VND)</t>
  </si>
  <si>
    <t xml:space="preserve">GIẢ ĐỊNH QUYẾT ĐỊNH của kế hoạch. Trước đó bạn chọn mức thấp nhất 500,000. Kế hoạch gốc dùng 800,000 mỗi người (tương đương khoảng 1.1 triệu mỗi phong bì nếu 1.4 người dùng chung một phong bì). Chưa có số liệu thực tế để kiểm.</t>
  </si>
  <si>
    <t xml:space="preserve">Kế hoạch gốc đặt đúng 23 bàn cho 230 khách, không có bàn dự phòng. Bản kiểm lại cộng thêm bàn dự phòng theo sheet Giả định để tránh thiếu chỗ.</t>
  </si>
  <si>
    <t xml:space="preserve">Giá bàn trọn gói như báo giá (VND/bàn)</t>
  </si>
  <si>
    <t xml:space="preserve">Kế hoạch gốc nói trọn gói 4.0 đến 4.2 triệu gồm thực đơn, bia nước, phí phục vụ, VAT. Khảo sát TP.HCM trước đó ghi các mức 3.3 đến 4.2 triệu thường CHƯA gồm VAT và phụ thu 5% đến 10%. Chưa có báo giá nào xác nhận.</t>
  </si>
  <si>
    <t xml:space="preserve">Giá bàn đã gồm VAT và phí phục vụ? (1 = rồi, 0 = chưa)</t>
  </si>
  <si>
    <t xml:space="preserve">Điểm rủi ro lớn nhất của kế hoạch: nếu chưa gồm, tiền tiệc tăng thêm khoảng 17% theo sheet Giả định.</t>
  </si>
  <si>
    <t xml:space="preserve">Phụ thu thêm trên giá bàn</t>
  </si>
  <si>
    <t xml:space="preserve">Tiệc nhà hàng (VND)</t>
  </si>
  <si>
    <t xml:space="preserve">Số bàn x giá bàn x (1 + phụ thu).</t>
  </si>
  <si>
    <t xml:space="preserve">Tiệc gia tiên, mâm quả, xe cộ, trang trí nhà</t>
  </si>
  <si>
    <t xml:space="preserve">Theo kế hoạch gốc. Sheet Chi phí bản gọn cho khoảng 23 triệu ở nhóm này, nên 35 triệu là có dư.</t>
  </si>
  <si>
    <t xml:space="preserve">Trang phục và makeup (gói combo)</t>
  </si>
  <si>
    <t xml:space="preserve">Theo kế hoạch gốc: váy, vest, hoa cầm tay, makeup ngày tiệc trong một combo 12 đến 15 triệu. Chưa có báo giá studio nào.</t>
  </si>
  <si>
    <t xml:space="preserve">Chụp ảnh (pre-wedding đơn giản và chụp tiệc)</t>
  </si>
  <si>
    <t xml:space="preserve">Theo kế hoạch gốc, bỏ quay phim và flycam.</t>
  </si>
  <si>
    <t xml:space="preserve">Nhẫn cưới và giấy tờ</t>
  </si>
  <si>
    <t xml:space="preserve">Theo kế hoạch gốc.</t>
  </si>
  <si>
    <t xml:space="preserve">Thiệp mời và cước chuyển phát</t>
  </si>
  <si>
    <t xml:space="preserve">Kế hoạch gốc không có dòng này. Ước tính của Claude cho 270 khách mời.</t>
  </si>
  <si>
    <t xml:space="preserve">Tiền bồi dưỡng, tip (quản lý sảnh, phục vụ, tài xế, thợ ảnh)</t>
  </si>
  <si>
    <t xml:space="preserve">Kế hoạch gốc không có dòng này. Ước tính của Claude.</t>
  </si>
  <si>
    <t xml:space="preserve">Lễ tân, hòm tiền mừng, bảng tên bàn</t>
  </si>
  <si>
    <t xml:space="preserve">Di chuyển, lưu trú người thân, quà cảm ơn người giúp, ăn nhẹ cho ekip</t>
  </si>
  <si>
    <t xml:space="preserve">Áo dài gia đình, makeup mẹ, phụ kiện (ngoài combo)</t>
  </si>
  <si>
    <t xml:space="preserve">Combo thường chỉ gồm cô dâu và chú rể. Ước tính của Claude.</t>
  </si>
  <si>
    <t xml:space="preserve">Trang trí sảnh, MC, âm thanh nếu nhà hàng KHÔNG tặng kèm</t>
  </si>
  <si>
    <t xml:space="preserve">Kế hoạch gốc giả định nhà hàng tặng toàn bộ. Nếu không, nhập 10 đến 25 triệu vào ô này để xem tác động.</t>
  </si>
  <si>
    <t xml:space="preserve">Cộng trước dự phòng</t>
  </si>
  <si>
    <t xml:space="preserve">Theo sheet Giả định (10%).</t>
  </si>
  <si>
    <t xml:space="preserve">Kế hoạch gốc ghi khoảng 194 triệu. Cột B ra gần 195 triệu vì dự phòng 10% tính trên 177.6 triệu.</t>
  </si>
  <si>
    <t xml:space="preserve">Tiền mừng dự kiến</t>
  </si>
  <si>
    <t xml:space="preserve">Khách đến x mừng mỗi người. Chưa tính mừng gửi từ người vắng mặt (thận trọng).</t>
  </si>
  <si>
    <t xml:space="preserve">Mức lỗ chấp nhận được (VND)</t>
  </si>
  <si>
    <t xml:space="preserve">Theo tin nhắn của bạn: chấp nhận hụt khoảng 20 đến 30 triệu. Chỉnh theo ý bạn.</t>
  </si>
  <si>
    <t xml:space="preserve">Tính ngược: cần gì để lỗ không quá mức chấp nhận</t>
  </si>
  <si>
    <t xml:space="preserve">Mừng TB mỗi người TỐI THIỂU (VND)</t>
  </si>
  <si>
    <t xml:space="preserve">Mức mừng thực nhận để lỗ đúng bằng mức chấp nhận.</t>
  </si>
  <si>
    <t xml:space="preserve">Tổng chi phí TỐI ĐA (VND)</t>
  </si>
  <si>
    <t xml:space="preserve">Ngân sách trần tương ứng với tiền mừng dự kiến.</t>
  </si>
  <si>
    <t xml:space="preserve">Giá bàn TỐI ĐA, trước phụ thu (VND/bàn)</t>
  </si>
  <si>
    <t xml:space="preserve">Giữ nguyên mọi khoản khác, chỉ đổi giá bàn.</t>
  </si>
  <si>
    <t xml:space="preserve">Độ nhạy của bản đã kiểm lại: Lãi/(Lỗ) theo số khách đến (dọc) và mừng mỗi người (ngang). Xanh = trong mức chấp nhận</t>
  </si>
  <si>
    <t xml:space="preserve">Khách đến (dọc) / Mừng mỗi người (ngang)</t>
  </si>
  <si>
    <t xml:space="preserve">Lưu ý: bảng độ nhạy giữ các khoản cố định như cột C và chỉ đổi số bàn theo số khách đến, nên chỉ mang tính ước lượng.</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</si>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</sst>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9C0006"/>
      </font>
      <fill>
        <patternFill>
          <bgColor rgb="FFFFC7CE"/>
        </patternFill>
      </fill>
    </dxf>
    <dxf>
      <font>
        <name val="Arial"/>
        <charset val="1"/>
        <family val="0"/>
        <color rgb="FF006100"/>
      </font>
      <fill>
        <patternFill>
          <bgColor rgb="FFC6EFCE"/>
        </patternFill>
      </fill>
    </dxf>
    <dxf>
      <font>
        <name val="Arial"/>
        <charset val="1"/>
        <family val="0"/>
        <b val="1"/>
        <color rgb="FF006100"/>
      </font>
      <fill>
        <patternFill>
          <bgColor rgb="FFC6EFCE"/>
        </patternFill>
      </fill>
    </dxf>
    <dxf>
      <font>
        <name val="Arial"/>
        <charset val="1"/>
        <family val="0"/>
        <b val="1"/>
        <color rgb="FF9C0006"/>
      </font>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vốn'!$B$73:$B$97</c:f>
              <c:numCache>
                <c:formatCode>#,##0;\(#,##0\);\-</c:formatCode>
                <c:ptCount val="25"/>
                <c:pt idx="0">
                  <c:v>0</c:v>
                </c:pt>
                <c:pt idx="1">
                  <c:v>9306722.68907563</c:v>
                </c:pt>
                <c:pt idx="2">
                  <c:v>18613445.3781513</c:v>
                </c:pt>
                <c:pt idx="3">
                  <c:v>27920168.0672269</c:v>
                </c:pt>
                <c:pt idx="4">
                  <c:v>37226890.7563025</c:v>
                </c:pt>
                <c:pt idx="5">
                  <c:v>46533613.4453782</c:v>
                </c:pt>
                <c:pt idx="6">
                  <c:v>55840336.1344538</c:v>
                </c:pt>
                <c:pt idx="7">
                  <c:v>65147058.8235294</c:v>
                </c:pt>
                <c:pt idx="8">
                  <c:v>74453781.512605</c:v>
                </c:pt>
                <c:pt idx="9">
                  <c:v>83760504.2016807</c:v>
                </c:pt>
                <c:pt idx="10">
                  <c:v>93067226.8907563</c:v>
                </c:pt>
                <c:pt idx="11">
                  <c:v>102373949.579832</c:v>
                </c:pt>
                <c:pt idx="12">
                  <c:v>111680672.268908</c:v>
                </c:pt>
                <c:pt idx="13">
                  <c:v>120987394.957983</c:v>
                </c:pt>
                <c:pt idx="14">
                  <c:v>130294117.647059</c:v>
                </c:pt>
                <c:pt idx="15">
                  <c:v>139600840.336134</c:v>
                </c:pt>
                <c:pt idx="16">
                  <c:v>148907563.02521</c:v>
                </c:pt>
                <c:pt idx="17">
                  <c:v>158214285.714286</c:v>
                </c:pt>
                <c:pt idx="18">
                  <c:v>167521008.403361</c:v>
                </c:pt>
                <c:pt idx="19">
                  <c:v>176827731.092437</c:v>
                </c:pt>
                <c:pt idx="20">
                  <c:v>186134453.781513</c:v>
                </c:pt>
                <c:pt idx="21">
                  <c:v>195441176.470588</c:v>
                </c:pt>
                <c:pt idx="22">
                  <c:v>204747899.159664</c:v>
                </c:pt>
                <c:pt idx="23">
                  <c:v>214054621.84874</c:v>
                </c:pt>
                <c:pt idx="24">
                  <c:v>223361344.537815</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vốn'!$C$73:$C$97</c:f>
              <c:numCache>
                <c:formatCode>#,##0;\(#,##0\);\-</c:formatCode>
                <c:ptCount val="25"/>
                <c:pt idx="0">
                  <c:v>339900000</c:v>
                </c:pt>
                <c:pt idx="1">
                  <c:v>340818500</c:v>
                </c:pt>
                <c:pt idx="2">
                  <c:v>341737000</c:v>
                </c:pt>
                <c:pt idx="3">
                  <c:v>342655500</c:v>
                </c:pt>
                <c:pt idx="4">
                  <c:v>343574000</c:v>
                </c:pt>
                <c:pt idx="5">
                  <c:v>344492500</c:v>
                </c:pt>
                <c:pt idx="6">
                  <c:v>354585000</c:v>
                </c:pt>
                <c:pt idx="7">
                  <c:v>383025500</c:v>
                </c:pt>
                <c:pt idx="8">
                  <c:v>402292000</c:v>
                </c:pt>
                <c:pt idx="9">
                  <c:v>430732500</c:v>
                </c:pt>
                <c:pt idx="10">
                  <c:v>449999000</c:v>
                </c:pt>
                <c:pt idx="11">
                  <c:v>478439500</c:v>
                </c:pt>
                <c:pt idx="12">
                  <c:v>497706000</c:v>
                </c:pt>
                <c:pt idx="13">
                  <c:v>526146500</c:v>
                </c:pt>
                <c:pt idx="14">
                  <c:v>545413000</c:v>
                </c:pt>
                <c:pt idx="15">
                  <c:v>573853500</c:v>
                </c:pt>
                <c:pt idx="16">
                  <c:v>593120000</c:v>
                </c:pt>
                <c:pt idx="17">
                  <c:v>621560500</c:v>
                </c:pt>
                <c:pt idx="18">
                  <c:v>640827000</c:v>
                </c:pt>
                <c:pt idx="19">
                  <c:v>669267500</c:v>
                </c:pt>
                <c:pt idx="20">
                  <c:v>688534000</c:v>
                </c:pt>
                <c:pt idx="21">
                  <c:v>716974500</c:v>
                </c:pt>
                <c:pt idx="22">
                  <c:v>736241000</c:v>
                </c:pt>
                <c:pt idx="23">
                  <c:v>764681500</c:v>
                </c:pt>
                <c:pt idx="24">
                  <c:v>783948000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vốn'!$D$73:$D$97</c:f>
              <c:numCache>
                <c:formatCode>#,##0;\(#,##0\);\-</c:formatCode>
                <c:ptCount val="25"/>
                <c:pt idx="0">
                  <c:v>196295000</c:v>
                </c:pt>
                <c:pt idx="1">
                  <c:v>197213500</c:v>
                </c:pt>
                <c:pt idx="2">
                  <c:v>198132000</c:v>
                </c:pt>
                <c:pt idx="3">
                  <c:v>199050500</c:v>
                </c:pt>
                <c:pt idx="4">
                  <c:v>199969000</c:v>
                </c:pt>
                <c:pt idx="5">
                  <c:v>200887500</c:v>
                </c:pt>
                <c:pt idx="6">
                  <c:v>210980000</c:v>
                </c:pt>
                <c:pt idx="7">
                  <c:v>239420500</c:v>
                </c:pt>
                <c:pt idx="8">
                  <c:v>258687000</c:v>
                </c:pt>
                <c:pt idx="9">
                  <c:v>287127500</c:v>
                </c:pt>
                <c:pt idx="10">
                  <c:v>306394000</c:v>
                </c:pt>
                <c:pt idx="11">
                  <c:v>334834500</c:v>
                </c:pt>
                <c:pt idx="12">
                  <c:v>354101000</c:v>
                </c:pt>
                <c:pt idx="13">
                  <c:v>382541500</c:v>
                </c:pt>
                <c:pt idx="14">
                  <c:v>401808000</c:v>
                </c:pt>
                <c:pt idx="15">
                  <c:v>430248500</c:v>
                </c:pt>
                <c:pt idx="16">
                  <c:v>449515000</c:v>
                </c:pt>
                <c:pt idx="17">
                  <c:v>477955500</c:v>
                </c:pt>
                <c:pt idx="18">
                  <c:v>497222000</c:v>
                </c:pt>
                <c:pt idx="19">
                  <c:v>525662500</c:v>
                </c:pt>
                <c:pt idx="20">
                  <c:v>544929000</c:v>
                </c:pt>
                <c:pt idx="21">
                  <c:v>573369500</c:v>
                </c:pt>
                <c:pt idx="22">
                  <c:v>592636000</c:v>
                </c:pt>
                <c:pt idx="23">
                  <c:v>621076500</c:v>
                </c:pt>
                <c:pt idx="24">
                  <c:v>640343000</c:v>
                </c:pt>
              </c:numCache>
            </c:numRef>
          </c:yVal>
          <c:smooth val="0"/>
        </c:ser>
        <c:axId val="25272209"/>
        <c:axId val="72590038"/>
      </c:scatterChart>
      <c:valAx>
        <c:axId val="2527220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90038"/>
        <c:crosses val="autoZero"/>
        <c:crossBetween val="midCat"/>
      </c:valAx>
      <c:valAx>
        <c:axId val="725900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272209"/>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55.5" hidden="false" customHeight="true" outlineLevel="0" collapsed="false">
      <c r="A6" s="2" t="s">
        <v>7</v>
      </c>
      <c r="B6" s="3" t="s">
        <v>8</v>
      </c>
    </row>
    <row r="7" customFormat="false" ht="168" hidden="false" customHeight="true" outlineLevel="0" collapsed="false">
      <c r="A7" s="2" t="s">
        <v>9</v>
      </c>
      <c r="B7" s="3" t="s">
        <v>10</v>
      </c>
    </row>
    <row r="8" customFormat="false" ht="42" hidden="false" customHeight="true" outlineLevel="0" collapsed="false">
      <c r="A8" s="2" t="s">
        <v>11</v>
      </c>
      <c r="B8" s="3" t="s">
        <v>12</v>
      </c>
    </row>
    <row r="9" customFormat="false" ht="42" hidden="false" customHeight="true" outlineLevel="0" collapsed="false">
      <c r="A9" s="2" t="s">
        <v>13</v>
      </c>
      <c r="B9" s="3" t="s">
        <v>14</v>
      </c>
    </row>
    <row r="10" customFormat="false" ht="42" hidden="false" customHeight="true" outlineLevel="0" collapsed="false">
      <c r="A10" s="2" t="s">
        <v>15</v>
      </c>
      <c r="B10" s="3" t="s">
        <v>16</v>
      </c>
    </row>
    <row r="11" customFormat="false" ht="111.75" hidden="false" customHeight="true" outlineLevel="0" collapsed="false">
      <c r="A11" s="2" t="s">
        <v>17</v>
      </c>
      <c r="B11" s="3" t="s">
        <v>18</v>
      </c>
    </row>
    <row r="12" customFormat="false" ht="126" hidden="false" customHeight="true" outlineLevel="0" collapsed="false">
      <c r="A12" s="2" t="s">
        <v>19</v>
      </c>
      <c r="B12"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21</v>
      </c>
    </row>
    <row r="2" customFormat="false" ht="15" hidden="false" customHeight="false" outlineLevel="0" collapsed="false">
      <c r="A2" s="4" t="s">
        <v>22</v>
      </c>
    </row>
    <row r="3" customFormat="false" ht="15" hidden="false" customHeight="false" outlineLevel="0" collapsed="false">
      <c r="A3" s="5" t="s">
        <v>23</v>
      </c>
      <c r="B3" s="6"/>
      <c r="C3" s="6"/>
      <c r="D3" s="6"/>
    </row>
    <row r="4" customFormat="false" ht="15" hidden="false" customHeight="false" outlineLevel="0" collapsed="false">
      <c r="A4" s="7" t="s">
        <v>24</v>
      </c>
      <c r="B4" s="8" t="n">
        <v>300</v>
      </c>
      <c r="C4" s="9" t="s">
        <v>25</v>
      </c>
      <c r="D4" s="10" t="s">
        <v>26</v>
      </c>
    </row>
    <row r="5" customFormat="false" ht="15" hidden="false" customHeight="false" outlineLevel="0" collapsed="false">
      <c r="A5" s="7" t="s">
        <v>27</v>
      </c>
      <c r="B5" s="11" t="n">
        <v>0.85</v>
      </c>
      <c r="C5" s="9" t="s">
        <v>28</v>
      </c>
      <c r="D5" s="10" t="s">
        <v>29</v>
      </c>
    </row>
    <row r="6" customFormat="false" ht="15" hidden="false" customHeight="false" outlineLevel="0" collapsed="false">
      <c r="A6" s="7" t="s">
        <v>30</v>
      </c>
      <c r="B6" s="12" t="n">
        <f aca="false">ROUND(B4*B5,0)</f>
        <v>255</v>
      </c>
      <c r="C6" s="9" t="s">
        <v>25</v>
      </c>
      <c r="D6" s="10" t="s">
        <v>31</v>
      </c>
    </row>
    <row r="7" customFormat="false" ht="15" hidden="false" customHeight="false" outlineLevel="0" collapsed="false">
      <c r="A7" s="7" t="s">
        <v>32</v>
      </c>
      <c r="B7" s="13" t="n">
        <v>10</v>
      </c>
      <c r="C7" s="9" t="s">
        <v>33</v>
      </c>
      <c r="D7" s="10" t="s">
        <v>34</v>
      </c>
    </row>
    <row r="8" customFormat="false" ht="15" hidden="false" customHeight="false" outlineLevel="0" collapsed="false">
      <c r="A8" s="7" t="s">
        <v>35</v>
      </c>
      <c r="B8" s="13" t="n">
        <v>1</v>
      </c>
      <c r="C8" s="9" t="s">
        <v>36</v>
      </c>
      <c r="D8" s="10" t="s">
        <v>37</v>
      </c>
    </row>
    <row r="9" customFormat="false" ht="15" hidden="false" customHeight="false" outlineLevel="0" collapsed="false">
      <c r="A9" s="7" t="s">
        <v>38</v>
      </c>
      <c r="B9" s="13" t="n">
        <v>15</v>
      </c>
      <c r="C9" s="9" t="s">
        <v>36</v>
      </c>
      <c r="D9" s="10" t="s">
        <v>39</v>
      </c>
    </row>
    <row r="10" customFormat="false" ht="15" hidden="false" customHeight="false" outlineLevel="0" collapsed="false">
      <c r="A10" s="7" t="s">
        <v>40</v>
      </c>
      <c r="B10" s="12" t="n">
        <f aca="false">MAX(B9,ROUNDUP(B6/B7,0)+B8)</f>
        <v>27</v>
      </c>
      <c r="C10" s="9" t="s">
        <v>36</v>
      </c>
      <c r="D10" s="10" t="s">
        <v>41</v>
      </c>
    </row>
    <row r="12" customFormat="false" ht="15" hidden="false" customHeight="false" outlineLevel="0" collapsed="false">
      <c r="A12" s="5" t="s">
        <v>42</v>
      </c>
      <c r="B12" s="6"/>
      <c r="C12" s="6"/>
      <c r="D12" s="6"/>
    </row>
    <row r="13" customFormat="false" ht="32.8" hidden="false" customHeight="false" outlineLevel="0" collapsed="false">
      <c r="A13" s="7" t="s">
        <v>43</v>
      </c>
      <c r="B13" s="11" t="n">
        <v>0.1</v>
      </c>
      <c r="C13" s="9" t="s">
        <v>28</v>
      </c>
      <c r="D13" s="10" t="s">
        <v>44</v>
      </c>
    </row>
    <row r="14" customFormat="false" ht="22.35" hidden="false" customHeight="false" outlineLevel="0" collapsed="false">
      <c r="A14" s="7" t="s">
        <v>45</v>
      </c>
      <c r="B14" s="11" t="n">
        <v>0.07</v>
      </c>
      <c r="C14" s="9" t="s">
        <v>28</v>
      </c>
      <c r="D14" s="10" t="s">
        <v>46</v>
      </c>
    </row>
    <row r="15" customFormat="false" ht="15" hidden="false" customHeight="false" outlineLevel="0" collapsed="false">
      <c r="A15" s="7" t="s">
        <v>47</v>
      </c>
      <c r="B15" s="14" t="n">
        <f aca="false">B13+B14</f>
        <v>0.17</v>
      </c>
      <c r="C15" s="9" t="s">
        <v>28</v>
      </c>
      <c r="D15" s="10" t="s">
        <v>48</v>
      </c>
    </row>
    <row r="16" customFormat="false" ht="15" hidden="false" customHeight="false" outlineLevel="0" collapsed="false">
      <c r="A16" s="7" t="s">
        <v>49</v>
      </c>
      <c r="B16" s="15" t="n">
        <v>0.1</v>
      </c>
      <c r="C16" s="9" t="s">
        <v>28</v>
      </c>
      <c r="D16" s="10" t="s">
        <v>50</v>
      </c>
    </row>
    <row r="18" customFormat="false" ht="15" hidden="false" customHeight="false" outlineLevel="0" collapsed="false">
      <c r="A18" s="5" t="s">
        <v>51</v>
      </c>
      <c r="B18" s="6"/>
      <c r="C18" s="6"/>
      <c r="D18" s="6"/>
    </row>
    <row r="19" customFormat="false" ht="15" hidden="false" customHeight="false" outlineLevel="0" collapsed="false">
      <c r="A19" s="7" t="s">
        <v>52</v>
      </c>
      <c r="B19" s="16" t="n">
        <v>1.4</v>
      </c>
      <c r="C19" s="9" t="s">
        <v>53</v>
      </c>
      <c r="D19" s="10" t="s">
        <v>54</v>
      </c>
    </row>
    <row r="20" customFormat="false" ht="32.8" hidden="false" customHeight="false" outlineLevel="0" collapsed="false">
      <c r="A20" s="7" t="s">
        <v>55</v>
      </c>
      <c r="B20" s="8" t="n">
        <v>500000</v>
      </c>
      <c r="C20" s="9" t="s">
        <v>56</v>
      </c>
      <c r="D20" s="10" t="s">
        <v>57</v>
      </c>
    </row>
    <row r="21" customFormat="false" ht="22.35" hidden="false" customHeight="false" outlineLevel="0" collapsed="false">
      <c r="A21" s="7" t="s">
        <v>58</v>
      </c>
      <c r="B21" s="15" t="n">
        <v>0.4</v>
      </c>
      <c r="C21" s="9" t="s">
        <v>28</v>
      </c>
      <c r="D21" s="10" t="s">
        <v>59</v>
      </c>
    </row>
    <row r="22" customFormat="false" ht="15" hidden="false" customHeight="false" outlineLevel="0" collapsed="false">
      <c r="A22" s="7" t="s">
        <v>60</v>
      </c>
      <c r="B22" s="13" t="n">
        <v>300000</v>
      </c>
      <c r="C22" s="9" t="s">
        <v>56</v>
      </c>
      <c r="D22" s="10" t="s">
        <v>61</v>
      </c>
    </row>
    <row r="23" customFormat="false" ht="22.35" hidden="false" customHeight="false" outlineLevel="0" collapsed="false">
      <c r="A23" s="7" t="s">
        <v>62</v>
      </c>
      <c r="B23" s="12" t="n">
        <f aca="false">(1-B5)/B5*B21*B22/B19</f>
        <v>15126.0504201681</v>
      </c>
      <c r="C23" s="9" t="s">
        <v>63</v>
      </c>
      <c r="D23" s="10" t="s">
        <v>64</v>
      </c>
    </row>
    <row r="24" customFormat="false" ht="15" hidden="false" customHeight="false" outlineLevel="0" collapsed="false">
      <c r="A24" s="7" t="s">
        <v>65</v>
      </c>
      <c r="B24" s="13" t="n">
        <v>0</v>
      </c>
      <c r="C24" s="9" t="s">
        <v>56</v>
      </c>
      <c r="D24" s="10" t="s">
        <v>66</v>
      </c>
    </row>
    <row r="25" customFormat="false" ht="15" hidden="false" customHeight="false" outlineLevel="0" collapsed="false">
      <c r="A25" s="7" t="s">
        <v>67</v>
      </c>
      <c r="B25" s="12" t="n">
        <f aca="false">B20/B19+B23</f>
        <v>372268.907563025</v>
      </c>
      <c r="C25" s="9" t="s">
        <v>63</v>
      </c>
      <c r="D25" s="10" t="s">
        <v>68</v>
      </c>
    </row>
    <row r="27" customFormat="false" ht="15" hidden="false" customHeight="false" outlineLevel="0" collapsed="false">
      <c r="A27" s="5" t="s">
        <v>69</v>
      </c>
      <c r="B27" s="6"/>
      <c r="C27" s="6"/>
      <c r="D27" s="6"/>
    </row>
    <row r="28" customFormat="false" ht="15" hidden="false" customHeight="false" outlineLevel="0" collapsed="false">
      <c r="A28" s="7" t="s">
        <v>70</v>
      </c>
      <c r="B28" s="8"/>
      <c r="C28" s="9" t="s">
        <v>56</v>
      </c>
      <c r="D28" s="10" t="s">
        <v>71</v>
      </c>
    </row>
    <row r="29" customFormat="false" ht="15" hidden="false" customHeight="false" outlineLevel="0" collapsed="false">
      <c r="A29" s="7" t="s">
        <v>72</v>
      </c>
      <c r="B29" s="13" t="n">
        <v>0</v>
      </c>
      <c r="C29" s="9" t="s">
        <v>56</v>
      </c>
      <c r="D29" s="10"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 collapsed="false" customWidth="true" hidden="false" outlineLevel="0" max="13" min="12" style="0" width="20"/>
  </cols>
  <sheetData>
    <row r="1" customFormat="false" ht="17.35" hidden="false" customHeight="false" outlineLevel="0" collapsed="false">
      <c r="A1" s="1" t="s">
        <v>74</v>
      </c>
    </row>
    <row r="2" customFormat="false" ht="42" hidden="false" customHeight="true" outlineLevel="0" collapsed="false">
      <c r="A2" s="17" t="s">
        <v>75</v>
      </c>
      <c r="B2" s="17"/>
      <c r="C2" s="17"/>
      <c r="D2" s="17"/>
      <c r="E2" s="17"/>
      <c r="F2" s="17"/>
      <c r="G2" s="17"/>
      <c r="H2" s="17"/>
      <c r="I2" s="17"/>
      <c r="J2" s="17"/>
      <c r="K2" s="17"/>
    </row>
    <row r="3" customFormat="false" ht="15" hidden="false" customHeight="false" outlineLevel="0" collapsed="false">
      <c r="A3" s="4" t="s">
        <v>76</v>
      </c>
    </row>
    <row r="4" customFormat="false" ht="43.5" hidden="false" customHeight="true" outlineLevel="0" collapsed="false">
      <c r="A4" s="18" t="s">
        <v>77</v>
      </c>
      <c r="B4" s="18" t="s">
        <v>78</v>
      </c>
      <c r="C4" s="18" t="s">
        <v>79</v>
      </c>
      <c r="D4" s="18" t="s">
        <v>80</v>
      </c>
      <c r="E4" s="18" t="s">
        <v>81</v>
      </c>
      <c r="F4" s="18" t="s">
        <v>82</v>
      </c>
      <c r="G4" s="18" t="s">
        <v>83</v>
      </c>
      <c r="H4" s="18" t="s">
        <v>84</v>
      </c>
      <c r="I4" s="18" t="s">
        <v>85</v>
      </c>
      <c r="J4" s="18" t="s">
        <v>86</v>
      </c>
      <c r="K4" s="18" t="s">
        <v>87</v>
      </c>
      <c r="L4" s="18" t="s">
        <v>88</v>
      </c>
      <c r="M4" s="18" t="s">
        <v>89</v>
      </c>
    </row>
    <row r="5" customFormat="false" ht="43.25" hidden="false" customHeight="false" outlineLevel="0" collapsed="false">
      <c r="A5" s="19" t="n">
        <v>1</v>
      </c>
      <c r="B5" s="20" t="s">
        <v>90</v>
      </c>
      <c r="C5" s="20" t="s">
        <v>91</v>
      </c>
      <c r="D5" s="20" t="s">
        <v>92</v>
      </c>
      <c r="E5" s="13" t="n">
        <v>7000000</v>
      </c>
      <c r="F5" s="21" t="n">
        <v>1</v>
      </c>
      <c r="G5" s="22" t="n">
        <v>1</v>
      </c>
      <c r="H5" s="22" t="n">
        <v>1</v>
      </c>
      <c r="I5" s="12" t="n">
        <f aca="false">H5*E5*F5*IF(D5="Cố định",1,IF(D5="Theo bàn",'Giả định'!$B$10,IF(D5="Theo khách",'Giả định'!$B$6,0)))</f>
        <v>189000000</v>
      </c>
      <c r="J5" s="12" t="n">
        <f aca="false">E5*F5*H5</f>
        <v>7000000</v>
      </c>
      <c r="K5" s="23" t="s">
        <v>93</v>
      </c>
      <c r="L5" s="13" t="n">
        <v>7000000</v>
      </c>
      <c r="M5" s="12" t="n">
        <f aca="false">L5*F5*H5</f>
        <v>7000000</v>
      </c>
    </row>
    <row r="6" customFormat="false" ht="22.35" hidden="false" customHeight="false" outlineLevel="0" collapsed="false">
      <c r="A6" s="19" t="n">
        <v>2</v>
      </c>
      <c r="B6" s="20" t="s">
        <v>90</v>
      </c>
      <c r="C6" s="20" t="s">
        <v>94</v>
      </c>
      <c r="D6" s="20" t="s">
        <v>92</v>
      </c>
      <c r="E6" s="13" t="n">
        <v>0</v>
      </c>
      <c r="F6" s="21" t="n">
        <v>1</v>
      </c>
      <c r="G6" s="22" t="n">
        <v>1</v>
      </c>
      <c r="H6" s="22" t="n">
        <v>1</v>
      </c>
      <c r="I6" s="12" t="n">
        <f aca="false">H6*E6*F6*IF(D6="Cố định",1,IF(D6="Theo bàn",'Giả định'!$B$10,IF(D6="Theo khách",'Giả định'!$B$6,0)))</f>
        <v>0</v>
      </c>
      <c r="J6" s="12" t="n">
        <f aca="false">E6*F6*H6</f>
        <v>0</v>
      </c>
      <c r="K6" s="23" t="s">
        <v>95</v>
      </c>
      <c r="L6" s="13" t="n">
        <v>0</v>
      </c>
      <c r="M6" s="12" t="n">
        <f aca="false">L6*F6*H6</f>
        <v>0</v>
      </c>
    </row>
    <row r="7" customFormat="false" ht="15" hidden="false" customHeight="false" outlineLevel="0" collapsed="false">
      <c r="A7" s="19" t="n">
        <v>3</v>
      </c>
      <c r="B7" s="20" t="s">
        <v>90</v>
      </c>
      <c r="C7" s="20" t="s">
        <v>96</v>
      </c>
      <c r="D7" s="20" t="s">
        <v>92</v>
      </c>
      <c r="E7" s="13" t="n">
        <v>150000</v>
      </c>
      <c r="F7" s="21" t="n">
        <v>1</v>
      </c>
      <c r="G7" s="22" t="n">
        <v>0</v>
      </c>
      <c r="H7" s="22" t="n">
        <v>1</v>
      </c>
      <c r="I7" s="12" t="n">
        <f aca="false">H7*E7*F7*IF(D7="Cố định",1,IF(D7="Theo bàn",'Giả định'!$B$10,IF(D7="Theo khách",'Giả định'!$B$6,0)))</f>
        <v>4050000</v>
      </c>
      <c r="J7" s="12" t="n">
        <f aca="false">E7*F7*H7</f>
        <v>150000</v>
      </c>
      <c r="K7" s="23" t="s">
        <v>97</v>
      </c>
      <c r="L7" s="13" t="n">
        <v>100000</v>
      </c>
      <c r="M7" s="12" t="n">
        <f aca="false">L7*F7*H7</f>
        <v>100000</v>
      </c>
    </row>
    <row r="8" customFormat="false" ht="15" hidden="false" customHeight="false" outlineLevel="0" collapsed="false">
      <c r="A8" s="19" t="n">
        <v>4</v>
      </c>
      <c r="B8" s="20" t="s">
        <v>90</v>
      </c>
      <c r="C8" s="20" t="s">
        <v>98</v>
      </c>
      <c r="D8" s="20" t="s">
        <v>99</v>
      </c>
      <c r="E8" s="13" t="n">
        <v>5000000</v>
      </c>
      <c r="F8" s="21" t="n">
        <v>1</v>
      </c>
      <c r="G8" s="22" t="n">
        <v>1</v>
      </c>
      <c r="H8" s="22" t="n">
        <v>1</v>
      </c>
      <c r="I8" s="12" t="n">
        <f aca="false">H8*E8*F8*IF(D8="Cố định",1,IF(D8="Theo bàn",'Giả định'!$B$10,IF(D8="Theo khách",'Giả định'!$B$6,0)))</f>
        <v>5000000</v>
      </c>
      <c r="J8" s="12" t="n">
        <f aca="false">E8*F8*H8</f>
        <v>5000000</v>
      </c>
      <c r="K8" s="23" t="s">
        <v>100</v>
      </c>
      <c r="L8" s="13" t="n">
        <v>0</v>
      </c>
      <c r="M8" s="12" t="n">
        <f aca="false">L8*F8*H8</f>
        <v>0</v>
      </c>
    </row>
    <row r="9" customFormat="false" ht="22.35" hidden="false" customHeight="false" outlineLevel="0" collapsed="false">
      <c r="A9" s="19" t="n">
        <v>5</v>
      </c>
      <c r="B9" s="20" t="s">
        <v>90</v>
      </c>
      <c r="C9" s="20" t="s">
        <v>101</v>
      </c>
      <c r="D9" s="20" t="s">
        <v>99</v>
      </c>
      <c r="E9" s="13" t="n">
        <v>20000000</v>
      </c>
      <c r="F9" s="21" t="n">
        <v>1</v>
      </c>
      <c r="G9" s="22" t="n">
        <v>0</v>
      </c>
      <c r="H9" s="22" t="n">
        <v>1</v>
      </c>
      <c r="I9" s="12" t="n">
        <f aca="false">H9*E9*F9*IF(D9="Cố định",1,IF(D9="Theo bàn",'Giả định'!$B$10,IF(D9="Theo khách",'Giả định'!$B$6,0)))</f>
        <v>20000000</v>
      </c>
      <c r="J9" s="12" t="n">
        <f aca="false">E9*F9*H9</f>
        <v>20000000</v>
      </c>
      <c r="K9" s="23" t="s">
        <v>102</v>
      </c>
      <c r="L9" s="13" t="n">
        <v>10000000</v>
      </c>
      <c r="M9" s="12" t="n">
        <f aca="false">L9*F9*H9</f>
        <v>10000000</v>
      </c>
    </row>
    <row r="10" customFormat="false" ht="15" hidden="false" customHeight="false" outlineLevel="0" collapsed="false">
      <c r="A10" s="19" t="n">
        <v>6</v>
      </c>
      <c r="B10" s="20" t="s">
        <v>90</v>
      </c>
      <c r="C10" s="20" t="s">
        <v>103</v>
      </c>
      <c r="D10" s="20" t="s">
        <v>99</v>
      </c>
      <c r="E10" s="13" t="n">
        <v>10000000</v>
      </c>
      <c r="F10" s="21" t="n">
        <v>1</v>
      </c>
      <c r="G10" s="22" t="n">
        <v>0</v>
      </c>
      <c r="H10" s="22" t="n">
        <v>1</v>
      </c>
      <c r="I10" s="12" t="n">
        <f aca="false">H10*E10*F10*IF(D10="Cố định",1,IF(D10="Theo bàn",'Giả định'!$B$10,IF(D10="Theo khách",'Giả định'!$B$6,0)))</f>
        <v>10000000</v>
      </c>
      <c r="J10" s="12" t="n">
        <f aca="false">E10*F10*H10</f>
        <v>10000000</v>
      </c>
      <c r="K10" s="23"/>
      <c r="L10" s="13" t="n">
        <v>6000000</v>
      </c>
      <c r="M10" s="12" t="n">
        <f aca="false">L10*F10*H10</f>
        <v>6000000</v>
      </c>
    </row>
    <row r="11" customFormat="false" ht="15" hidden="false" customHeight="false" outlineLevel="0" collapsed="false">
      <c r="A11" s="19" t="n">
        <v>7</v>
      </c>
      <c r="B11" s="20" t="s">
        <v>90</v>
      </c>
      <c r="C11" s="20" t="s">
        <v>104</v>
      </c>
      <c r="D11" s="20" t="s">
        <v>99</v>
      </c>
      <c r="E11" s="13" t="n">
        <v>5000000</v>
      </c>
      <c r="F11" s="21" t="n">
        <v>1</v>
      </c>
      <c r="G11" s="22" t="n">
        <v>0</v>
      </c>
      <c r="H11" s="22" t="n">
        <v>1</v>
      </c>
      <c r="I11" s="12" t="n">
        <f aca="false">H11*E11*F11*IF(D11="Cố định",1,IF(D11="Theo bàn",'Giả định'!$B$10,IF(D11="Theo khách",'Giả định'!$B$6,0)))</f>
        <v>5000000</v>
      </c>
      <c r="J11" s="12" t="n">
        <f aca="false">E11*F11*H11</f>
        <v>5000000</v>
      </c>
      <c r="K11" s="23" t="s">
        <v>105</v>
      </c>
      <c r="L11" s="13" t="n">
        <v>0</v>
      </c>
      <c r="M11" s="12" t="n">
        <f aca="false">L11*F11*H11</f>
        <v>0</v>
      </c>
    </row>
    <row r="12" customFormat="false" ht="15" hidden="false" customHeight="false" outlineLevel="0" collapsed="false">
      <c r="A12" s="19" t="n">
        <v>8</v>
      </c>
      <c r="B12" s="20" t="s">
        <v>90</v>
      </c>
      <c r="C12" s="20" t="s">
        <v>106</v>
      </c>
      <c r="D12" s="20" t="s">
        <v>99</v>
      </c>
      <c r="E12" s="13" t="n">
        <v>4000000</v>
      </c>
      <c r="F12" s="21" t="n">
        <v>1</v>
      </c>
      <c r="G12" s="22" t="n">
        <v>0</v>
      </c>
      <c r="H12" s="22" t="n">
        <v>1</v>
      </c>
      <c r="I12" s="12" t="n">
        <f aca="false">H12*E12*F12*IF(D12="Cố định",1,IF(D12="Theo bàn",'Giả định'!$B$10,IF(D12="Theo khách",'Giả định'!$B$6,0)))</f>
        <v>4000000</v>
      </c>
      <c r="J12" s="12" t="n">
        <f aca="false">E12*F12*H12</f>
        <v>4000000</v>
      </c>
      <c r="K12" s="23"/>
      <c r="L12" s="13" t="n">
        <v>2000000</v>
      </c>
      <c r="M12" s="12" t="n">
        <f aca="false">L12*F12*H12</f>
        <v>2000000</v>
      </c>
    </row>
    <row r="13" customFormat="false" ht="15" hidden="false" customHeight="false" outlineLevel="0" collapsed="false">
      <c r="A13" s="19" t="n">
        <v>9</v>
      </c>
      <c r="B13" s="20" t="s">
        <v>90</v>
      </c>
      <c r="C13" s="20" t="s">
        <v>107</v>
      </c>
      <c r="D13" s="20" t="s">
        <v>99</v>
      </c>
      <c r="E13" s="13" t="n">
        <v>3000000</v>
      </c>
      <c r="F13" s="21" t="n">
        <v>1</v>
      </c>
      <c r="G13" s="22" t="n">
        <v>0</v>
      </c>
      <c r="H13" s="22" t="n">
        <v>1</v>
      </c>
      <c r="I13" s="12" t="n">
        <f aca="false">H13*E13*F13*IF(D13="Cố định",1,IF(D13="Theo bàn",'Giả định'!$B$10,IF(D13="Theo khách",'Giả định'!$B$6,0)))</f>
        <v>3000000</v>
      </c>
      <c r="J13" s="12" t="n">
        <f aca="false">E13*F13*H13</f>
        <v>3000000</v>
      </c>
      <c r="K13" s="23"/>
      <c r="L13" s="13" t="n">
        <v>0</v>
      </c>
      <c r="M13" s="12" t="n">
        <f aca="false">L13*F13*H13</f>
        <v>0</v>
      </c>
    </row>
    <row r="14" customFormat="false" ht="15" hidden="false" customHeight="false" outlineLevel="0" collapsed="false">
      <c r="A14" s="19" t="n">
        <v>10</v>
      </c>
      <c r="B14" s="20" t="s">
        <v>90</v>
      </c>
      <c r="C14" s="20" t="s">
        <v>108</v>
      </c>
      <c r="D14" s="20" t="s">
        <v>99</v>
      </c>
      <c r="E14" s="13" t="n">
        <v>500000</v>
      </c>
      <c r="F14" s="21" t="n">
        <v>1</v>
      </c>
      <c r="G14" s="22" t="n">
        <v>0</v>
      </c>
      <c r="H14" s="22" t="n">
        <v>1</v>
      </c>
      <c r="I14" s="12" t="n">
        <f aca="false">H14*E14*F14*IF(D14="Cố định",1,IF(D14="Theo bàn",'Giả định'!$B$10,IF(D14="Theo khách",'Giả định'!$B$6,0)))</f>
        <v>500000</v>
      </c>
      <c r="J14" s="12" t="n">
        <f aca="false">E14*F14*H14</f>
        <v>500000</v>
      </c>
      <c r="K14" s="23"/>
      <c r="L14" s="13" t="n">
        <v>300000</v>
      </c>
      <c r="M14" s="12" t="n">
        <f aca="false">L14*F14*H14</f>
        <v>300000</v>
      </c>
    </row>
    <row r="15" customFormat="false" ht="15" hidden="false" customHeight="false" outlineLevel="0" collapsed="false">
      <c r="A15" s="19" t="n">
        <v>11</v>
      </c>
      <c r="B15" s="20" t="s">
        <v>90</v>
      </c>
      <c r="C15" s="20" t="s">
        <v>109</v>
      </c>
      <c r="D15" s="20" t="s">
        <v>99</v>
      </c>
      <c r="E15" s="13" t="n">
        <v>3000000</v>
      </c>
      <c r="F15" s="21" t="n">
        <v>1</v>
      </c>
      <c r="G15" s="22" t="n">
        <v>0</v>
      </c>
      <c r="H15" s="22" t="n">
        <v>1</v>
      </c>
      <c r="I15" s="12" t="n">
        <f aca="false">H15*E15*F15*IF(D15="Cố định",1,IF(D15="Theo bàn",'Giả định'!$B$10,IF(D15="Theo khách",'Giả định'!$B$6,0)))</f>
        <v>3000000</v>
      </c>
      <c r="J15" s="12" t="n">
        <f aca="false">E15*F15*H15</f>
        <v>3000000</v>
      </c>
      <c r="K15" s="23" t="s">
        <v>110</v>
      </c>
      <c r="L15" s="13" t="n">
        <v>1000000</v>
      </c>
      <c r="M15" s="12" t="n">
        <f aca="false">L15*F15*H15</f>
        <v>1000000</v>
      </c>
    </row>
    <row r="16" customFormat="false" ht="15" hidden="false" customHeight="false" outlineLevel="0" collapsed="false">
      <c r="A16" s="19" t="n">
        <v>12</v>
      </c>
      <c r="B16" s="20" t="s">
        <v>90</v>
      </c>
      <c r="C16" s="20" t="s">
        <v>111</v>
      </c>
      <c r="D16" s="20" t="s">
        <v>99</v>
      </c>
      <c r="E16" s="13" t="n">
        <v>2000000</v>
      </c>
      <c r="F16" s="21" t="n">
        <v>1</v>
      </c>
      <c r="G16" s="22" t="n">
        <v>0</v>
      </c>
      <c r="H16" s="22" t="n">
        <v>1</v>
      </c>
      <c r="I16" s="12" t="n">
        <f aca="false">H16*E16*F16*IF(D16="Cố định",1,IF(D16="Theo bàn",'Giả định'!$B$10,IF(D16="Theo khách",'Giả định'!$B$6,0)))</f>
        <v>2000000</v>
      </c>
      <c r="J16" s="12" t="n">
        <f aca="false">E16*F16*H16</f>
        <v>2000000</v>
      </c>
      <c r="K16" s="23"/>
      <c r="L16" s="13" t="n">
        <v>1500000</v>
      </c>
      <c r="M16" s="12" t="n">
        <f aca="false">L16*F16*H16</f>
        <v>1500000</v>
      </c>
    </row>
    <row r="17" customFormat="false" ht="15" hidden="false" customHeight="false" outlineLevel="0" collapsed="false">
      <c r="A17" s="19" t="n">
        <v>13</v>
      </c>
      <c r="B17" s="20" t="s">
        <v>90</v>
      </c>
      <c r="C17" s="20" t="s">
        <v>112</v>
      </c>
      <c r="D17" s="20" t="s">
        <v>113</v>
      </c>
      <c r="E17" s="13" t="n">
        <v>25000</v>
      </c>
      <c r="F17" s="21" t="n">
        <v>1</v>
      </c>
      <c r="G17" s="22" t="n">
        <v>0</v>
      </c>
      <c r="H17" s="22" t="n">
        <v>1</v>
      </c>
      <c r="I17" s="12" t="n">
        <f aca="false">H17*E17*F17*IF(D17="Cố định",1,IF(D17="Theo bàn",'Giả định'!$B$10,IF(D17="Theo khách",'Giả định'!$B$6,0)))</f>
        <v>6375000</v>
      </c>
      <c r="J17" s="12" t="n">
        <f aca="false">E17*F17*H17</f>
        <v>25000</v>
      </c>
      <c r="K17" s="23" t="s">
        <v>114</v>
      </c>
      <c r="L17" s="13" t="n">
        <v>15000</v>
      </c>
      <c r="M17" s="12" t="n">
        <f aca="false">L17*F17*H17</f>
        <v>15000</v>
      </c>
    </row>
    <row r="18" customFormat="false" ht="22.35" hidden="false" customHeight="false" outlineLevel="0" collapsed="false">
      <c r="A18" s="19" t="n">
        <v>14</v>
      </c>
      <c r="B18" s="20" t="s">
        <v>90</v>
      </c>
      <c r="C18" s="20" t="s">
        <v>115</v>
      </c>
      <c r="D18" s="20" t="s">
        <v>113</v>
      </c>
      <c r="E18" s="13" t="n">
        <v>12000</v>
      </c>
      <c r="F18" s="21" t="n">
        <v>0.7</v>
      </c>
      <c r="G18" s="22" t="n">
        <v>0</v>
      </c>
      <c r="H18" s="22" t="n">
        <v>1</v>
      </c>
      <c r="I18" s="12" t="n">
        <f aca="false">H18*E18*F18*IF(D18="Cố định",1,IF(D18="Theo bàn",'Giả định'!$B$10,IF(D18="Theo khách",'Giả định'!$B$6,0)))</f>
        <v>2142000</v>
      </c>
      <c r="J18" s="12" t="n">
        <f aca="false">E18*F18*H18</f>
        <v>8400</v>
      </c>
      <c r="K18" s="23" t="s">
        <v>116</v>
      </c>
      <c r="L18" s="13" t="n">
        <v>8000</v>
      </c>
      <c r="M18" s="12" t="n">
        <f aca="false">L18*F18*H18</f>
        <v>5600</v>
      </c>
    </row>
    <row r="19" customFormat="false" ht="15" hidden="false" customHeight="false" outlineLevel="0" collapsed="false">
      <c r="A19" s="19" t="n">
        <v>15</v>
      </c>
      <c r="B19" s="20" t="s">
        <v>117</v>
      </c>
      <c r="C19" s="20" t="s">
        <v>118</v>
      </c>
      <c r="D19" s="20" t="s">
        <v>99</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119</v>
      </c>
      <c r="L19" s="13" t="n">
        <v>10000000</v>
      </c>
      <c r="M19" s="12" t="n">
        <f aca="false">L19*F19*H19</f>
        <v>10000000</v>
      </c>
    </row>
    <row r="20" customFormat="false" ht="15" hidden="false" customHeight="false" outlineLevel="0" collapsed="false">
      <c r="A20" s="19" t="n">
        <v>16</v>
      </c>
      <c r="B20" s="20" t="s">
        <v>117</v>
      </c>
      <c r="C20" s="20" t="s">
        <v>120</v>
      </c>
      <c r="D20" s="20" t="s">
        <v>99</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121</v>
      </c>
      <c r="L20" s="13" t="n">
        <v>1800000</v>
      </c>
      <c r="M20" s="12" t="n">
        <f aca="false">L20*F20*H20</f>
        <v>9000000</v>
      </c>
    </row>
    <row r="21" customFormat="false" ht="15" hidden="false" customHeight="false" outlineLevel="0" collapsed="false">
      <c r="A21" s="19" t="n">
        <v>17</v>
      </c>
      <c r="B21" s="20" t="s">
        <v>117</v>
      </c>
      <c r="C21" s="20" t="s">
        <v>122</v>
      </c>
      <c r="D21" s="20" t="s">
        <v>99</v>
      </c>
      <c r="E21" s="13" t="n">
        <v>5000000</v>
      </c>
      <c r="F21" s="21" t="n">
        <v>1</v>
      </c>
      <c r="G21" s="22" t="n">
        <v>0</v>
      </c>
      <c r="H21" s="22" t="n">
        <v>1</v>
      </c>
      <c r="I21" s="12" t="n">
        <f aca="false">H21*E21*F21*IF(D21="Cố định",1,IF(D21="Theo bàn",'Giả định'!$B$10,IF(D21="Theo khách",'Giả định'!$B$6,0)))</f>
        <v>5000000</v>
      </c>
      <c r="J21" s="12" t="n">
        <f aca="false">E21*F21*H21</f>
        <v>5000000</v>
      </c>
      <c r="K21" s="23"/>
      <c r="L21" s="13" t="n">
        <v>2000000</v>
      </c>
      <c r="M21" s="12" t="n">
        <f aca="false">L21*F21*H21</f>
        <v>2000000</v>
      </c>
    </row>
    <row r="22" customFormat="false" ht="15" hidden="false" customHeight="false" outlineLevel="0" collapsed="false">
      <c r="A22" s="19" t="n">
        <v>18</v>
      </c>
      <c r="B22" s="20" t="s">
        <v>117</v>
      </c>
      <c r="C22" s="20" t="s">
        <v>123</v>
      </c>
      <c r="D22" s="20" t="s">
        <v>99</v>
      </c>
      <c r="E22" s="13" t="n">
        <v>4000000</v>
      </c>
      <c r="F22" s="21" t="n">
        <v>1</v>
      </c>
      <c r="G22" s="22" t="n">
        <v>0</v>
      </c>
      <c r="H22" s="22" t="n">
        <v>1</v>
      </c>
      <c r="I22" s="12" t="n">
        <f aca="false">H22*E22*F22*IF(D22="Cố định",1,IF(D22="Theo bàn",'Giả định'!$B$10,IF(D22="Theo khách",'Giả định'!$B$6,0)))</f>
        <v>4000000</v>
      </c>
      <c r="J22" s="12" t="n">
        <f aca="false">E22*F22*H22</f>
        <v>4000000</v>
      </c>
      <c r="K22" s="23"/>
      <c r="L22" s="13" t="n">
        <v>2000000</v>
      </c>
      <c r="M22" s="12" t="n">
        <f aca="false">L22*F22*H22</f>
        <v>2000000</v>
      </c>
    </row>
    <row r="23" customFormat="false" ht="15" hidden="false" customHeight="false" outlineLevel="0" collapsed="false">
      <c r="A23" s="19" t="n">
        <v>19</v>
      </c>
      <c r="B23" s="20" t="s">
        <v>117</v>
      </c>
      <c r="C23" s="20" t="s">
        <v>124</v>
      </c>
      <c r="D23" s="20" t="s">
        <v>99</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125</v>
      </c>
      <c r="L23" s="13" t="n">
        <v>2000000</v>
      </c>
      <c r="M23" s="12" t="n">
        <f aca="false">L23*F23*H23</f>
        <v>2000000</v>
      </c>
    </row>
    <row r="24" customFormat="false" ht="15" hidden="false" customHeight="false" outlineLevel="0" collapsed="false">
      <c r="A24" s="19" t="n">
        <v>20</v>
      </c>
      <c r="B24" s="20" t="s">
        <v>117</v>
      </c>
      <c r="C24" s="20" t="s">
        <v>126</v>
      </c>
      <c r="D24" s="20" t="s">
        <v>99</v>
      </c>
      <c r="E24" s="13" t="n">
        <v>4000000</v>
      </c>
      <c r="F24" s="21" t="n">
        <v>1</v>
      </c>
      <c r="G24" s="22" t="n">
        <v>0</v>
      </c>
      <c r="H24" s="22" t="n">
        <v>1</v>
      </c>
      <c r="I24" s="12" t="n">
        <f aca="false">H24*E24*F24*IF(D24="Cố định",1,IF(D24="Theo bàn",'Giả định'!$B$10,IF(D24="Theo khách",'Giả định'!$B$6,0)))</f>
        <v>4000000</v>
      </c>
      <c r="J24" s="12" t="n">
        <f aca="false">E24*F24*H24</f>
        <v>4000000</v>
      </c>
      <c r="K24" s="23"/>
      <c r="L24" s="13" t="n">
        <v>2000000</v>
      </c>
      <c r="M24" s="12" t="n">
        <f aca="false">L24*F24*H24</f>
        <v>2000000</v>
      </c>
    </row>
    <row r="25" customFormat="false" ht="15" hidden="false" customHeight="false" outlineLevel="0" collapsed="false">
      <c r="A25" s="19" t="n">
        <v>21</v>
      </c>
      <c r="B25" s="20" t="s">
        <v>127</v>
      </c>
      <c r="C25" s="20" t="s">
        <v>128</v>
      </c>
      <c r="D25" s="20" t="s">
        <v>99</v>
      </c>
      <c r="E25" s="13" t="n">
        <v>12000000</v>
      </c>
      <c r="F25" s="21" t="n">
        <v>1</v>
      </c>
      <c r="G25" s="22" t="n">
        <v>0</v>
      </c>
      <c r="H25" s="22" t="n">
        <v>1</v>
      </c>
      <c r="I25" s="12" t="n">
        <f aca="false">H25*E25*F25*IF(D25="Cố định",1,IF(D25="Theo bàn",'Giả định'!$B$10,IF(D25="Theo khách",'Giả định'!$B$6,0)))</f>
        <v>12000000</v>
      </c>
      <c r="J25" s="12" t="n">
        <f aca="false">E25*F25*H25</f>
        <v>12000000</v>
      </c>
      <c r="K25" s="23"/>
      <c r="L25" s="13" t="n">
        <v>6000000</v>
      </c>
      <c r="M25" s="12" t="n">
        <f aca="false">L25*F25*H25</f>
        <v>6000000</v>
      </c>
    </row>
    <row r="26" customFormat="false" ht="15" hidden="false" customHeight="false" outlineLevel="0" collapsed="false">
      <c r="A26" s="19" t="n">
        <v>22</v>
      </c>
      <c r="B26" s="20" t="s">
        <v>127</v>
      </c>
      <c r="C26" s="20" t="s">
        <v>129</v>
      </c>
      <c r="D26" s="20" t="s">
        <v>99</v>
      </c>
      <c r="E26" s="13" t="n">
        <v>4000000</v>
      </c>
      <c r="F26" s="21" t="n">
        <v>1</v>
      </c>
      <c r="G26" s="22" t="n">
        <v>0</v>
      </c>
      <c r="H26" s="22" t="n">
        <v>1</v>
      </c>
      <c r="I26" s="12" t="n">
        <f aca="false">H26*E26*F26*IF(D26="Cố định",1,IF(D26="Theo bàn",'Giả định'!$B$10,IF(D26="Theo khách",'Giả định'!$B$6,0)))</f>
        <v>4000000</v>
      </c>
      <c r="J26" s="12" t="n">
        <f aca="false">E26*F26*H26</f>
        <v>4000000</v>
      </c>
      <c r="K26" s="23"/>
      <c r="L26" s="13" t="n">
        <v>2000000</v>
      </c>
      <c r="M26" s="12" t="n">
        <f aca="false">L26*F26*H26</f>
        <v>2000000</v>
      </c>
    </row>
    <row r="27" customFormat="false" ht="15" hidden="false" customHeight="false" outlineLevel="0" collapsed="false">
      <c r="A27" s="19" t="n">
        <v>23</v>
      </c>
      <c r="B27" s="20" t="s">
        <v>127</v>
      </c>
      <c r="C27" s="20" t="s">
        <v>130</v>
      </c>
      <c r="D27" s="20" t="s">
        <v>99</v>
      </c>
      <c r="E27" s="13" t="n">
        <v>3000000</v>
      </c>
      <c r="F27" s="21" t="n">
        <v>1</v>
      </c>
      <c r="G27" s="22" t="n">
        <v>0</v>
      </c>
      <c r="H27" s="22" t="n">
        <v>1</v>
      </c>
      <c r="I27" s="12" t="n">
        <f aca="false">H27*E27*F27*IF(D27="Cố định",1,IF(D27="Theo bàn",'Giả định'!$B$10,IF(D27="Theo khách",'Giả định'!$B$6,0)))</f>
        <v>3000000</v>
      </c>
      <c r="J27" s="12" t="n">
        <f aca="false">E27*F27*H27</f>
        <v>3000000</v>
      </c>
      <c r="K27" s="23"/>
      <c r="L27" s="13" t="n">
        <v>1500000</v>
      </c>
      <c r="M27" s="12" t="n">
        <f aca="false">L27*F27*H27</f>
        <v>1500000</v>
      </c>
    </row>
    <row r="28" customFormat="false" ht="15" hidden="false" customHeight="false" outlineLevel="0" collapsed="false">
      <c r="A28" s="19" t="n">
        <v>24</v>
      </c>
      <c r="B28" s="20" t="s">
        <v>127</v>
      </c>
      <c r="C28" s="20" t="s">
        <v>131</v>
      </c>
      <c r="D28" s="20" t="s">
        <v>99</v>
      </c>
      <c r="E28" s="13" t="n">
        <v>6000000</v>
      </c>
      <c r="F28" s="21" t="n">
        <v>1</v>
      </c>
      <c r="G28" s="22" t="n">
        <v>0</v>
      </c>
      <c r="H28" s="22" t="n">
        <v>1</v>
      </c>
      <c r="I28" s="12" t="n">
        <f aca="false">H28*E28*F28*IF(D28="Cố định",1,IF(D28="Theo bàn",'Giả định'!$B$10,IF(D28="Theo khách",'Giả định'!$B$6,0)))</f>
        <v>6000000</v>
      </c>
      <c r="J28" s="12" t="n">
        <f aca="false">E28*F28*H28</f>
        <v>6000000</v>
      </c>
      <c r="K28" s="23"/>
      <c r="L28" s="13" t="n">
        <v>4000000</v>
      </c>
      <c r="M28" s="12" t="n">
        <f aca="false">L28*F28*H28</f>
        <v>4000000</v>
      </c>
    </row>
    <row r="29" customFormat="false" ht="15" hidden="false" customHeight="false" outlineLevel="0" collapsed="false">
      <c r="A29" s="19" t="n">
        <v>25</v>
      </c>
      <c r="B29" s="20" t="s">
        <v>127</v>
      </c>
      <c r="C29" s="20" t="s">
        <v>132</v>
      </c>
      <c r="D29" s="20" t="s">
        <v>99</v>
      </c>
      <c r="E29" s="13" t="n">
        <v>2500000</v>
      </c>
      <c r="F29" s="21" t="n">
        <v>1</v>
      </c>
      <c r="G29" s="22" t="n">
        <v>0</v>
      </c>
      <c r="H29" s="22" t="n">
        <v>1</v>
      </c>
      <c r="I29" s="12" t="n">
        <f aca="false">H29*E29*F29*IF(D29="Cố định",1,IF(D29="Theo bàn",'Giả định'!$B$10,IF(D29="Theo khách",'Giả định'!$B$6,0)))</f>
        <v>2500000</v>
      </c>
      <c r="J29" s="12" t="n">
        <f aca="false">E29*F29*H29</f>
        <v>2500000</v>
      </c>
      <c r="K29" s="23"/>
      <c r="L29" s="13" t="n">
        <v>1500000</v>
      </c>
      <c r="M29" s="12" t="n">
        <f aca="false">L29*F29*H29</f>
        <v>1500000</v>
      </c>
    </row>
    <row r="30" customFormat="false" ht="15" hidden="false" customHeight="false" outlineLevel="0" collapsed="false">
      <c r="A30" s="19" t="n">
        <v>26</v>
      </c>
      <c r="B30" s="20" t="s">
        <v>127</v>
      </c>
      <c r="C30" s="20" t="s">
        <v>133</v>
      </c>
      <c r="D30" s="20" t="s">
        <v>99</v>
      </c>
      <c r="E30" s="13" t="n">
        <v>1500000</v>
      </c>
      <c r="F30" s="21" t="n">
        <v>1</v>
      </c>
      <c r="G30" s="22" t="n">
        <v>0</v>
      </c>
      <c r="H30" s="22" t="n">
        <v>1</v>
      </c>
      <c r="I30" s="12" t="n">
        <f aca="false">H30*E30*F30*IF(D30="Cố định",1,IF(D30="Theo bàn",'Giả định'!$B$10,IF(D30="Theo khách",'Giả định'!$B$6,0)))</f>
        <v>1500000</v>
      </c>
      <c r="J30" s="12" t="n">
        <f aca="false">E30*F30*H30</f>
        <v>1500000</v>
      </c>
      <c r="K30" s="23"/>
      <c r="L30" s="13" t="n">
        <v>1000000</v>
      </c>
      <c r="M30" s="12" t="n">
        <f aca="false">L30*F30*H30</f>
        <v>1000000</v>
      </c>
    </row>
    <row r="31" customFormat="false" ht="15" hidden="false" customHeight="false" outlineLevel="0" collapsed="false">
      <c r="A31" s="19" t="n">
        <v>27</v>
      </c>
      <c r="B31" s="20" t="s">
        <v>127</v>
      </c>
      <c r="C31" s="20" t="s">
        <v>134</v>
      </c>
      <c r="D31" s="20" t="s">
        <v>99</v>
      </c>
      <c r="E31" s="13" t="n">
        <v>1500000</v>
      </c>
      <c r="F31" s="21" t="n">
        <v>1</v>
      </c>
      <c r="G31" s="22" t="n">
        <v>0</v>
      </c>
      <c r="H31" s="22" t="n">
        <v>1</v>
      </c>
      <c r="I31" s="12" t="n">
        <f aca="false">H31*E31*F31*IF(D31="Cố định",1,IF(D31="Theo bàn",'Giả định'!$B$10,IF(D31="Theo khách",'Giả định'!$B$6,0)))</f>
        <v>1500000</v>
      </c>
      <c r="J31" s="12" t="n">
        <f aca="false">E31*F31*H31</f>
        <v>1500000</v>
      </c>
      <c r="K31" s="23"/>
      <c r="L31" s="13" t="n">
        <v>800000</v>
      </c>
      <c r="M31" s="12" t="n">
        <f aca="false">L31*F31*H31</f>
        <v>800000</v>
      </c>
    </row>
    <row r="32" customFormat="false" ht="15" hidden="false" customHeight="false" outlineLevel="0" collapsed="false">
      <c r="A32" s="19" t="n">
        <v>28</v>
      </c>
      <c r="B32" s="20" t="s">
        <v>135</v>
      </c>
      <c r="C32" s="20" t="s">
        <v>136</v>
      </c>
      <c r="D32" s="20" t="s">
        <v>99</v>
      </c>
      <c r="E32" s="13" t="n">
        <v>12000000</v>
      </c>
      <c r="F32" s="21" t="n">
        <v>1</v>
      </c>
      <c r="G32" s="22" t="n">
        <v>0</v>
      </c>
      <c r="H32" s="22" t="n">
        <v>1</v>
      </c>
      <c r="I32" s="12" t="n">
        <f aca="false">H32*E32*F32*IF(D32="Cố định",1,IF(D32="Theo bàn",'Giả định'!$B$10,IF(D32="Theo khách",'Giả định'!$B$6,0)))</f>
        <v>12000000</v>
      </c>
      <c r="J32" s="12" t="n">
        <f aca="false">E32*F32*H32</f>
        <v>12000000</v>
      </c>
      <c r="K32" s="23"/>
      <c r="L32" s="13" t="n">
        <v>6000000</v>
      </c>
      <c r="M32" s="12" t="n">
        <f aca="false">L32*F32*H32</f>
        <v>6000000</v>
      </c>
    </row>
    <row r="33" customFormat="false" ht="15" hidden="false" customHeight="false" outlineLevel="0" collapsed="false">
      <c r="A33" s="19" t="n">
        <v>29</v>
      </c>
      <c r="B33" s="20" t="s">
        <v>135</v>
      </c>
      <c r="C33" s="20" t="s">
        <v>137</v>
      </c>
      <c r="D33" s="20" t="s">
        <v>99</v>
      </c>
      <c r="E33" s="13" t="n">
        <v>8000000</v>
      </c>
      <c r="F33" s="21" t="n">
        <v>1</v>
      </c>
      <c r="G33" s="22" t="n">
        <v>0</v>
      </c>
      <c r="H33" s="22" t="n">
        <v>1</v>
      </c>
      <c r="I33" s="12" t="n">
        <f aca="false">H33*E33*F33*IF(D33="Cố định",1,IF(D33="Theo bàn",'Giả định'!$B$10,IF(D33="Theo khách",'Giả định'!$B$6,0)))</f>
        <v>8000000</v>
      </c>
      <c r="J33" s="12" t="n">
        <f aca="false">E33*F33*H33</f>
        <v>8000000</v>
      </c>
      <c r="K33" s="23"/>
      <c r="L33" s="13" t="n">
        <v>5000000</v>
      </c>
      <c r="M33" s="12" t="n">
        <f aca="false">L33*F33*H33</f>
        <v>5000000</v>
      </c>
    </row>
    <row r="34" customFormat="false" ht="15" hidden="false" customHeight="false" outlineLevel="0" collapsed="false">
      <c r="A34" s="19" t="n">
        <v>30</v>
      </c>
      <c r="B34" s="20" t="s">
        <v>135</v>
      </c>
      <c r="C34" s="20" t="s">
        <v>138</v>
      </c>
      <c r="D34" s="20" t="s">
        <v>99</v>
      </c>
      <c r="E34" s="13" t="n">
        <v>8000000</v>
      </c>
      <c r="F34" s="21" t="n">
        <v>1</v>
      </c>
      <c r="G34" s="22" t="n">
        <v>0</v>
      </c>
      <c r="H34" s="22" t="n">
        <v>1</v>
      </c>
      <c r="I34" s="12" t="n">
        <f aca="false">H34*E34*F34*IF(D34="Cố định",1,IF(D34="Theo bàn",'Giả định'!$B$10,IF(D34="Theo khách",'Giả định'!$B$6,0)))</f>
        <v>8000000</v>
      </c>
      <c r="J34" s="12" t="n">
        <f aca="false">E34*F34*H34</f>
        <v>8000000</v>
      </c>
      <c r="K34" s="23"/>
      <c r="L34" s="13" t="n">
        <v>4000000</v>
      </c>
      <c r="M34" s="12" t="n">
        <f aca="false">L34*F34*H34</f>
        <v>4000000</v>
      </c>
    </row>
    <row r="35" customFormat="false" ht="15" hidden="false" customHeight="false" outlineLevel="0" collapsed="false">
      <c r="A35" s="19" t="n">
        <v>31</v>
      </c>
      <c r="B35" s="20" t="s">
        <v>135</v>
      </c>
      <c r="C35" s="20" t="s">
        <v>139</v>
      </c>
      <c r="D35" s="20" t="s">
        <v>99</v>
      </c>
      <c r="E35" s="13" t="n">
        <v>2000000</v>
      </c>
      <c r="F35" s="21" t="n">
        <v>1</v>
      </c>
      <c r="G35" s="22" t="n">
        <v>0</v>
      </c>
      <c r="H35" s="22" t="n">
        <v>1</v>
      </c>
      <c r="I35" s="12" t="n">
        <f aca="false">H35*E35*F35*IF(D35="Cố định",1,IF(D35="Theo bàn",'Giả định'!$B$10,IF(D35="Theo khách",'Giả định'!$B$6,0)))</f>
        <v>2000000</v>
      </c>
      <c r="J35" s="12" t="n">
        <f aca="false">E35*F35*H35</f>
        <v>2000000</v>
      </c>
      <c r="K35" s="23"/>
      <c r="L35" s="13" t="n">
        <v>1000000</v>
      </c>
      <c r="M35" s="12" t="n">
        <f aca="false">L35*F35*H35</f>
        <v>1000000</v>
      </c>
    </row>
    <row r="36" customFormat="false" ht="22.35" hidden="false" customHeight="false" outlineLevel="0" collapsed="false">
      <c r="A36" s="19" t="n">
        <v>32</v>
      </c>
      <c r="B36" s="20" t="s">
        <v>140</v>
      </c>
      <c r="C36" s="20" t="s">
        <v>141</v>
      </c>
      <c r="D36" s="20" t="s">
        <v>99</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142</v>
      </c>
      <c r="L36" s="13" t="n">
        <v>6000000</v>
      </c>
      <c r="M36" s="12" t="n">
        <f aca="false">L36*F36*H36</f>
        <v>6000000</v>
      </c>
    </row>
    <row r="37" customFormat="false" ht="15" hidden="false" customHeight="false" outlineLevel="0" collapsed="false">
      <c r="A37" s="19" t="n">
        <v>33</v>
      </c>
      <c r="B37" s="20" t="s">
        <v>140</v>
      </c>
      <c r="C37" s="20" t="s">
        <v>143</v>
      </c>
      <c r="D37" s="20" t="s">
        <v>99</v>
      </c>
      <c r="E37" s="13" t="n">
        <v>1000000</v>
      </c>
      <c r="F37" s="21" t="n">
        <v>1</v>
      </c>
      <c r="G37" s="22" t="n">
        <v>0</v>
      </c>
      <c r="H37" s="22" t="n">
        <v>1</v>
      </c>
      <c r="I37" s="12" t="n">
        <f aca="false">H37*E37*F37*IF(D37="Cố định",1,IF(D37="Theo bàn",'Giả định'!$B$10,IF(D37="Theo khách",'Giả định'!$B$6,0)))</f>
        <v>1000000</v>
      </c>
      <c r="J37" s="12" t="n">
        <f aca="false">E37*F37*H37</f>
        <v>1000000</v>
      </c>
      <c r="K37" s="23"/>
      <c r="L37" s="13" t="n">
        <v>1000000</v>
      </c>
      <c r="M37" s="12" t="n">
        <f aca="false">L37*F37*H37</f>
        <v>1000000</v>
      </c>
    </row>
    <row r="38" customFormat="false" ht="15" hidden="false" customHeight="false" outlineLevel="0" collapsed="false">
      <c r="A38" s="19" t="n">
        <v>34</v>
      </c>
      <c r="B38" s="20" t="s">
        <v>144</v>
      </c>
      <c r="C38" s="20" t="s">
        <v>145</v>
      </c>
      <c r="D38" s="20" t="s">
        <v>99</v>
      </c>
      <c r="E38" s="13" t="n">
        <v>5000000</v>
      </c>
      <c r="F38" s="21" t="n">
        <v>1</v>
      </c>
      <c r="G38" s="22" t="n">
        <v>0</v>
      </c>
      <c r="H38" s="22" t="n">
        <v>1</v>
      </c>
      <c r="I38" s="12" t="n">
        <f aca="false">H38*E38*F38*IF(D38="Cố định",1,IF(D38="Theo bàn",'Giả định'!$B$10,IF(D38="Theo khách",'Giả định'!$B$6,0)))</f>
        <v>5000000</v>
      </c>
      <c r="J38" s="12" t="n">
        <f aca="false">E38*F38*H38</f>
        <v>5000000</v>
      </c>
      <c r="K38" s="23"/>
      <c r="L38" s="13" t="n">
        <v>3000000</v>
      </c>
      <c r="M38" s="12" t="n">
        <f aca="false">L38*F38*H38</f>
        <v>3000000</v>
      </c>
    </row>
    <row r="39" customFormat="false" ht="15" hidden="false" customHeight="false" outlineLevel="0" collapsed="false">
      <c r="A39" s="19" t="n">
        <v>35</v>
      </c>
      <c r="B39" s="20" t="s">
        <v>144</v>
      </c>
      <c r="C39" s="20" t="s">
        <v>146</v>
      </c>
      <c r="D39" s="20" t="s">
        <v>99</v>
      </c>
      <c r="E39" s="13" t="n">
        <v>2000000</v>
      </c>
      <c r="F39" s="21" t="n">
        <v>1</v>
      </c>
      <c r="G39" s="22" t="n">
        <v>0</v>
      </c>
      <c r="H39" s="22" t="n">
        <v>1</v>
      </c>
      <c r="I39" s="12" t="n">
        <f aca="false">H39*E39*F39*IF(D39="Cố định",1,IF(D39="Theo bàn",'Giả định'!$B$10,IF(D39="Theo khách",'Giả định'!$B$6,0)))</f>
        <v>2000000</v>
      </c>
      <c r="J39" s="12" t="n">
        <f aca="false">E39*F39*H39</f>
        <v>2000000</v>
      </c>
      <c r="K39" s="23"/>
      <c r="L39" s="13" t="n">
        <v>1000000</v>
      </c>
      <c r="M39" s="12" t="n">
        <f aca="false">L39*F39*H39</f>
        <v>1000000</v>
      </c>
    </row>
    <row r="40" customFormat="false" ht="15" hidden="false" customHeight="false" outlineLevel="0" collapsed="false">
      <c r="A40" s="19" t="n">
        <v>36</v>
      </c>
      <c r="B40" s="20" t="s">
        <v>144</v>
      </c>
      <c r="C40" s="20" t="s">
        <v>147</v>
      </c>
      <c r="D40" s="20" t="s">
        <v>99</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148</v>
      </c>
      <c r="L40" s="13" t="n">
        <v>500000</v>
      </c>
      <c r="M40" s="12" t="n">
        <f aca="false">L40*F40*H40</f>
        <v>500000</v>
      </c>
    </row>
    <row r="41" customFormat="false" ht="15" hidden="false" customHeight="false" outlineLevel="0" collapsed="false">
      <c r="A41" s="19" t="n">
        <v>37</v>
      </c>
      <c r="B41" s="20" t="s">
        <v>144</v>
      </c>
      <c r="C41" s="20" t="s">
        <v>149</v>
      </c>
      <c r="D41" s="20" t="s">
        <v>99</v>
      </c>
      <c r="E41" s="13" t="n">
        <v>500000</v>
      </c>
      <c r="F41" s="21" t="n">
        <v>1</v>
      </c>
      <c r="G41" s="22" t="n">
        <v>0</v>
      </c>
      <c r="H41" s="22" t="n">
        <v>1</v>
      </c>
      <c r="I41" s="12" t="n">
        <f aca="false">H41*E41*F41*IF(D41="Cố định",1,IF(D41="Theo bàn",'Giả định'!$B$10,IF(D41="Theo khách",'Giả định'!$B$6,0)))</f>
        <v>500000</v>
      </c>
      <c r="J41" s="12" t="n">
        <f aca="false">E41*F41*H41</f>
        <v>500000</v>
      </c>
      <c r="K41" s="23"/>
      <c r="L41" s="13" t="n">
        <v>200000</v>
      </c>
      <c r="M41" s="12" t="n">
        <f aca="false">L41*F41*H41</f>
        <v>200000</v>
      </c>
    </row>
    <row r="42" customFormat="false" ht="15" hidden="false" customHeight="false" outlineLevel="0" collapsed="false">
      <c r="A42" s="19" t="n">
        <v>38</v>
      </c>
      <c r="B42" s="20" t="s">
        <v>144</v>
      </c>
      <c r="C42" s="20" t="s">
        <v>150</v>
      </c>
      <c r="D42" s="20" t="s">
        <v>99</v>
      </c>
      <c r="E42" s="13" t="n">
        <v>2000000</v>
      </c>
      <c r="F42" s="21" t="n">
        <v>1</v>
      </c>
      <c r="G42" s="22" t="n">
        <v>0</v>
      </c>
      <c r="H42" s="22" t="n">
        <v>1</v>
      </c>
      <c r="I42" s="12" t="n">
        <f aca="false">H42*E42*F42*IF(D42="Cố định",1,IF(D42="Theo bàn",'Giả định'!$B$10,IF(D42="Theo khách",'Giả định'!$B$6,0)))</f>
        <v>2000000</v>
      </c>
      <c r="J42" s="12" t="n">
        <f aca="false">E42*F42*H42</f>
        <v>2000000</v>
      </c>
      <c r="K42" s="23"/>
      <c r="L42" s="13" t="n">
        <v>1000000</v>
      </c>
      <c r="M42" s="12" t="n">
        <f aca="false">L42*F42*H42</f>
        <v>1000000</v>
      </c>
    </row>
    <row r="43" customFormat="false" ht="15" hidden="false" customHeight="false" outlineLevel="0" collapsed="false">
      <c r="A43" s="19" t="n">
        <v>39</v>
      </c>
      <c r="B43" s="20" t="s">
        <v>151</v>
      </c>
      <c r="C43" s="20" t="s">
        <v>152</v>
      </c>
      <c r="D43" s="20" t="s">
        <v>92</v>
      </c>
      <c r="E43" s="13" t="n">
        <v>150000</v>
      </c>
      <c r="F43" s="21" t="n">
        <v>1</v>
      </c>
      <c r="G43" s="22" t="n">
        <v>1</v>
      </c>
      <c r="H43" s="22" t="n">
        <v>0</v>
      </c>
      <c r="I43" s="12" t="n">
        <f aca="false">H43*E43*F43*IF(D43="Cố định",1,IF(D43="Theo bàn",'Giả định'!$B$10,IF(D43="Theo khách",'Giả định'!$B$6,0)))</f>
        <v>0</v>
      </c>
      <c r="J43" s="12" t="n">
        <f aca="false">E43*F43*H43</f>
        <v>0</v>
      </c>
      <c r="K43" s="23" t="s">
        <v>153</v>
      </c>
      <c r="L43" s="13" t="n">
        <v>150000</v>
      </c>
      <c r="M43" s="12" t="n">
        <f aca="false">L43*F43*H43</f>
        <v>0</v>
      </c>
    </row>
    <row r="44" customFormat="false" ht="15" hidden="false" customHeight="false" outlineLevel="0" collapsed="false">
      <c r="A44" s="19" t="n">
        <v>40</v>
      </c>
      <c r="B44" s="20" t="s">
        <v>151</v>
      </c>
      <c r="C44" s="20" t="s">
        <v>154</v>
      </c>
      <c r="D44" s="20" t="s">
        <v>99</v>
      </c>
      <c r="E44" s="13" t="n">
        <v>3000000</v>
      </c>
      <c r="F44" s="21" t="n">
        <v>1</v>
      </c>
      <c r="G44" s="22" t="n">
        <v>0</v>
      </c>
      <c r="H44" s="22" t="n">
        <v>0</v>
      </c>
      <c r="I44" s="12" t="n">
        <f aca="false">H44*E44*F44*IF(D44="Cố định",1,IF(D44="Theo bàn",'Giả định'!$B$10,IF(D44="Theo khách",'Giả định'!$B$6,0)))</f>
        <v>0</v>
      </c>
      <c r="J44" s="12" t="n">
        <f aca="false">E44*F44*H44</f>
        <v>0</v>
      </c>
      <c r="K44" s="23" t="s">
        <v>155</v>
      </c>
      <c r="L44" s="13" t="n">
        <v>3000000</v>
      </c>
      <c r="M44" s="12" t="n">
        <f aca="false">L44*F44*H44</f>
        <v>0</v>
      </c>
    </row>
    <row r="45" customFormat="false" ht="15" hidden="false" customHeight="false" outlineLevel="0" collapsed="false">
      <c r="A45" s="19" t="n">
        <v>41</v>
      </c>
      <c r="B45" s="20" t="s">
        <v>151</v>
      </c>
      <c r="C45" s="20" t="s">
        <v>156</v>
      </c>
      <c r="D45" s="20" t="s">
        <v>99</v>
      </c>
      <c r="E45" s="13" t="n">
        <v>8000000</v>
      </c>
      <c r="F45" s="21" t="n">
        <v>1</v>
      </c>
      <c r="G45" s="22" t="n">
        <v>0</v>
      </c>
      <c r="H45" s="22" t="n">
        <v>0</v>
      </c>
      <c r="I45" s="12" t="n">
        <f aca="false">H45*E45*F45*IF(D45="Cố định",1,IF(D45="Theo bàn",'Giả định'!$B$10,IF(D45="Theo khách",'Giả định'!$B$6,0)))</f>
        <v>0</v>
      </c>
      <c r="J45" s="12" t="n">
        <f aca="false">E45*F45*H45</f>
        <v>0</v>
      </c>
      <c r="K45" s="23" t="s">
        <v>157</v>
      </c>
      <c r="L45" s="13" t="n">
        <v>8000000</v>
      </c>
      <c r="M45" s="12" t="n">
        <f aca="false">L45*F45*H45</f>
        <v>0</v>
      </c>
    </row>
    <row r="46" customFormat="false" ht="15" hidden="false" customHeight="false" outlineLevel="0" collapsed="false">
      <c r="A46" s="19" t="n">
        <v>42</v>
      </c>
      <c r="B46" s="20" t="s">
        <v>151</v>
      </c>
      <c r="C46" s="20" t="s">
        <v>158</v>
      </c>
      <c r="D46" s="20" t="s">
        <v>92</v>
      </c>
      <c r="E46" s="13" t="n">
        <v>4500000</v>
      </c>
      <c r="F46" s="21" t="n">
        <v>1</v>
      </c>
      <c r="G46" s="22" t="n">
        <v>1</v>
      </c>
      <c r="H46" s="22" t="n">
        <v>0</v>
      </c>
      <c r="I46" s="12" t="n">
        <f aca="false">H46*E46*F46*IF(D46="Cố định",1,IF(D46="Theo bàn",'Giả định'!$B$10,IF(D46="Theo khách",'Giả định'!$B$6,0)))</f>
        <v>0</v>
      </c>
      <c r="J46" s="12" t="n">
        <f aca="false">E46*F46*H46</f>
        <v>0</v>
      </c>
      <c r="K46" s="23" t="s">
        <v>159</v>
      </c>
      <c r="L46" s="13" t="n">
        <v>4500000</v>
      </c>
      <c r="M46" s="12" t="n">
        <f aca="false">L46*F46*H46</f>
        <v>0</v>
      </c>
    </row>
    <row r="47" customFormat="false" ht="15" hidden="false" customHeight="false" outlineLevel="0" collapsed="false">
      <c r="A47" s="19" t="n">
        <v>43</v>
      </c>
      <c r="B47" s="20" t="s">
        <v>151</v>
      </c>
      <c r="C47" s="20" t="s">
        <v>160</v>
      </c>
      <c r="D47" s="20" t="s">
        <v>99</v>
      </c>
      <c r="E47" s="13" t="n">
        <v>30000000</v>
      </c>
      <c r="F47" s="21" t="n">
        <v>1</v>
      </c>
      <c r="G47" s="22" t="n">
        <v>0</v>
      </c>
      <c r="H47" s="22" t="n">
        <v>0</v>
      </c>
      <c r="I47" s="12" t="n">
        <f aca="false">H47*E47*F47*IF(D47="Cố định",1,IF(D47="Theo bàn",'Giả định'!$B$10,IF(D47="Theo khách",'Giả định'!$B$6,0)))</f>
        <v>0</v>
      </c>
      <c r="J47" s="12" t="n">
        <f aca="false">E47*F47*H47</f>
        <v>0</v>
      </c>
      <c r="K47" s="23" t="s">
        <v>161</v>
      </c>
      <c r="L47" s="13" t="n">
        <v>30000000</v>
      </c>
      <c r="M47" s="12" t="n">
        <f aca="false">L47*F47*H47</f>
        <v>0</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162</v>
      </c>
      <c r="L48" s="13"/>
      <c r="M48" s="12" t="n">
        <f aca="false">L48*F48*H48</f>
        <v>0</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c r="L49" s="13"/>
      <c r="M49" s="12" t="n">
        <f aca="false">L49*F49*H49</f>
        <v>0</v>
      </c>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c r="L50" s="13"/>
      <c r="M50" s="12" t="n">
        <f aca="false">L50*F50*H50</f>
        <v>0</v>
      </c>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c r="L51" s="13"/>
      <c r="M51" s="12" t="n">
        <f aca="false">L51*F51*H51</f>
        <v>0</v>
      </c>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c r="L52" s="13"/>
      <c r="M52" s="12" t="n">
        <f aca="false">L52*F52*H52</f>
        <v>0</v>
      </c>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c r="L53" s="13"/>
      <c r="M53" s="12" t="n">
        <f aca="false">L53*F53*H53</f>
        <v>0</v>
      </c>
    </row>
    <row r="55" customFormat="false" ht="15" hidden="false" customHeight="false" outlineLevel="0" collapsed="false">
      <c r="A55" s="5" t="s">
        <v>163</v>
      </c>
      <c r="B55" s="6"/>
      <c r="C55" s="6"/>
      <c r="D55" s="6"/>
      <c r="E55" s="6"/>
      <c r="F55" s="6"/>
      <c r="G55" s="6"/>
      <c r="H55" s="6"/>
      <c r="I55" s="6"/>
      <c r="J55" s="6"/>
      <c r="K55" s="6"/>
    </row>
    <row r="56" customFormat="false" ht="15" hidden="false" customHeight="false" outlineLevel="0" collapsed="false">
      <c r="C56" s="7" t="s">
        <v>164</v>
      </c>
      <c r="I56" s="25" t="n">
        <f aca="false">SUM(I5:I53)</f>
        <v>382067000</v>
      </c>
    </row>
    <row r="57" customFormat="false" ht="15" hidden="false" customHeight="false" outlineLevel="0" collapsed="false">
      <c r="C57" s="7" t="s">
        <v>165</v>
      </c>
      <c r="I57" s="25" t="n">
        <f aca="false">'Giả định'!$B$15*SUMPRODUCT($G$5:$G$53,$I$5:$I$53)</f>
        <v>35530000</v>
      </c>
    </row>
    <row r="58" customFormat="false" ht="15" hidden="false" customHeight="false" outlineLevel="0" collapsed="false">
      <c r="C58" s="7" t="s">
        <v>166</v>
      </c>
      <c r="I58" s="25" t="n">
        <f aca="false">'Giả định'!$B$16*(I56+I57)</f>
        <v>41759700</v>
      </c>
    </row>
    <row r="59" customFormat="false" ht="15" hidden="false" customHeight="false" outlineLevel="0" collapsed="false">
      <c r="C59" s="26" t="s">
        <v>167</v>
      </c>
      <c r="D59" s="27"/>
      <c r="E59" s="27"/>
      <c r="F59" s="27"/>
      <c r="G59" s="27"/>
      <c r="H59" s="27"/>
      <c r="I59" s="28" t="n">
        <f aca="false">I56+I57+I58</f>
        <v>459356700</v>
      </c>
    </row>
    <row r="60" customFormat="false" ht="15" hidden="false" customHeight="false" outlineLevel="0" collapsed="false">
      <c r="C60" s="7" t="s">
        <v>168</v>
      </c>
      <c r="I60" s="25" t="n">
        <f aca="false">'Giả định'!$B$6/'Giả định'!$B$19*'Giả định'!$B$20+'Giả định'!$B$6*'Giả định'!$B$23+'Giả định'!$B$24</f>
        <v>94928571.4285714</v>
      </c>
    </row>
    <row r="61" customFormat="false" ht="15" hidden="false" customHeight="false" outlineLevel="0" collapsed="false">
      <c r="C61" s="26" t="s">
        <v>169</v>
      </c>
      <c r="D61" s="27"/>
      <c r="E61" s="27"/>
      <c r="F61" s="27"/>
      <c r="G61" s="27"/>
      <c r="H61" s="27"/>
      <c r="I61" s="28" t="n">
        <f aca="false">I60-I59</f>
        <v>-364428128.571429</v>
      </c>
    </row>
    <row r="63" customFormat="false" ht="15" hidden="false" customHeight="false" outlineLevel="0" collapsed="false">
      <c r="A63" s="5" t="s">
        <v>170</v>
      </c>
      <c r="B63" s="6"/>
      <c r="C63" s="6"/>
      <c r="D63" s="6"/>
      <c r="E63" s="6"/>
      <c r="F63" s="6"/>
      <c r="G63" s="6"/>
      <c r="H63" s="6"/>
      <c r="I63" s="6"/>
      <c r="J63" s="6"/>
      <c r="K63" s="6"/>
    </row>
    <row r="64" customFormat="false" ht="15" hidden="false" customHeight="false" outlineLevel="0" collapsed="false">
      <c r="C64" s="29" t="s">
        <v>78</v>
      </c>
      <c r="I64" s="30" t="s">
        <v>171</v>
      </c>
      <c r="J64" s="30" t="s">
        <v>172</v>
      </c>
    </row>
    <row r="65" customFormat="false" ht="15" hidden="false" customHeight="false" outlineLevel="0" collapsed="false">
      <c r="C65" s="7" t="s">
        <v>90</v>
      </c>
      <c r="I65" s="25" t="n">
        <f aca="false">SUMIFS($I$5:$I$53,$B$5:$B$53,C65)</f>
        <v>254067000</v>
      </c>
      <c r="J65" s="31" t="n">
        <f aca="false">IF($I$56=0,0,I65/$I$56)</f>
        <v>0.664980225981307</v>
      </c>
    </row>
    <row r="66" customFormat="false" ht="15" hidden="false" customHeight="false" outlineLevel="0" collapsed="false">
      <c r="C66" s="7" t="s">
        <v>117</v>
      </c>
      <c r="I66" s="25" t="n">
        <f aca="false">SUMIFS($I$5:$I$53,$B$5:$B$53,C66)</f>
        <v>46000000</v>
      </c>
      <c r="J66" s="31" t="n">
        <f aca="false">IF($I$56=0,0,I66/$I$56)</f>
        <v>0.120397731287968</v>
      </c>
    </row>
    <row r="67" customFormat="false" ht="15" hidden="false" customHeight="false" outlineLevel="0" collapsed="false">
      <c r="C67" s="7" t="s">
        <v>127</v>
      </c>
      <c r="I67" s="25" t="n">
        <f aca="false">SUMIFS($I$5:$I$53,$B$5:$B$53,C67)</f>
        <v>30500000</v>
      </c>
      <c r="J67" s="31" t="n">
        <f aca="false">IF($I$56=0,0,I67/$I$56)</f>
        <v>0.0798289305278917</v>
      </c>
    </row>
    <row r="68" customFormat="false" ht="15" hidden="false" customHeight="false" outlineLevel="0" collapsed="false">
      <c r="C68" s="7" t="s">
        <v>135</v>
      </c>
      <c r="I68" s="25" t="n">
        <f aca="false">SUMIFS($I$5:$I$53,$B$5:$B$53,C68)</f>
        <v>30000000</v>
      </c>
      <c r="J68" s="31" t="n">
        <f aca="false">IF($I$56=0,0,I68/$I$56)</f>
        <v>0.0785202595356312</v>
      </c>
    </row>
    <row r="69" customFormat="false" ht="15" hidden="false" customHeight="false" outlineLevel="0" collapsed="false">
      <c r="C69" s="7" t="s">
        <v>140</v>
      </c>
      <c r="I69" s="25" t="n">
        <f aca="false">SUMIFS($I$5:$I$53,$B$5:$B$53,C69)</f>
        <v>11000000</v>
      </c>
      <c r="J69" s="31" t="n">
        <f aca="false">IF($I$56=0,0,I69/$I$56)</f>
        <v>0.0287907618297314</v>
      </c>
    </row>
    <row r="70" customFormat="false" ht="15" hidden="false" customHeight="false" outlineLevel="0" collapsed="false">
      <c r="C70" s="7" t="s">
        <v>144</v>
      </c>
      <c r="I70" s="25" t="n">
        <f aca="false">SUMIFS($I$5:$I$53,$B$5:$B$53,C70)</f>
        <v>10500000</v>
      </c>
      <c r="J70" s="31" t="n">
        <f aca="false">IF($I$56=0,0,I70/$I$56)</f>
        <v>0.0274820908374709</v>
      </c>
    </row>
    <row r="71" customFormat="false" ht="15" hidden="false" customHeight="false" outlineLevel="0" collapsed="false">
      <c r="C71" s="7" t="s">
        <v>151</v>
      </c>
      <c r="I71" s="25" t="n">
        <f aca="false">SUMIFS($I$5:$I$53,$B$5:$B$53,C71)</f>
        <v>0</v>
      </c>
      <c r="J71" s="31" t="n">
        <f aca="false">IF($I$56=0,0,I71/$I$56)</f>
        <v>0</v>
      </c>
    </row>
    <row r="72" customFormat="false" ht="15" hidden="false" customHeight="false" outlineLevel="0" collapsed="false">
      <c r="C72" s="9" t="s">
        <v>173</v>
      </c>
      <c r="I72" s="9" t="str">
        <f aca="false">IF(ABS(SUM(I65:I71)-I56)&lt;1,"OK","LỆCH: có hạng mục sai tên nhóm")</f>
        <v>OK</v>
      </c>
    </row>
    <row r="74" customFormat="false" ht="15" hidden="false" customHeight="false" outlineLevel="0" collapsed="false">
      <c r="A74" s="5" t="s">
        <v>174</v>
      </c>
      <c r="B74" s="6"/>
      <c r="C74" s="6"/>
      <c r="D74" s="6"/>
      <c r="E74" s="6"/>
      <c r="F74" s="6"/>
      <c r="G74" s="6"/>
      <c r="H74" s="6"/>
      <c r="I74" s="6"/>
      <c r="J74" s="6"/>
      <c r="K74" s="6"/>
    </row>
    <row r="75" customFormat="false" ht="30" hidden="false" customHeight="true" outlineLevel="0" collapsed="false">
      <c r="B75" s="30" t="s">
        <v>175</v>
      </c>
      <c r="C75" s="30" t="s">
        <v>176</v>
      </c>
      <c r="D75" s="30" t="s">
        <v>177</v>
      </c>
      <c r="E75" s="30" t="s">
        <v>178</v>
      </c>
      <c r="F75" s="30" t="s">
        <v>179</v>
      </c>
      <c r="G75" s="30" t="s">
        <v>180</v>
      </c>
      <c r="H75" s="30" t="s">
        <v>181</v>
      </c>
    </row>
    <row r="76" customFormat="false" ht="15" hidden="false" customHeight="false" outlineLevel="0" collapsed="false">
      <c r="B76" s="7" t="s">
        <v>90</v>
      </c>
      <c r="C76" s="25" t="n">
        <f aca="false">SUMIFS($J$5:$J$53,$B$5:$B$53,$B$76,$D$5:$D$53,"Cố định")</f>
        <v>52500000</v>
      </c>
      <c r="D76" s="25" t="n">
        <f aca="false">SUMIFS($J$5:$J$53,$B$5:$B$53,$B$76,$D$5:$D$53,"Theo bàn")</f>
        <v>7150000</v>
      </c>
      <c r="E76" s="25" t="n">
        <f aca="false">SUMIFS($J$5:$J$53,$B$5:$B$53,$B$76,$D$5:$D$53,"Theo khách")</f>
        <v>33400</v>
      </c>
      <c r="F76" s="25" t="n">
        <f aca="false">SUMIFS($J$5:$J$53,$B$5:$B$53,$B$76,$D$5:$D$53,"Cố định",$G$5:$G$53,1)</f>
        <v>5000000</v>
      </c>
      <c r="G76" s="25" t="n">
        <f aca="false">SUMIFS($J$5:$J$53,$B$5:$B$53,$B$76,$D$5:$D$53,"Theo bàn",$G$5:$G$53,1)</f>
        <v>7000000</v>
      </c>
      <c r="H76" s="25" t="n">
        <f aca="false">SUMIFS($J$5:$J$53,$B$5:$B$53,$B$76,$D$5:$D$53,"Theo khách",$G$5:$G$53,1)</f>
        <v>0</v>
      </c>
    </row>
    <row r="77" customFormat="false" ht="15" hidden="false" customHeight="false" outlineLevel="0" collapsed="false">
      <c r="B77" s="7" t="s">
        <v>182</v>
      </c>
      <c r="C77" s="25" t="n">
        <f aca="false">SUMIFS($J$5:$J$53,$D$5:$D$53,"Cố định")</f>
        <v>180500000</v>
      </c>
      <c r="D77" s="25" t="n">
        <f aca="false">SUMIFS($J$5:$J$53,$D$5:$D$53,"Theo bàn")</f>
        <v>7150000</v>
      </c>
      <c r="E77" s="25" t="n">
        <f aca="false">SUMIFS($J$5:$J$53,$D$5:$D$53,"Theo khách")</f>
        <v>33400</v>
      </c>
      <c r="F77" s="25" t="n">
        <f aca="false">SUMIFS($J$5:$J$53,$D$5:$D$53,"Cố định",$G$5:$G$53,1)</f>
        <v>20000000</v>
      </c>
      <c r="G77" s="25" t="n">
        <f aca="false">SUMIFS($J$5:$J$53,$D$5:$D$53,"Theo bàn",$G$5:$G$53,1)</f>
        <v>7000000</v>
      </c>
      <c r="H77" s="25" t="n">
        <f aca="false">SUMIFS($J$5:$J$53,$D$5:$D$53,"Theo khách",$G$5:$G$53,1)</f>
        <v>0</v>
      </c>
    </row>
    <row r="78" customFormat="false" ht="15" hidden="false" customHeight="false" outlineLevel="0" collapsed="false">
      <c r="B78" s="7" t="s">
        <v>183</v>
      </c>
      <c r="C78" s="25" t="n">
        <f aca="false">SUMIFS($M$5:$M$53,$D$5:$D$53,"Cố định")</f>
        <v>93300000</v>
      </c>
      <c r="D78" s="25" t="n">
        <f aca="false">SUMIFS($M$5:$M$53,$D$5:$D$53,"Theo bàn")</f>
        <v>7100000</v>
      </c>
      <c r="E78" s="25" t="n">
        <f aca="false">SUMIFS($M$5:$M$53,$D$5:$D$53,"Theo khách")</f>
        <v>20600</v>
      </c>
      <c r="F78" s="25" t="n">
        <f aca="false">SUMIFS($M$5:$M$53,$D$5:$D$53,"Cố định",$G$5:$G$53,1)</f>
        <v>9000000</v>
      </c>
      <c r="G78" s="25" t="n">
        <f aca="false">SUMIFS($M$5:$M$53,$D$5:$D$53,"Theo bàn",$G$5:$G$53,1)</f>
        <v>7000000</v>
      </c>
      <c r="H78" s="25" t="n">
        <f aca="false">SUMIFS($M$5:$M$53,$D$5:$D$53,"Theo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184</v>
      </c>
    </row>
    <row r="2" customFormat="false" ht="15" hidden="false" customHeight="false" outlineLevel="0" collapsed="false">
      <c r="A2" s="4" t="s">
        <v>185</v>
      </c>
    </row>
    <row r="4" customFormat="false" ht="15" hidden="false" customHeight="false" outlineLevel="0" collapsed="false">
      <c r="A4" s="5" t="s">
        <v>186</v>
      </c>
      <c r="B4" s="6"/>
      <c r="C4" s="6"/>
    </row>
    <row r="5" customFormat="false" ht="15" hidden="false" customHeight="false" outlineLevel="0" collapsed="false">
      <c r="A5" s="7" t="s">
        <v>24</v>
      </c>
      <c r="B5" s="32" t="n">
        <f aca="false">'Giả định'!$B$4</f>
        <v>300</v>
      </c>
    </row>
    <row r="6" customFormat="false" ht="15" hidden="false" customHeight="false" outlineLevel="0" collapsed="false">
      <c r="A6" s="7" t="s">
        <v>30</v>
      </c>
      <c r="B6" s="32" t="n">
        <f aca="false">'Giả định'!$B$6</f>
        <v>255</v>
      </c>
    </row>
    <row r="7" customFormat="false" ht="15" hidden="false" customHeight="false" outlineLevel="0" collapsed="false">
      <c r="A7" s="7" t="s">
        <v>40</v>
      </c>
      <c r="B7" s="32" t="n">
        <f aca="false">'Giả định'!$B$10</f>
        <v>27</v>
      </c>
    </row>
    <row r="8" customFormat="false" ht="15" hidden="false" customHeight="false" outlineLevel="0" collapsed="false">
      <c r="A8" s="7" t="s">
        <v>187</v>
      </c>
      <c r="B8" s="32" t="n">
        <f aca="false">'Chi phí'!I59</f>
        <v>459356700</v>
      </c>
    </row>
    <row r="9" customFormat="false" ht="15" hidden="false" customHeight="false" outlineLevel="0" collapsed="false">
      <c r="A9" s="7" t="s">
        <v>188</v>
      </c>
      <c r="B9" s="32" t="n">
        <f aca="false">'Chi phí'!I60</f>
        <v>94928571.4285714</v>
      </c>
    </row>
    <row r="10" customFormat="false" ht="15" hidden="false" customHeight="false" outlineLevel="0" collapsed="false">
      <c r="A10" s="33" t="s">
        <v>189</v>
      </c>
      <c r="B10" s="28" t="n">
        <f aca="false">B9-B8</f>
        <v>-364428128.571429</v>
      </c>
    </row>
    <row r="11" customFormat="false" ht="15" hidden="false" customHeight="false" outlineLevel="0" collapsed="false">
      <c r="A11" s="7" t="s">
        <v>190</v>
      </c>
      <c r="B11" s="12" t="n">
        <f aca="false">IF(B6=0,0,B8/B6)</f>
        <v>1801398.82352941</v>
      </c>
    </row>
    <row r="12" customFormat="false" ht="15" hidden="false" customHeight="false" outlineLevel="0" collapsed="false">
      <c r="A12" s="7" t="s">
        <v>191</v>
      </c>
      <c r="B12" s="32" t="n">
        <f aca="false">'Giả định'!$B$20/'Giả định'!$B$19+'Giả định'!$B$23</f>
        <v>372268.907563025</v>
      </c>
    </row>
    <row r="13" customFormat="false" ht="15" hidden="false" customHeight="false" outlineLevel="0" collapsed="false">
      <c r="A13" s="7" t="s">
        <v>192</v>
      </c>
      <c r="B13" s="32" t="n">
        <f aca="false">INDEX('Mô phỏng'!$G$5:$G$1005,B6+1)</f>
        <v>-220823128.571429</v>
      </c>
    </row>
    <row r="15" customFormat="false" ht="15" hidden="false" customHeight="false" outlineLevel="0" collapsed="false">
      <c r="A15" s="5" t="s">
        <v>193</v>
      </c>
      <c r="B15" s="6"/>
      <c r="C15" s="6"/>
    </row>
    <row r="16" customFormat="false" ht="15" hidden="false" customHeight="false" outlineLevel="0" collapsed="false">
      <c r="A16" s="29" t="s">
        <v>194</v>
      </c>
      <c r="B16" s="30" t="s">
        <v>195</v>
      </c>
      <c r="C16" s="30" t="s">
        <v>196</v>
      </c>
    </row>
    <row r="17" customFormat="false" ht="15" hidden="false" customHeight="false" outlineLevel="0" collapsed="false">
      <c r="A17" s="7" t="s">
        <v>197</v>
      </c>
      <c r="B17" s="12" t="str">
        <f aca="false">IF(COUNT('Mô phỏng'!$H$5:$H$1005)=0,"Không đạt (trên 1,000)",MIN('Mô phỏng'!$H$5:$H$1005))</f>
        <v>Không đạt (trên 1,000)</v>
      </c>
      <c r="C17" s="12" t="str">
        <f aca="false">IF(COUNT('Mô phỏng'!$J$5:$J$1005)=0,"Không đạt (trên 1,000)",MIN('Mô phỏng'!$J$5:$J$1005))</f>
        <v>Không đạt (trên 1,000)</v>
      </c>
    </row>
    <row r="18" customFormat="false" ht="15" hidden="false" customHeight="false" outlineLevel="0" collapsed="false">
      <c r="A18" s="33" t="s">
        <v>198</v>
      </c>
      <c r="B18" s="34" t="str">
        <f aca="false">IF(COUNTIF('Mô phỏng'!$F$5:$F$1005,"&lt;0")=0,0,IF(MAX('Mô phỏng'!$I$5:$I$1005)&gt;=1000,"Không đạt (trên 1,000)",MAX('Mô phỏng'!$I$5:$I$1005)+1))</f>
        <v>Không đạt (trên 1,000)</v>
      </c>
      <c r="C18" s="34" t="str">
        <f aca="false">IF(COUNTIF('Mô phỏng'!$G$5:$G$1005,"&lt;0")=0,0,IF(MAX('Mô phỏng'!$K$5:$K$1005)&gt;=1000,"Không đạt (trên 1,000)",MAX('Mô phỏng'!$K$5:$K$1005)+1))</f>
        <v>Không đạt (trên 1,000)</v>
      </c>
    </row>
    <row r="19" customFormat="false" ht="15" hidden="false" customHeight="false" outlineLevel="0" collapsed="false">
      <c r="A19" s="7" t="s">
        <v>199</v>
      </c>
      <c r="B19" s="12" t="str">
        <f aca="false">IF(ISNUMBER(B18),ROUNDUP(B18/'Giả định'!$B$5,0),"n/a")</f>
        <v>n/a</v>
      </c>
      <c r="C19" s="12" t="str">
        <f aca="false">IF(ISNUMBER(C18),ROUNDUP(C18/'Giả định'!$B$5,0),"n/a")</f>
        <v>n/a</v>
      </c>
    </row>
    <row r="20" customFormat="false" ht="15" hidden="false" customHeight="false" outlineLevel="0" collapsed="false">
      <c r="A20" s="7" t="s">
        <v>200</v>
      </c>
      <c r="B20" s="12" t="str">
        <f aca="false">IF(ISNUMBER(B18),INDEX('Mô phỏng'!$B$5:$B$1005,B18+1),"n/a")</f>
        <v>n/a</v>
      </c>
      <c r="C20" s="12" t="str">
        <f aca="false">IF(ISNUMBER(C18),INDEX('Mô phỏng'!$B$5:$B$1005,C18+1),"n/a")</f>
        <v>n/a</v>
      </c>
    </row>
    <row r="21" customFormat="false" ht="15" hidden="false" customHeight="false" outlineLevel="0" collapsed="false">
      <c r="A21" s="33" t="s">
        <v>201</v>
      </c>
      <c r="B21" s="34" t="n">
        <f aca="false">IF(B6=0,0,(INDEX('Mô phỏng'!$D$5:$D$1005,B6+1)-'Giả định'!$B$24-B6*'Giả định'!$B$23)/(B6/'Giả định'!$B$19))</f>
        <v>2500781.88235294</v>
      </c>
      <c r="C21" s="34" t="n">
        <f aca="false">IF(B6=0,0,(INDEX('Mô phỏng'!$C$5:$C$1005,B6+1)-'Giả định'!$B$24-B6*'Giả định'!$B$23)/(B6/'Giả định'!$B$19))</f>
        <v>1712362.2745098</v>
      </c>
    </row>
    <row r="22" customFormat="false" ht="15" hidden="false" customHeight="false" outlineLevel="0" collapsed="false">
      <c r="A22" s="7" t="s">
        <v>202</v>
      </c>
      <c r="B22" s="12" t="n">
        <f aca="false">B21/'Giả định'!$B$19</f>
        <v>1786272.77310924</v>
      </c>
      <c r="C22" s="12" t="n">
        <f aca="false">C21/'Giả định'!$B$19</f>
        <v>1223115.91036415</v>
      </c>
    </row>
    <row r="23" customFormat="false" ht="15" hidden="false" customHeight="false" outlineLevel="0" collapsed="false">
      <c r="A23" s="7" t="s">
        <v>203</v>
      </c>
      <c r="B23" s="12" t="n">
        <f aca="false">'Giả định'!$B$20/'Giả định'!$B$19+'Giả định'!$B$23-(('Chi phí'!$D$77+'Giả định'!$B$15*'Chi phí'!$G$77)/'Giả định'!$B$7+'Chi phí'!$E$77+'Giả định'!$B$15*'Chi phí'!$H$77)*(1+'Giả định'!$B$16)</f>
        <v>-581871.092436975</v>
      </c>
      <c r="C23" s="12" t="n">
        <f aca="false">'Giả định'!$B$20/'Giả định'!$B$19+'Giả định'!$B$23-(('Chi phí'!$D$76+'Giả định'!$B$15*'Chi phí'!$G$76)/'Giả định'!$B$7+'Chi phí'!$E$76+'Giả định'!$B$15*'Chi phí'!$H$76)*(1+'Giả định'!$B$16)</f>
        <v>-581871.092436975</v>
      </c>
    </row>
    <row r="24" customFormat="false" ht="15" hidden="false" customHeight="false" outlineLevel="0" collapsed="false">
      <c r="A24" s="7" t="s">
        <v>204</v>
      </c>
      <c r="B24" s="12" t="str">
        <f aca="false">IF(B23&lt;=0,"Không bao giờ hòa vốn",MAX(0,('Chi phí'!$C$77+'Giả định'!$B$15*'Chi phí'!$F$77+'Giả định'!$B$8*('Chi phí'!$D$77+'Giả định'!$B$15*'Chi phí'!$G$77))*(1+'Giả định'!$B$16)-'Giả định'!$B$24)/B23)</f>
        <v>Không bao giờ hòa vốn</v>
      </c>
      <c r="C24" s="12" t="str">
        <f aca="false">IF(C23&lt;=0,"Không bao giờ hòa vốn",MAX(0,('Chi phí'!$C$76+'Giả định'!$B$15*'Chi phí'!$F$76+'Giả định'!$B$8*('Chi phí'!$D$76+'Giả định'!$B$15*'Chi phí'!$G$76))*(1+'Giả định'!$B$16)-'Giả định'!$B$24)/C23)</f>
        <v>Không bao giờ hòa vốn</v>
      </c>
    </row>
    <row r="25" customFormat="false" ht="15" hidden="false" customHeight="false" outlineLevel="0" collapsed="false">
      <c r="A25" s="9" t="s">
        <v>205</v>
      </c>
      <c r="B25" s="9" t="str">
        <f aca="false">IF(ABS(B8-INDEX('Mô phỏng'!$D$5:$D$1005,B6+1))&lt;1,"OK","LỆCH")</f>
        <v>OK</v>
      </c>
    </row>
    <row r="26" customFormat="false" ht="15" hidden="false" customHeight="false" outlineLevel="0" collapsed="false">
      <c r="A26" s="9" t="s">
        <v>206</v>
      </c>
    </row>
    <row r="28" customFormat="false" ht="15" hidden="false" customHeight="false" outlineLevel="0" collapsed="false">
      <c r="A28" s="5" t="s">
        <v>207</v>
      </c>
      <c r="B28" s="6"/>
      <c r="C28" s="6"/>
      <c r="D28" s="6"/>
      <c r="E28" s="6"/>
      <c r="F28" s="6"/>
      <c r="G28" s="6"/>
    </row>
    <row r="29" customFormat="false" ht="30" hidden="false" customHeight="true" outlineLevel="0" collapsed="false">
      <c r="A29" s="30" t="s">
        <v>208</v>
      </c>
      <c r="B29" s="35" t="n">
        <v>500000</v>
      </c>
      <c r="C29" s="35" t="n">
        <v>700000</v>
      </c>
      <c r="D29" s="35" t="n">
        <v>900000</v>
      </c>
      <c r="E29" s="35" t="n">
        <v>1100000</v>
      </c>
      <c r="F29" s="35" t="n">
        <v>1300000</v>
      </c>
      <c r="G29" s="35" t="n">
        <v>1500000</v>
      </c>
    </row>
    <row r="30" customFormat="false" ht="15" hidden="false" customHeight="false" outlineLevel="0" collapsed="false">
      <c r="A30" s="35" t="n">
        <v>100</v>
      </c>
      <c r="B30" s="12" t="n">
        <f aca="false">($A30/'Giả định'!$B$19*B$29+$A30*'Giả định'!$B$23+'Giả định'!$B$24)-INDEX('Mô phỏng'!$D$5:$D$1005,$A30+1)</f>
        <v>-306347109.243697</v>
      </c>
      <c r="C30" s="12" t="n">
        <f aca="false">($A30/'Giả định'!$B$19*C$29+$A30*'Giả định'!$B$23+'Giả định'!$B$24)-INDEX('Mô phỏng'!$D$5:$D$1005,$A30+1)</f>
        <v>-292061394.957983</v>
      </c>
      <c r="D30" s="12" t="n">
        <f aca="false">($A30/'Giả định'!$B$19*D$29+$A30*'Giả định'!$B$23+'Giả định'!$B$24)-INDEX('Mô phỏng'!$D$5:$D$1005,$A30+1)</f>
        <v>-277775680.672269</v>
      </c>
      <c r="E30" s="12" t="n">
        <f aca="false">($A30/'Giả định'!$B$19*E$29+$A30*'Giả định'!$B$23+'Giả định'!$B$24)-INDEX('Mô phỏng'!$D$5:$D$1005,$A30+1)</f>
        <v>-263489966.386555</v>
      </c>
      <c r="F30" s="12" t="n">
        <f aca="false">($A30/'Giả định'!$B$19*F$29+$A30*'Giả định'!$B$23+'Giả định'!$B$24)-INDEX('Mô phỏng'!$D$5:$D$1005,$A30+1)</f>
        <v>-249204252.10084</v>
      </c>
      <c r="G30" s="12" t="n">
        <f aca="false">($A30/'Giả định'!$B$19*G$29+$A30*'Giả định'!$B$23+'Giả định'!$B$24)-INDEX('Mô phỏng'!$D$5:$D$1005,$A30+1)</f>
        <v>-234918537.815126</v>
      </c>
    </row>
    <row r="31" customFormat="false" ht="15" hidden="false" customHeight="false" outlineLevel="0" collapsed="false">
      <c r="A31" s="35" t="n">
        <v>150</v>
      </c>
      <c r="B31" s="12" t="n">
        <f aca="false">($A31/'Giả định'!$B$19*B$29+$A31*'Giả định'!$B$23+'Giả định'!$B$24)-INDEX('Mô phỏng'!$D$5:$D$1005,$A31+1)</f>
        <v>-298744663.865546</v>
      </c>
      <c r="C31" s="12" t="n">
        <f aca="false">($A31/'Giả định'!$B$19*C$29+$A31*'Giả định'!$B$23+'Giả định'!$B$24)-INDEX('Mô phỏng'!$D$5:$D$1005,$A31+1)</f>
        <v>-277316092.436975</v>
      </c>
      <c r="D31" s="12" t="n">
        <f aca="false">($A31/'Giả định'!$B$19*D$29+$A31*'Giả định'!$B$23+'Giả định'!$B$24)-INDEX('Mô phỏng'!$D$5:$D$1005,$A31+1)</f>
        <v>-255887521.008403</v>
      </c>
      <c r="E31" s="12" t="n">
        <f aca="false">($A31/'Giả định'!$B$19*E$29+$A31*'Giả định'!$B$23+'Giả định'!$B$24)-INDEX('Mô phỏng'!$D$5:$D$1005,$A31+1)</f>
        <v>-234458949.579832</v>
      </c>
      <c r="F31" s="12" t="n">
        <f aca="false">($A31/'Giả định'!$B$19*F$29+$A31*'Giả định'!$B$23+'Giả định'!$B$24)-INDEX('Mô phỏng'!$D$5:$D$1005,$A31+1)</f>
        <v>-213030378.151261</v>
      </c>
      <c r="G31" s="12" t="n">
        <f aca="false">($A31/'Giả định'!$B$19*G$29+$A31*'Giả định'!$B$23+'Giả định'!$B$24)-INDEX('Mô phỏng'!$D$5:$D$1005,$A31+1)</f>
        <v>-191601806.722689</v>
      </c>
    </row>
    <row r="32" customFormat="false" ht="15" hidden="false" customHeight="false" outlineLevel="0" collapsed="false">
      <c r="A32" s="35" t="n">
        <v>200</v>
      </c>
      <c r="B32" s="12" t="n">
        <f aca="false">($A32/'Giả định'!$B$19*B$29+$A32*'Giả định'!$B$23+'Giả định'!$B$24)-INDEX('Mô phỏng'!$D$5:$D$1005,$A32+1)</f>
        <v>-327838218.487395</v>
      </c>
      <c r="C32" s="12" t="n">
        <f aca="false">($A32/'Giả định'!$B$19*C$29+$A32*'Giả định'!$B$23+'Giả định'!$B$24)-INDEX('Mô phỏng'!$D$5:$D$1005,$A32+1)</f>
        <v>-299266789.915966</v>
      </c>
      <c r="D32" s="12" t="n">
        <f aca="false">($A32/'Giả định'!$B$19*D$29+$A32*'Giả định'!$B$23+'Giả định'!$B$24)-INDEX('Mô phỏng'!$D$5:$D$1005,$A32+1)</f>
        <v>-270695361.344538</v>
      </c>
      <c r="E32" s="12" t="n">
        <f aca="false">($A32/'Giả định'!$B$19*E$29+$A32*'Giả định'!$B$23+'Giả định'!$B$24)-INDEX('Mô phỏng'!$D$5:$D$1005,$A32+1)</f>
        <v>-242123932.773109</v>
      </c>
      <c r="F32" s="12" t="n">
        <f aca="false">($A32/'Giả định'!$B$19*F$29+$A32*'Giả định'!$B$23+'Giả định'!$B$24)-INDEX('Mô phỏng'!$D$5:$D$1005,$A32+1)</f>
        <v>-213552504.201681</v>
      </c>
      <c r="G32" s="12" t="n">
        <f aca="false">($A32/'Giả định'!$B$19*G$29+$A32*'Giả định'!$B$23+'Giả định'!$B$24)-INDEX('Mô phỏng'!$D$5:$D$1005,$A32+1)</f>
        <v>-184981075.630252</v>
      </c>
    </row>
    <row r="33" customFormat="false" ht="15" hidden="false" customHeight="false" outlineLevel="0" collapsed="false">
      <c r="A33" s="35" t="n">
        <v>250</v>
      </c>
      <c r="B33" s="12" t="n">
        <f aca="false">($A33/'Giả định'!$B$19*B$29+$A33*'Giả định'!$B$23+'Giả định'!$B$24)-INDEX('Mô phỏng'!$D$5:$D$1005,$A33+1)</f>
        <v>-356931773.109244</v>
      </c>
      <c r="C33" s="12" t="n">
        <f aca="false">($A33/'Giả định'!$B$19*C$29+$A33*'Giả định'!$B$23+'Giả định'!$B$24)-INDEX('Mô phỏng'!$D$5:$D$1005,$A33+1)</f>
        <v>-321217487.394958</v>
      </c>
      <c r="D33" s="12" t="n">
        <f aca="false">($A33/'Giả định'!$B$19*D$29+$A33*'Giả định'!$B$23+'Giả định'!$B$24)-INDEX('Mô phỏng'!$D$5:$D$1005,$A33+1)</f>
        <v>-285503201.680672</v>
      </c>
      <c r="E33" s="12" t="n">
        <f aca="false">($A33/'Giả định'!$B$19*E$29+$A33*'Giả định'!$B$23+'Giả định'!$B$24)-INDEX('Mô phỏng'!$D$5:$D$1005,$A33+1)</f>
        <v>-249788915.966387</v>
      </c>
      <c r="F33" s="12" t="n">
        <f aca="false">($A33/'Giả định'!$B$19*F$29+$A33*'Giả định'!$B$23+'Giả định'!$B$24)-INDEX('Mô phỏng'!$D$5:$D$1005,$A33+1)</f>
        <v>-214074630.252101</v>
      </c>
      <c r="G33" s="12" t="n">
        <f aca="false">($A33/'Giả định'!$B$19*G$29+$A33*'Giả định'!$B$23+'Giả định'!$B$24)-INDEX('Mô phỏng'!$D$5:$D$1005,$A33+1)</f>
        <v>-178360344.537815</v>
      </c>
    </row>
    <row r="34" customFormat="false" ht="15" hidden="false" customHeight="false" outlineLevel="0" collapsed="false">
      <c r="A34" s="35" t="n">
        <v>300</v>
      </c>
      <c r="B34" s="12" t="n">
        <f aca="false">($A34/'Giả định'!$B$19*B$29+$A34*'Giả định'!$B$23+'Giả định'!$B$24)-INDEX('Mô phỏng'!$D$5:$D$1005,$A34+1)</f>
        <v>-386025327.731092</v>
      </c>
      <c r="C34" s="12" t="n">
        <f aca="false">($A34/'Giả định'!$B$19*C$29+$A34*'Giả định'!$B$23+'Giả định'!$B$24)-INDEX('Mô phỏng'!$D$5:$D$1005,$A34+1)</f>
        <v>-343168184.87395</v>
      </c>
      <c r="D34" s="12" t="n">
        <f aca="false">($A34/'Giả định'!$B$19*D$29+$A34*'Giả định'!$B$23+'Giả định'!$B$24)-INDEX('Mô phỏng'!$D$5:$D$1005,$A34+1)</f>
        <v>-300311042.016807</v>
      </c>
      <c r="E34" s="12" t="n">
        <f aca="false">($A34/'Giả định'!$B$19*E$29+$A34*'Giả định'!$B$23+'Giả định'!$B$24)-INDEX('Mô phỏng'!$D$5:$D$1005,$A34+1)</f>
        <v>-257453899.159664</v>
      </c>
      <c r="F34" s="12" t="n">
        <f aca="false">($A34/'Giả định'!$B$19*F$29+$A34*'Giả định'!$B$23+'Giả định'!$B$24)-INDEX('Mô phỏng'!$D$5:$D$1005,$A34+1)</f>
        <v>-214596756.302521</v>
      </c>
      <c r="G34" s="12" t="n">
        <f aca="false">($A34/'Giả định'!$B$19*G$29+$A34*'Giả định'!$B$23+'Giả định'!$B$24)-INDEX('Mô phỏng'!$D$5:$D$1005,$A34+1)</f>
        <v>-171739613.445378</v>
      </c>
    </row>
    <row r="35" customFormat="false" ht="15" hidden="false" customHeight="false" outlineLevel="0" collapsed="false">
      <c r="A35" s="35" t="n">
        <v>350</v>
      </c>
      <c r="B35" s="12" t="n">
        <f aca="false">($A35/'Giả định'!$B$19*B$29+$A35*'Giả định'!$B$23+'Giả định'!$B$24)-INDEX('Mô phỏng'!$D$5:$D$1005,$A35+1)</f>
        <v>-415118882.352941</v>
      </c>
      <c r="C35" s="12" t="n">
        <f aca="false">($A35/'Giả định'!$B$19*C$29+$A35*'Giả định'!$B$23+'Giả định'!$B$24)-INDEX('Mô phỏng'!$D$5:$D$1005,$A35+1)</f>
        <v>-365118882.352941</v>
      </c>
      <c r="D35" s="12" t="n">
        <f aca="false">($A35/'Giả định'!$B$19*D$29+$A35*'Giả định'!$B$23+'Giả định'!$B$24)-INDEX('Mô phỏng'!$D$5:$D$1005,$A35+1)</f>
        <v>-315118882.352941</v>
      </c>
      <c r="E35" s="12" t="n">
        <f aca="false">($A35/'Giả định'!$B$19*E$29+$A35*'Giả định'!$B$23+'Giả định'!$B$24)-INDEX('Mô phỏng'!$D$5:$D$1005,$A35+1)</f>
        <v>-265118882.352941</v>
      </c>
      <c r="F35" s="12" t="n">
        <f aca="false">($A35/'Giả định'!$B$19*F$29+$A35*'Giả định'!$B$23+'Giả định'!$B$24)-INDEX('Mô phỏng'!$D$5:$D$1005,$A35+1)</f>
        <v>-215118882.352941</v>
      </c>
      <c r="G35" s="12" t="n">
        <f aca="false">($A35/'Giả định'!$B$19*G$29+$A35*'Giả định'!$B$23+'Giả định'!$B$24)-INDEX('Mô phỏng'!$D$5:$D$1005,$A35+1)</f>
        <v>-165118882.352941</v>
      </c>
    </row>
    <row r="36" customFormat="false" ht="15" hidden="false" customHeight="false" outlineLevel="0" collapsed="false">
      <c r="A36" s="35" t="n">
        <v>400</v>
      </c>
      <c r="B36" s="12" t="n">
        <f aca="false">($A36/'Giả định'!$B$19*B$29+$A36*'Giả định'!$B$23+'Giả định'!$B$24)-INDEX('Mô phỏng'!$D$5:$D$1005,$A36+1)</f>
        <v>-444212436.97479</v>
      </c>
      <c r="C36" s="12" t="n">
        <f aca="false">($A36/'Giả định'!$B$19*C$29+$A36*'Giả định'!$B$23+'Giả định'!$B$24)-INDEX('Mô phỏng'!$D$5:$D$1005,$A36+1)</f>
        <v>-387069579.831933</v>
      </c>
      <c r="D36" s="12" t="n">
        <f aca="false">($A36/'Giả định'!$B$19*D$29+$A36*'Giả định'!$B$23+'Giả định'!$B$24)-INDEX('Mô phỏng'!$D$5:$D$1005,$A36+1)</f>
        <v>-329926722.689076</v>
      </c>
      <c r="E36" s="12" t="n">
        <f aca="false">($A36/'Giả định'!$B$19*E$29+$A36*'Giả định'!$B$23+'Giả định'!$B$24)-INDEX('Mô phỏng'!$D$5:$D$1005,$A36+1)</f>
        <v>-272783865.546219</v>
      </c>
      <c r="F36" s="12" t="n">
        <f aca="false">($A36/'Giả định'!$B$19*F$29+$A36*'Giả định'!$B$23+'Giả định'!$B$24)-INDEX('Mô phỏng'!$D$5:$D$1005,$A36+1)</f>
        <v>-215641008.403361</v>
      </c>
      <c r="G36" s="12" t="n">
        <f aca="false">($A36/'Giả định'!$B$19*G$29+$A36*'Giả định'!$B$23+'Giả định'!$B$24)-INDEX('Mô phỏng'!$D$5:$D$1005,$A36+1)</f>
        <v>-158498151.260504</v>
      </c>
    </row>
    <row r="37" customFormat="false" ht="15" hidden="false" customHeight="false" outlineLevel="0" collapsed="false">
      <c r="A37" s="35" t="n">
        <v>450</v>
      </c>
      <c r="B37" s="12" t="n">
        <f aca="false">($A37/'Giả định'!$B$19*B$29+$A37*'Giả định'!$B$23+'Giả định'!$B$24)-INDEX('Mô phỏng'!$D$5:$D$1005,$A37+1)</f>
        <v>-473305991.596639</v>
      </c>
      <c r="C37" s="12" t="n">
        <f aca="false">($A37/'Giả định'!$B$19*C$29+$A37*'Giả định'!$B$23+'Giả định'!$B$24)-INDEX('Mô phỏng'!$D$5:$D$1005,$A37+1)</f>
        <v>-409020277.310924</v>
      </c>
      <c r="D37" s="12" t="n">
        <f aca="false">($A37/'Giả định'!$B$19*D$29+$A37*'Giả định'!$B$23+'Giả định'!$B$24)-INDEX('Mô phỏng'!$D$5:$D$1005,$A37+1)</f>
        <v>-344734563.02521</v>
      </c>
      <c r="E37" s="12" t="n">
        <f aca="false">($A37/'Giả định'!$B$19*E$29+$A37*'Giả định'!$B$23+'Giả định'!$B$24)-INDEX('Mô phỏng'!$D$5:$D$1005,$A37+1)</f>
        <v>-280448848.739496</v>
      </c>
      <c r="F37" s="12" t="n">
        <f aca="false">($A37/'Giả định'!$B$19*F$29+$A37*'Giả định'!$B$23+'Giả định'!$B$24)-INDEX('Mô phỏng'!$D$5:$D$1005,$A37+1)</f>
        <v>-216163134.453782</v>
      </c>
      <c r="G37" s="12" t="n">
        <f aca="false">($A37/'Giả định'!$B$19*G$29+$A37*'Giả định'!$B$23+'Giả định'!$B$24)-INDEX('Mô phỏng'!$D$5:$D$1005,$A37+1)</f>
        <v>-151877420.168067</v>
      </c>
    </row>
    <row r="38" customFormat="false" ht="15" hidden="false" customHeight="false" outlineLevel="0" collapsed="false">
      <c r="A38" s="35" t="n">
        <v>500</v>
      </c>
      <c r="B38" s="12" t="n">
        <f aca="false">($A38/'Giả định'!$B$19*B$29+$A38*'Giả định'!$B$23+'Giả định'!$B$24)-INDEX('Mô phỏng'!$D$5:$D$1005,$A38+1)</f>
        <v>-502399546.218487</v>
      </c>
      <c r="C38" s="12" t="n">
        <f aca="false">($A38/'Giả định'!$B$19*C$29+$A38*'Giả định'!$B$23+'Giả định'!$B$24)-INDEX('Mô phỏng'!$D$5:$D$1005,$A38+1)</f>
        <v>-430970974.789916</v>
      </c>
      <c r="D38" s="12" t="n">
        <f aca="false">($A38/'Giả định'!$B$19*D$29+$A38*'Giả định'!$B$23+'Giả định'!$B$24)-INDEX('Mô phỏng'!$D$5:$D$1005,$A38+1)</f>
        <v>-359542403.361345</v>
      </c>
      <c r="E38" s="12" t="n">
        <f aca="false">($A38/'Giả định'!$B$19*E$29+$A38*'Giả định'!$B$23+'Giả định'!$B$24)-INDEX('Mô phỏng'!$D$5:$D$1005,$A38+1)</f>
        <v>-288113831.932773</v>
      </c>
      <c r="F38" s="12" t="n">
        <f aca="false">($A38/'Giả định'!$B$19*F$29+$A38*'Giả định'!$B$23+'Giả định'!$B$24)-INDEX('Mô phỏng'!$D$5:$D$1005,$A38+1)</f>
        <v>-216685260.504202</v>
      </c>
      <c r="G38" s="12" t="n">
        <f aca="false">($A38/'Giả định'!$B$19*G$29+$A38*'Giả định'!$B$23+'Giả định'!$B$24)-INDEX('Mô phỏng'!$D$5:$D$1005,$A38+1)</f>
        <v>-145256689.07563</v>
      </c>
    </row>
    <row r="39" customFormat="false" ht="15" hidden="false" customHeight="false" outlineLevel="0" collapsed="false">
      <c r="A39" s="35" t="n">
        <v>550</v>
      </c>
      <c r="B39" s="12" t="n">
        <f aca="false">($A39/'Giả định'!$B$19*B$29+$A39*'Giả định'!$B$23+'Giả định'!$B$24)-INDEX('Mô phỏng'!$D$5:$D$1005,$A39+1)</f>
        <v>-531493100.840336</v>
      </c>
      <c r="C39" s="12" t="n">
        <f aca="false">($A39/'Giả định'!$B$19*C$29+$A39*'Giả định'!$B$23+'Giả định'!$B$24)-INDEX('Mô phỏng'!$D$5:$D$1005,$A39+1)</f>
        <v>-452921672.268908</v>
      </c>
      <c r="D39" s="12" t="n">
        <f aca="false">($A39/'Giả định'!$B$19*D$29+$A39*'Giả định'!$B$23+'Giả định'!$B$24)-INDEX('Mô phỏng'!$D$5:$D$1005,$A39+1)</f>
        <v>-374350243.697479</v>
      </c>
      <c r="E39" s="12" t="n">
        <f aca="false">($A39/'Giả định'!$B$19*E$29+$A39*'Giả định'!$B$23+'Giả định'!$B$24)-INDEX('Mô phỏng'!$D$5:$D$1005,$A39+1)</f>
        <v>-295778815.12605</v>
      </c>
      <c r="F39" s="12" t="n">
        <f aca="false">($A39/'Giả định'!$B$19*F$29+$A39*'Giả định'!$B$23+'Giả định'!$B$24)-INDEX('Mô phỏng'!$D$5:$D$1005,$A39+1)</f>
        <v>-217207386.554622</v>
      </c>
      <c r="G39" s="12" t="n">
        <f aca="false">($A39/'Giả định'!$B$19*G$29+$A39*'Giả định'!$B$23+'Giả định'!$B$24)-INDEX('Mô phỏng'!$D$5:$D$1005,$A39+1)</f>
        <v>-138635957.983193</v>
      </c>
    </row>
    <row r="40" customFormat="false" ht="15" hidden="false" customHeight="false" outlineLevel="0" collapsed="false">
      <c r="A40" s="35" t="n">
        <v>600</v>
      </c>
      <c r="B40" s="12" t="n">
        <f aca="false">($A40/'Giả định'!$B$19*B$29+$A40*'Giả định'!$B$23+'Giả định'!$B$24)-INDEX('Mô phỏng'!$D$5:$D$1005,$A40+1)</f>
        <v>-560586655.462185</v>
      </c>
      <c r="C40" s="12" t="n">
        <f aca="false">($A40/'Giả định'!$B$19*C$29+$A40*'Giả định'!$B$23+'Giả định'!$B$24)-INDEX('Mô phỏng'!$D$5:$D$1005,$A40+1)</f>
        <v>-474872369.747899</v>
      </c>
      <c r="D40" s="12" t="n">
        <f aca="false">($A40/'Giả định'!$B$19*D$29+$A40*'Giả định'!$B$23+'Giả định'!$B$24)-INDEX('Mô phỏng'!$D$5:$D$1005,$A40+1)</f>
        <v>-389158084.033614</v>
      </c>
      <c r="E40" s="12" t="n">
        <f aca="false">($A40/'Giả định'!$B$19*E$29+$A40*'Giả định'!$B$23+'Giả định'!$B$24)-INDEX('Mô phỏng'!$D$5:$D$1005,$A40+1)</f>
        <v>-303443798.319328</v>
      </c>
      <c r="F40" s="12" t="n">
        <f aca="false">($A40/'Giả định'!$B$19*F$29+$A40*'Giả định'!$B$23+'Giả định'!$B$24)-INDEX('Mô phỏng'!$D$5:$D$1005,$A40+1)</f>
        <v>-217729512.605042</v>
      </c>
      <c r="G40" s="12" t="n">
        <f aca="false">($A40/'Giả định'!$B$19*G$29+$A40*'Giả định'!$B$23+'Giả định'!$B$24)-INDEX('Mô phỏng'!$D$5:$D$1005,$A40+1)</f>
        <v>-132015226.890756</v>
      </c>
    </row>
    <row r="42" customFormat="false" ht="15" hidden="false" customHeight="false" outlineLevel="0" collapsed="false">
      <c r="A42" s="5" t="s">
        <v>209</v>
      </c>
      <c r="B42" s="6"/>
      <c r="C42" s="6"/>
      <c r="D42" s="6"/>
      <c r="E42" s="6"/>
      <c r="F42" s="6"/>
      <c r="G42" s="6"/>
    </row>
    <row r="43" customFormat="false" ht="30" hidden="false" customHeight="true" outlineLevel="0" collapsed="false">
      <c r="A43" s="30" t="s">
        <v>208</v>
      </c>
      <c r="B43" s="35" t="n">
        <v>500000</v>
      </c>
      <c r="C43" s="35" t="n">
        <v>700000</v>
      </c>
      <c r="D43" s="35" t="n">
        <v>900000</v>
      </c>
      <c r="E43" s="35" t="n">
        <v>1100000</v>
      </c>
      <c r="F43" s="35" t="n">
        <v>1300000</v>
      </c>
      <c r="G43" s="35" t="n">
        <v>1500000</v>
      </c>
    </row>
    <row r="44" customFormat="false" ht="15" hidden="false" customHeight="false" outlineLevel="0" collapsed="false">
      <c r="A44" s="35" t="n">
        <v>100</v>
      </c>
      <c r="B44" s="12" t="n">
        <f aca="false">($A44/'Giả định'!$B$19*B$43+$A44*'Giả định'!$B$23+'Giả định'!$B$24)-INDEX('Mô phỏng'!$C$5:$C$1005,$A44+1)</f>
        <v>-162742109.243698</v>
      </c>
      <c r="C44" s="12" t="n">
        <f aca="false">($A44/'Giả định'!$B$19*C$43+$A44*'Giả định'!$B$23+'Giả định'!$B$24)-INDEX('Mô phỏng'!$C$5:$C$1005,$A44+1)</f>
        <v>-148456394.957983</v>
      </c>
      <c r="D44" s="12" t="n">
        <f aca="false">($A44/'Giả định'!$B$19*D$43+$A44*'Giả định'!$B$23+'Giả định'!$B$24)-INDEX('Mô phỏng'!$C$5:$C$1005,$A44+1)</f>
        <v>-134170680.672269</v>
      </c>
      <c r="E44" s="12" t="n">
        <f aca="false">($A44/'Giả định'!$B$19*E$43+$A44*'Giả định'!$B$23+'Giả định'!$B$24)-INDEX('Mô phỏng'!$C$5:$C$1005,$A44+1)</f>
        <v>-119884966.386555</v>
      </c>
      <c r="F44" s="12" t="n">
        <f aca="false">($A44/'Giả định'!$B$19*F$43+$A44*'Giả định'!$B$23+'Giả định'!$B$24)-INDEX('Mô phỏng'!$C$5:$C$1005,$A44+1)</f>
        <v>-105599252.10084</v>
      </c>
      <c r="G44" s="12" t="n">
        <f aca="false">($A44/'Giả định'!$B$19*G$43+$A44*'Giả định'!$B$23+'Giả định'!$B$24)-INDEX('Mô phỏng'!$C$5:$C$1005,$A44+1)</f>
        <v>-91313537.8151261</v>
      </c>
    </row>
    <row r="45" customFormat="false" ht="15" hidden="false" customHeight="false" outlineLevel="0" collapsed="false">
      <c r="A45" s="35" t="n">
        <v>150</v>
      </c>
      <c r="B45" s="12" t="n">
        <f aca="false">($A45/'Giả định'!$B$19*B$43+$A45*'Giả định'!$B$23+'Giả định'!$B$24)-INDEX('Mô phỏng'!$C$5:$C$1005,$A45+1)</f>
        <v>-155139663.865546</v>
      </c>
      <c r="C45" s="12" t="n">
        <f aca="false">($A45/'Giả định'!$B$19*C$43+$A45*'Giả định'!$B$23+'Giả định'!$B$24)-INDEX('Mô phỏng'!$C$5:$C$1005,$A45+1)</f>
        <v>-133711092.436975</v>
      </c>
      <c r="D45" s="12" t="n">
        <f aca="false">($A45/'Giả định'!$B$19*D$43+$A45*'Giả định'!$B$23+'Giả định'!$B$24)-INDEX('Mô phỏng'!$C$5:$C$1005,$A45+1)</f>
        <v>-112282521.008403</v>
      </c>
      <c r="E45" s="12" t="n">
        <f aca="false">($A45/'Giả định'!$B$19*E$43+$A45*'Giả định'!$B$23+'Giả định'!$B$24)-INDEX('Mô phỏng'!$C$5:$C$1005,$A45+1)</f>
        <v>-90853949.579832</v>
      </c>
      <c r="F45" s="12" t="n">
        <f aca="false">($A45/'Giả định'!$B$19*F$43+$A45*'Giả định'!$B$23+'Giả định'!$B$24)-INDEX('Mô phỏng'!$C$5:$C$1005,$A45+1)</f>
        <v>-69425378.1512605</v>
      </c>
      <c r="G45" s="12" t="n">
        <f aca="false">($A45/'Giả định'!$B$19*G$43+$A45*'Giả định'!$B$23+'Giả định'!$B$24)-INDEX('Mô phỏng'!$C$5:$C$1005,$A45+1)</f>
        <v>-47996806.7226891</v>
      </c>
    </row>
    <row r="46" customFormat="false" ht="15" hidden="false" customHeight="false" outlineLevel="0" collapsed="false">
      <c r="A46" s="35" t="n">
        <v>200</v>
      </c>
      <c r="B46" s="12" t="n">
        <f aca="false">($A46/'Giả định'!$B$19*B$43+$A46*'Giả định'!$B$23+'Giả định'!$B$24)-INDEX('Mô phỏng'!$C$5:$C$1005,$A46+1)</f>
        <v>-184233218.487395</v>
      </c>
      <c r="C46" s="12" t="n">
        <f aca="false">($A46/'Giả định'!$B$19*C$43+$A46*'Giả định'!$B$23+'Giả định'!$B$24)-INDEX('Mô phỏng'!$C$5:$C$1005,$A46+1)</f>
        <v>-155661789.915966</v>
      </c>
      <c r="D46" s="12" t="n">
        <f aca="false">($A46/'Giả định'!$B$19*D$43+$A46*'Giả định'!$B$23+'Giả định'!$B$24)-INDEX('Mô phỏng'!$C$5:$C$1005,$A46+1)</f>
        <v>-127090361.344538</v>
      </c>
      <c r="E46" s="12" t="n">
        <f aca="false">($A46/'Giả định'!$B$19*E$43+$A46*'Giả định'!$B$23+'Giả định'!$B$24)-INDEX('Mô phỏng'!$C$5:$C$1005,$A46+1)</f>
        <v>-98518932.7731093</v>
      </c>
      <c r="F46" s="12" t="n">
        <f aca="false">($A46/'Giả định'!$B$19*F$43+$A46*'Giả định'!$B$23+'Giả định'!$B$24)-INDEX('Mô phỏng'!$C$5:$C$1005,$A46+1)</f>
        <v>-69947504.2016807</v>
      </c>
      <c r="G46" s="12" t="n">
        <f aca="false">($A46/'Giả định'!$B$19*G$43+$A46*'Giả định'!$B$23+'Giả định'!$B$24)-INDEX('Mô phỏng'!$C$5:$C$1005,$A46+1)</f>
        <v>-41376075.6302521</v>
      </c>
    </row>
    <row r="47" customFormat="false" ht="15" hidden="false" customHeight="false" outlineLevel="0" collapsed="false">
      <c r="A47" s="35" t="n">
        <v>250</v>
      </c>
      <c r="B47" s="12" t="n">
        <f aca="false">($A47/'Giả định'!$B$19*B$43+$A47*'Giả định'!$B$23+'Giả định'!$B$24)-INDEX('Mô phỏng'!$C$5:$C$1005,$A47+1)</f>
        <v>-213326773.109244</v>
      </c>
      <c r="C47" s="12" t="n">
        <f aca="false">($A47/'Giả định'!$B$19*C$43+$A47*'Giả định'!$B$23+'Giả định'!$B$24)-INDEX('Mô phỏng'!$C$5:$C$1005,$A47+1)</f>
        <v>-177612487.394958</v>
      </c>
      <c r="D47" s="12" t="n">
        <f aca="false">($A47/'Giả định'!$B$19*D$43+$A47*'Giả định'!$B$23+'Giả định'!$B$24)-INDEX('Mô phỏng'!$C$5:$C$1005,$A47+1)</f>
        <v>-141898201.680672</v>
      </c>
      <c r="E47" s="12" t="n">
        <f aca="false">($A47/'Giả định'!$B$19*E$43+$A47*'Giả định'!$B$23+'Giả định'!$B$24)-INDEX('Mô phỏng'!$C$5:$C$1005,$A47+1)</f>
        <v>-106183915.966387</v>
      </c>
      <c r="F47" s="12" t="n">
        <f aca="false">($A47/'Giả định'!$B$19*F$43+$A47*'Giả định'!$B$23+'Giả định'!$B$24)-INDEX('Mô phỏng'!$C$5:$C$1005,$A47+1)</f>
        <v>-70469630.2521008</v>
      </c>
      <c r="G47" s="12" t="n">
        <f aca="false">($A47/'Giả định'!$B$19*G$43+$A47*'Giả định'!$B$23+'Giả định'!$B$24)-INDEX('Mô phỏng'!$C$5:$C$1005,$A47+1)</f>
        <v>-34755344.5378151</v>
      </c>
    </row>
    <row r="48" customFormat="false" ht="15" hidden="false" customHeight="false" outlineLevel="0" collapsed="false">
      <c r="A48" s="35" t="n">
        <v>300</v>
      </c>
      <c r="B48" s="12" t="n">
        <f aca="false">($A48/'Giả định'!$B$19*B$43+$A48*'Giả định'!$B$23+'Giả định'!$B$24)-INDEX('Mô phỏng'!$C$5:$C$1005,$A48+1)</f>
        <v>-242420327.731092</v>
      </c>
      <c r="C48" s="12" t="n">
        <f aca="false">($A48/'Giả định'!$B$19*C$43+$A48*'Giả định'!$B$23+'Giả định'!$B$24)-INDEX('Mô phỏng'!$C$5:$C$1005,$A48+1)</f>
        <v>-199563184.87395</v>
      </c>
      <c r="D48" s="12" t="n">
        <f aca="false">($A48/'Giả định'!$B$19*D$43+$A48*'Giả định'!$B$23+'Giả định'!$B$24)-INDEX('Mô phỏng'!$C$5:$C$1005,$A48+1)</f>
        <v>-156706042.016807</v>
      </c>
      <c r="E48" s="12" t="n">
        <f aca="false">($A48/'Giả định'!$B$19*E$43+$A48*'Giả định'!$B$23+'Giả định'!$B$24)-INDEX('Mô phỏng'!$C$5:$C$1005,$A48+1)</f>
        <v>-113848899.159664</v>
      </c>
      <c r="F48" s="12" t="n">
        <f aca="false">($A48/'Giả định'!$B$19*F$43+$A48*'Giả định'!$B$23+'Giả định'!$B$24)-INDEX('Mô phỏng'!$C$5:$C$1005,$A48+1)</f>
        <v>-70991756.302521</v>
      </c>
      <c r="G48" s="12" t="n">
        <f aca="false">($A48/'Giả định'!$B$19*G$43+$A48*'Giả định'!$B$23+'Giả định'!$B$24)-INDEX('Mô phỏng'!$C$5:$C$1005,$A48+1)</f>
        <v>-28134613.4453781</v>
      </c>
    </row>
    <row r="49" customFormat="false" ht="15" hidden="false" customHeight="false" outlineLevel="0" collapsed="false">
      <c r="A49" s="35" t="n">
        <v>350</v>
      </c>
      <c r="B49" s="12" t="n">
        <f aca="false">($A49/'Giả định'!$B$19*B$43+$A49*'Giả định'!$B$23+'Giả định'!$B$24)-INDEX('Mô phỏng'!$C$5:$C$1005,$A49+1)</f>
        <v>-271513882.352941</v>
      </c>
      <c r="C49" s="12" t="n">
        <f aca="false">($A49/'Giả định'!$B$19*C$43+$A49*'Giả định'!$B$23+'Giả định'!$B$24)-INDEX('Mô phỏng'!$C$5:$C$1005,$A49+1)</f>
        <v>-221513882.352941</v>
      </c>
      <c r="D49" s="12" t="n">
        <f aca="false">($A49/'Giả định'!$B$19*D$43+$A49*'Giả định'!$B$23+'Giả định'!$B$24)-INDEX('Mô phỏng'!$C$5:$C$1005,$A49+1)</f>
        <v>-171513882.352941</v>
      </c>
      <c r="E49" s="12" t="n">
        <f aca="false">($A49/'Giả định'!$B$19*E$43+$A49*'Giả định'!$B$23+'Giả định'!$B$24)-INDEX('Mô phỏng'!$C$5:$C$1005,$A49+1)</f>
        <v>-121513882.352941</v>
      </c>
      <c r="F49" s="12" t="n">
        <f aca="false">($A49/'Giả định'!$B$19*F$43+$A49*'Giả định'!$B$23+'Giả định'!$B$24)-INDEX('Mô phỏng'!$C$5:$C$1005,$A49+1)</f>
        <v>-71513882.3529412</v>
      </c>
      <c r="G49" s="12" t="n">
        <f aca="false">($A49/'Giả định'!$B$19*G$43+$A49*'Giả định'!$B$23+'Giả định'!$B$24)-INDEX('Mô phỏng'!$C$5:$C$1005,$A49+1)</f>
        <v>-21513882.3529412</v>
      </c>
    </row>
    <row r="50" customFormat="false" ht="15" hidden="false" customHeight="false" outlineLevel="0" collapsed="false">
      <c r="A50" s="35" t="n">
        <v>400</v>
      </c>
      <c r="B50" s="12" t="n">
        <f aca="false">($A50/'Giả định'!$B$19*B$43+$A50*'Giả định'!$B$23+'Giả định'!$B$24)-INDEX('Mô phỏng'!$C$5:$C$1005,$A50+1)</f>
        <v>-300607436.97479</v>
      </c>
      <c r="C50" s="12" t="n">
        <f aca="false">($A50/'Giả định'!$B$19*C$43+$A50*'Giả định'!$B$23+'Giả định'!$B$24)-INDEX('Mô phỏng'!$C$5:$C$1005,$A50+1)</f>
        <v>-243464579.831933</v>
      </c>
      <c r="D50" s="12" t="n">
        <f aca="false">($A50/'Giả định'!$B$19*D$43+$A50*'Giả định'!$B$23+'Giả định'!$B$24)-INDEX('Mô phỏng'!$C$5:$C$1005,$A50+1)</f>
        <v>-186321722.689076</v>
      </c>
      <c r="E50" s="12" t="n">
        <f aca="false">($A50/'Giả định'!$B$19*E$43+$A50*'Giả định'!$B$23+'Giả định'!$B$24)-INDEX('Mô phỏng'!$C$5:$C$1005,$A50+1)</f>
        <v>-129178865.546219</v>
      </c>
      <c r="F50" s="12" t="n">
        <f aca="false">($A50/'Giả định'!$B$19*F$43+$A50*'Giả định'!$B$23+'Giả định'!$B$24)-INDEX('Mô phỏng'!$C$5:$C$1005,$A50+1)</f>
        <v>-72036008.4033614</v>
      </c>
      <c r="G50" s="12" t="n">
        <f aca="false">($A50/'Giả định'!$B$19*G$43+$A50*'Giả định'!$B$23+'Giả định'!$B$24)-INDEX('Mô phỏng'!$C$5:$C$1005,$A50+1)</f>
        <v>-14893151.2605042</v>
      </c>
    </row>
    <row r="51" customFormat="false" ht="15" hidden="false" customHeight="false" outlineLevel="0" collapsed="false">
      <c r="A51" s="35" t="n">
        <v>450</v>
      </c>
      <c r="B51" s="12" t="n">
        <f aca="false">($A51/'Giả định'!$B$19*B$43+$A51*'Giả định'!$B$23+'Giả định'!$B$24)-INDEX('Mô phỏng'!$C$5:$C$1005,$A51+1)</f>
        <v>-329700991.596639</v>
      </c>
      <c r="C51" s="12" t="n">
        <f aca="false">($A51/'Giả định'!$B$19*C$43+$A51*'Giả định'!$B$23+'Giả định'!$B$24)-INDEX('Mô phỏng'!$C$5:$C$1005,$A51+1)</f>
        <v>-265415277.310924</v>
      </c>
      <c r="D51" s="12" t="n">
        <f aca="false">($A51/'Giả định'!$B$19*D$43+$A51*'Giả định'!$B$23+'Giả định'!$B$24)-INDEX('Mô phỏng'!$C$5:$C$1005,$A51+1)</f>
        <v>-201129563.02521</v>
      </c>
      <c r="E51" s="12" t="n">
        <f aca="false">($A51/'Giả định'!$B$19*E$43+$A51*'Giả định'!$B$23+'Giả định'!$B$24)-INDEX('Mô phỏng'!$C$5:$C$1005,$A51+1)</f>
        <v>-136843848.739496</v>
      </c>
      <c r="F51" s="12" t="n">
        <f aca="false">($A51/'Giả định'!$B$19*F$43+$A51*'Giả định'!$B$23+'Giả định'!$B$24)-INDEX('Mô phỏng'!$C$5:$C$1005,$A51+1)</f>
        <v>-72558134.4537816</v>
      </c>
      <c r="G51" s="12" t="n">
        <f aca="false">($A51/'Giả định'!$B$19*G$43+$A51*'Giả định'!$B$23+'Giả định'!$B$24)-INDEX('Mô phỏng'!$C$5:$C$1005,$A51+1)</f>
        <v>-8272420.16806722</v>
      </c>
    </row>
    <row r="52" customFormat="false" ht="15" hidden="false" customHeight="false" outlineLevel="0" collapsed="false">
      <c r="A52" s="35" t="n">
        <v>500</v>
      </c>
      <c r="B52" s="12" t="n">
        <f aca="false">($A52/'Giả định'!$B$19*B$43+$A52*'Giả định'!$B$23+'Giả định'!$B$24)-INDEX('Mô phỏng'!$C$5:$C$1005,$A52+1)</f>
        <v>-358794546.218487</v>
      </c>
      <c r="C52" s="12" t="n">
        <f aca="false">($A52/'Giả định'!$B$19*C$43+$A52*'Giả định'!$B$23+'Giả định'!$B$24)-INDEX('Mô phỏng'!$C$5:$C$1005,$A52+1)</f>
        <v>-287365974.789916</v>
      </c>
      <c r="D52" s="12" t="n">
        <f aca="false">($A52/'Giả định'!$B$19*D$43+$A52*'Giả định'!$B$23+'Giả định'!$B$24)-INDEX('Mô phỏng'!$C$5:$C$1005,$A52+1)</f>
        <v>-215937403.361345</v>
      </c>
      <c r="E52" s="12" t="n">
        <f aca="false">($A52/'Giả định'!$B$19*E$43+$A52*'Giả định'!$B$23+'Giả định'!$B$24)-INDEX('Mô phỏng'!$C$5:$C$1005,$A52+1)</f>
        <v>-144508831.932773</v>
      </c>
      <c r="F52" s="12" t="n">
        <f aca="false">($A52/'Giả định'!$B$19*F$43+$A52*'Giả định'!$B$23+'Giả định'!$B$24)-INDEX('Mô phỏng'!$C$5:$C$1005,$A52+1)</f>
        <v>-73080260.5042017</v>
      </c>
      <c r="G52" s="12" t="n">
        <f aca="false">($A52/'Giả định'!$B$19*G$43+$A52*'Giả định'!$B$23+'Giả định'!$B$24)-INDEX('Mô phỏng'!$C$5:$C$1005,$A52+1)</f>
        <v>-1651689.07563019</v>
      </c>
    </row>
    <row r="53" customFormat="false" ht="15" hidden="false" customHeight="false" outlineLevel="0" collapsed="false">
      <c r="A53" s="35" t="n">
        <v>550</v>
      </c>
      <c r="B53" s="12" t="n">
        <f aca="false">($A53/'Giả định'!$B$19*B$43+$A53*'Giả định'!$B$23+'Giả định'!$B$24)-INDEX('Mô phỏng'!$C$5:$C$1005,$A53+1)</f>
        <v>-387888100.840336</v>
      </c>
      <c r="C53" s="12" t="n">
        <f aca="false">($A53/'Giả định'!$B$19*C$43+$A53*'Giả định'!$B$23+'Giả định'!$B$24)-INDEX('Mô phỏng'!$C$5:$C$1005,$A53+1)</f>
        <v>-309316672.268908</v>
      </c>
      <c r="D53" s="12" t="n">
        <f aca="false">($A53/'Giả định'!$B$19*D$43+$A53*'Giả định'!$B$23+'Giả định'!$B$24)-INDEX('Mô phỏng'!$C$5:$C$1005,$A53+1)</f>
        <v>-230745243.697479</v>
      </c>
      <c r="E53" s="12" t="n">
        <f aca="false">($A53/'Giả định'!$B$19*E$43+$A53*'Giả định'!$B$23+'Giả định'!$B$24)-INDEX('Mô phỏng'!$C$5:$C$1005,$A53+1)</f>
        <v>-152173815.12605</v>
      </c>
      <c r="F53" s="12" t="n">
        <f aca="false">($A53/'Giả định'!$B$19*F$43+$A53*'Giả định'!$B$23+'Giả định'!$B$24)-INDEX('Mô phỏng'!$C$5:$C$1005,$A53+1)</f>
        <v>-73602386.5546218</v>
      </c>
      <c r="G53" s="12" t="n">
        <f aca="false">($A53/'Giả định'!$B$19*G$43+$A53*'Giả định'!$B$23+'Giả định'!$B$24)-INDEX('Mô phỏng'!$C$5:$C$1005,$A53+1)</f>
        <v>4969042.01680684</v>
      </c>
    </row>
    <row r="54" customFormat="false" ht="15" hidden="false" customHeight="false" outlineLevel="0" collapsed="false">
      <c r="A54" s="35" t="n">
        <v>600</v>
      </c>
      <c r="B54" s="12" t="n">
        <f aca="false">($A54/'Giả định'!$B$19*B$43+$A54*'Giả định'!$B$23+'Giả định'!$B$24)-INDEX('Mô phỏng'!$C$5:$C$1005,$A54+1)</f>
        <v>-416981655.462185</v>
      </c>
      <c r="C54" s="12" t="n">
        <f aca="false">($A54/'Giả định'!$B$19*C$43+$A54*'Giả định'!$B$23+'Giả định'!$B$24)-INDEX('Mô phỏng'!$C$5:$C$1005,$A54+1)</f>
        <v>-331267369.747899</v>
      </c>
      <c r="D54" s="12" t="n">
        <f aca="false">($A54/'Giả định'!$B$19*D$43+$A54*'Giả định'!$B$23+'Giả định'!$B$24)-INDEX('Mô phỏng'!$C$5:$C$1005,$A54+1)</f>
        <v>-245553084.033613</v>
      </c>
      <c r="E54" s="12" t="n">
        <f aca="false">($A54/'Giả định'!$B$19*E$43+$A54*'Giả định'!$B$23+'Giả định'!$B$24)-INDEX('Mô phỏng'!$C$5:$C$1005,$A54+1)</f>
        <v>-159838798.319328</v>
      </c>
      <c r="F54" s="12" t="n">
        <f aca="false">($A54/'Giả định'!$B$19*F$43+$A54*'Giả định'!$B$23+'Giả định'!$B$24)-INDEX('Mô phỏng'!$C$5:$C$1005,$A54+1)</f>
        <v>-74124512.605042</v>
      </c>
      <c r="G54" s="12" t="n">
        <f aca="false">($A54/'Giả định'!$B$19*G$43+$A54*'Giả định'!$B$23+'Giả định'!$B$24)-INDEX('Mô phỏng'!$C$5:$C$1005,$A54+1)</f>
        <v>11589773.1092438</v>
      </c>
    </row>
    <row r="56" customFormat="false" ht="15" hidden="false" customHeight="false" outlineLevel="0" collapsed="false">
      <c r="A56" s="5" t="s">
        <v>210</v>
      </c>
      <c r="B56" s="6"/>
      <c r="C56" s="6"/>
      <c r="D56" s="6"/>
      <c r="E56" s="6"/>
      <c r="F56" s="6"/>
      <c r="G56" s="6"/>
    </row>
    <row r="57" customFormat="false" ht="15" hidden="false" customHeight="false" outlineLevel="0" collapsed="false">
      <c r="A57" s="7" t="s">
        <v>211</v>
      </c>
      <c r="B57" s="32" t="n">
        <f aca="false">'Chi phí'!$E$5</f>
        <v>7000000</v>
      </c>
    </row>
    <row r="58" customFormat="false" ht="15" hidden="false" customHeight="false" outlineLevel="0" collapsed="false">
      <c r="A58" s="33" t="s">
        <v>212</v>
      </c>
      <c r="B58" s="34" t="n">
        <f aca="false">IFERROR('Chi phí'!$E$5+(B10+'Giả định'!$B$29)/('Giả định'!$B$10*'Chi phí'!$F$5*'Chi phí'!$H$5*(1+'Giả định'!$B$15*'Chi phí'!$G$5)*(1+'Giả định'!$B$16)),"n/a")</f>
        <v>-3487442.18744219</v>
      </c>
    </row>
    <row r="59" customFormat="false" ht="15" hidden="false" customHeight="false" outlineLevel="0" collapsed="false">
      <c r="A59" s="33" t="s">
        <v>213</v>
      </c>
      <c r="B59" s="34" t="str">
        <f aca="false">IF('Giả định'!$B$28="","Chưa nhập ngân sách trần",IFERROR('Chi phí'!$E$5+('Giả định'!$B$28-B8)/('Giả định'!$B$10*'Chi phí'!$F$5*'Chi phí'!$H$5*(1+'Giả định'!$B$15*'Chi phí'!$G$5)*(1+'Giả định'!$B$16)),"n/a"))</f>
        <v>Chưa nhập ngân sách trần</v>
      </c>
    </row>
    <row r="60" customFormat="false" ht="15" hidden="false" customHeight="false" outlineLevel="0" collapsed="false">
      <c r="A60" s="9" t="s">
        <v>214</v>
      </c>
    </row>
    <row r="61" customFormat="false" ht="30" hidden="false" customHeight="true" outlineLevel="0" collapsed="false">
      <c r="A61" s="30" t="s">
        <v>208</v>
      </c>
      <c r="B61" s="35" t="n">
        <v>500000</v>
      </c>
      <c r="C61" s="35" t="n">
        <v>700000</v>
      </c>
      <c r="D61" s="35" t="n">
        <v>900000</v>
      </c>
      <c r="E61" s="35" t="n">
        <v>1100000</v>
      </c>
      <c r="F61" s="35" t="n">
        <v>1300000</v>
      </c>
      <c r="G61" s="35" t="n">
        <v>1500000</v>
      </c>
    </row>
    <row r="62" customFormat="false" ht="15" hidden="false" customHeight="false" outlineLevel="0" collapsed="false">
      <c r="A62" s="35" t="n">
        <v>150</v>
      </c>
      <c r="B62" s="12" t="n">
        <f aca="false">IFERROR('Chi phí'!$E$5+(($A62/'Giả định'!$B$19*B$61+$A62*'Giả định'!$B$23+'Giả định'!$B$24-INDEX('Mô phỏng'!$D$5:$D$1005,$A62+1))+'Giả định'!$B$29)/(INDEX('Mô phỏng'!$B$5:$B$1005,$A62+1)*'Chi phí'!$F$5*'Chi phí'!$H$5*(1+'Giả định'!$B$15*'Chi phí'!$G$5)*(1+'Giả định'!$B$16)),"n/a")</f>
        <v>-7507802.24677284</v>
      </c>
      <c r="C62" s="12" t="n">
        <f aca="false">IFERROR('Chi phí'!$E$5+(($A62/'Giả định'!$B$19*C$61+$A62*'Giả định'!$B$23+'Giả định'!$B$24-INDEX('Mô phỏng'!$D$5:$D$1005,$A62+1))+'Giả định'!$B$29)/(INDEX('Mô phỏng'!$B$5:$B$1005,$A62+1)*'Chi phí'!$F$5*'Chi phí'!$H$5*(1+'Giả định'!$B$15*'Chi phí'!$G$5)*(1+'Giả định'!$B$16)),"n/a")</f>
        <v>-6467176.20614679</v>
      </c>
      <c r="D62" s="12" t="n">
        <f aca="false">IFERROR('Chi phí'!$E$5+(($A62/'Giả định'!$B$19*D$61+$A62*'Giả định'!$B$23+'Giả định'!$B$24-INDEX('Mô phỏng'!$D$5:$D$1005,$A62+1))+'Giả định'!$B$29)/(INDEX('Mô phỏng'!$B$5:$B$1005,$A62+1)*'Chi phí'!$F$5*'Chi phí'!$H$5*(1+'Giả định'!$B$15*'Chi phí'!$G$5)*(1+'Giả định'!$B$16)),"n/a")</f>
        <v>-5426550.16552075</v>
      </c>
      <c r="E62" s="12" t="n">
        <f aca="false">IFERROR('Chi phí'!$E$5+(($A62/'Giả định'!$B$19*E$61+$A62*'Giả định'!$B$23+'Giả định'!$B$24-INDEX('Mô phỏng'!$D$5:$D$1005,$A62+1))+'Giả định'!$B$29)/(INDEX('Mô phỏng'!$B$5:$B$1005,$A62+1)*'Chi phí'!$F$5*'Chi phí'!$H$5*(1+'Giả định'!$B$15*'Chi phí'!$G$5)*(1+'Giả định'!$B$16)),"n/a")</f>
        <v>-4385924.12489471</v>
      </c>
      <c r="F62" s="12" t="n">
        <f aca="false">IFERROR('Chi phí'!$E$5+(($A62/'Giả định'!$B$19*F$61+$A62*'Giả định'!$B$23+'Giả định'!$B$24-INDEX('Mô phỏng'!$D$5:$D$1005,$A62+1))+'Giả định'!$B$29)/(INDEX('Mô phỏng'!$B$5:$B$1005,$A62+1)*'Chi phí'!$F$5*'Chi phí'!$H$5*(1+'Giả định'!$B$15*'Chi phí'!$G$5)*(1+'Giả định'!$B$16)),"n/a")</f>
        <v>-3345298.08426867</v>
      </c>
      <c r="G62" s="12" t="n">
        <f aca="false">IFERROR('Chi phí'!$E$5+(($A62/'Giả định'!$B$19*G$61+$A62*'Giả định'!$B$23+'Giả định'!$B$24-INDEX('Mô phỏng'!$D$5:$D$1005,$A62+1))+'Giả định'!$B$29)/(INDEX('Mô phỏng'!$B$5:$B$1005,$A62+1)*'Chi phí'!$F$5*'Chi phí'!$H$5*(1+'Giả định'!$B$15*'Chi phí'!$G$5)*(1+'Giả định'!$B$16)),"n/a")</f>
        <v>-2304672.04364263</v>
      </c>
    </row>
    <row r="63" customFormat="false" ht="15" hidden="false" customHeight="false" outlineLevel="0" collapsed="false">
      <c r="A63" s="35" t="n">
        <v>200</v>
      </c>
      <c r="B63" s="12" t="n">
        <f aca="false">IFERROR('Chi phí'!$E$5+(($A63/'Giả định'!$B$19*B$61+$A63*'Giả định'!$B$23+'Giả định'!$B$24-INDEX('Mô phỏng'!$D$5:$D$1005,$A63+1))+'Giả định'!$B$29)/(INDEX('Mô phỏng'!$B$5:$B$1005,$A63+1)*'Chi phí'!$F$5*'Chi phí'!$H$5*(1+'Giả định'!$B$15*'Chi phí'!$G$5)*(1+'Giả định'!$B$16)),"n/a")</f>
        <v>-5130026.21405983</v>
      </c>
      <c r="C63" s="12" t="n">
        <f aca="false">IFERROR('Chi phí'!$E$5+(($A63/'Giả định'!$B$19*C$61+$A63*'Giả định'!$B$23+'Giả định'!$B$24-INDEX('Mô phỏng'!$D$5:$D$1005,$A63+1))+'Giả định'!$B$29)/(INDEX('Mô phỏng'!$B$5:$B$1005,$A63+1)*'Chi phí'!$F$5*'Chi phí'!$H$5*(1+'Giả định'!$B$15*'Chi phí'!$G$5)*(1+'Giả định'!$B$16)),"n/a")</f>
        <v>-4072882.29977306</v>
      </c>
      <c r="D63" s="12" t="n">
        <f aca="false">IFERROR('Chi phí'!$E$5+(($A63/'Giả định'!$B$19*D$61+$A63*'Giả định'!$B$23+'Giả định'!$B$24-INDEX('Mô phỏng'!$D$5:$D$1005,$A63+1))+'Giả định'!$B$29)/(INDEX('Mô phỏng'!$B$5:$B$1005,$A63+1)*'Chi phí'!$F$5*'Chi phí'!$H$5*(1+'Giả định'!$B$15*'Chi phí'!$G$5)*(1+'Giả định'!$B$16)),"n/a")</f>
        <v>-3015738.38548629</v>
      </c>
      <c r="E63" s="12" t="n">
        <f aca="false">IFERROR('Chi phí'!$E$5+(($A63/'Giả định'!$B$19*E$61+$A63*'Giả định'!$B$23+'Giả định'!$B$24-INDEX('Mô phỏng'!$D$5:$D$1005,$A63+1))+'Giả định'!$B$29)/(INDEX('Mô phỏng'!$B$5:$B$1005,$A63+1)*'Chi phí'!$F$5*'Chi phí'!$H$5*(1+'Giả định'!$B$15*'Chi phí'!$G$5)*(1+'Giả định'!$B$16)),"n/a")</f>
        <v>-1958594.47119952</v>
      </c>
      <c r="F63" s="12" t="n">
        <f aca="false">IFERROR('Chi phí'!$E$5+(($A63/'Giả định'!$B$19*F$61+$A63*'Giả định'!$B$23+'Giả định'!$B$24-INDEX('Mô phỏng'!$D$5:$D$1005,$A63+1))+'Giả định'!$B$29)/(INDEX('Mô phỏng'!$B$5:$B$1005,$A63+1)*'Chi phí'!$F$5*'Chi phí'!$H$5*(1+'Giả định'!$B$15*'Chi phí'!$G$5)*(1+'Giả định'!$B$16)),"n/a")</f>
        <v>-901450.556912744</v>
      </c>
      <c r="G63" s="12" t="n">
        <f aca="false">IFERROR('Chi phí'!$E$5+(($A63/'Giả định'!$B$19*G$61+$A63*'Giả định'!$B$23+'Giả định'!$B$24-INDEX('Mô phỏng'!$D$5:$D$1005,$A63+1))+'Giả định'!$B$29)/(INDEX('Mô phỏng'!$B$5:$B$1005,$A63+1)*'Chi phí'!$F$5*'Chi phí'!$H$5*(1+'Giả định'!$B$15*'Chi phí'!$G$5)*(1+'Giả định'!$B$16)),"n/a")</f>
        <v>155693.357374028</v>
      </c>
    </row>
    <row r="64" customFormat="false" ht="15" hidden="false" customHeight="false" outlineLevel="0" collapsed="false">
      <c r="A64" s="35" t="n">
        <v>250</v>
      </c>
      <c r="B64" s="12" t="n">
        <f aca="false">IFERROR('Chi phí'!$E$5+(($A64/'Giả định'!$B$19*B$61+$A64*'Giả định'!$B$23+'Giả định'!$B$24-INDEX('Mô phỏng'!$D$5:$D$1005,$A64+1))+'Giả định'!$B$29)/(INDEX('Mô phỏng'!$B$5:$B$1005,$A64+1)*'Chi phí'!$F$5*'Chi phí'!$H$5*(1+'Giả định'!$B$15*'Chi phí'!$G$5)*(1+'Giả định'!$B$16)),"n/a")</f>
        <v>-3666779.42469798</v>
      </c>
      <c r="C64" s="12" t="n">
        <f aca="false">IFERROR('Chi phí'!$E$5+(($A64/'Giả định'!$B$19*C$61+$A64*'Giả định'!$B$23+'Giả định'!$B$24-INDEX('Mô phỏng'!$D$5:$D$1005,$A64+1))+'Giả định'!$B$29)/(INDEX('Mô phỏng'!$B$5:$B$1005,$A64+1)*'Chi phí'!$F$5*'Chi phí'!$H$5*(1+'Giả định'!$B$15*'Chi phí'!$G$5)*(1+'Giả định'!$B$16)),"n/a")</f>
        <v>-2599470.66508153</v>
      </c>
      <c r="D64" s="12" t="n">
        <f aca="false">IFERROR('Chi phí'!$E$5+(($A64/'Giả định'!$B$19*D$61+$A64*'Giả định'!$B$23+'Giả định'!$B$24-INDEX('Mô phỏng'!$D$5:$D$1005,$A64+1))+'Giả định'!$B$29)/(INDEX('Mô phỏng'!$B$5:$B$1005,$A64+1)*'Chi phí'!$F$5*'Chi phí'!$H$5*(1+'Giả định'!$B$15*'Chi phí'!$G$5)*(1+'Giả định'!$B$16)),"n/a")</f>
        <v>-1532161.90546507</v>
      </c>
      <c r="E64" s="12" t="n">
        <f aca="false">IFERROR('Chi phí'!$E$5+(($A64/'Giả định'!$B$19*E$61+$A64*'Giả định'!$B$23+'Giả định'!$B$24-INDEX('Mô phỏng'!$D$5:$D$1005,$A64+1))+'Giả định'!$B$29)/(INDEX('Mô phỏng'!$B$5:$B$1005,$A64+1)*'Chi phí'!$F$5*'Chi phí'!$H$5*(1+'Giả định'!$B$15*'Chi phí'!$G$5)*(1+'Giả định'!$B$16)),"n/a")</f>
        <v>-464853.145848622</v>
      </c>
      <c r="F64" s="12" t="n">
        <f aca="false">IFERROR('Chi phí'!$E$5+(($A64/'Giả định'!$B$19*F$61+$A64*'Giả định'!$B$23+'Giả định'!$B$24-INDEX('Mô phỏng'!$D$5:$D$1005,$A64+1))+'Giả định'!$B$29)/(INDEX('Mô phỏng'!$B$5:$B$1005,$A64+1)*'Chi phí'!$F$5*'Chi phí'!$H$5*(1+'Giả định'!$B$15*'Chi phí'!$G$5)*(1+'Giả định'!$B$16)),"n/a")</f>
        <v>602455.613767831</v>
      </c>
      <c r="G64" s="12" t="n">
        <f aca="false">IFERROR('Chi phí'!$E$5+(($A64/'Giả định'!$B$19*G$61+$A64*'Giả định'!$B$23+'Giả định'!$B$24-INDEX('Mô phỏng'!$D$5:$D$1005,$A64+1))+'Giả định'!$B$29)/(INDEX('Mô phỏng'!$B$5:$B$1005,$A64+1)*'Chi phí'!$F$5*'Chi phí'!$H$5*(1+'Giả định'!$B$15*'Chi phí'!$G$5)*(1+'Giả định'!$B$16)),"n/a")</f>
        <v>1669764.37338428</v>
      </c>
    </row>
    <row r="65" customFormat="false" ht="15" hidden="false" customHeight="false" outlineLevel="0" collapsed="false">
      <c r="A65" s="35" t="n">
        <v>300</v>
      </c>
      <c r="B65" s="12" t="n">
        <f aca="false">IFERROR('Chi phí'!$E$5+(($A65/'Giả định'!$B$19*B$61+$A65*'Giả định'!$B$23+'Giả định'!$B$24-INDEX('Mô phỏng'!$D$5:$D$1005,$A65+1))+'Giả định'!$B$29)/(INDEX('Mô phỏng'!$B$5:$B$1005,$A65+1)*'Chi phí'!$F$5*'Chi phí'!$H$5*(1+'Giả định'!$B$15*'Chi phí'!$G$5)*(1+'Giả định'!$B$16)),"n/a")</f>
        <v>-2675547.72867866</v>
      </c>
      <c r="C65" s="12" t="n">
        <f aca="false">IFERROR('Chi phí'!$E$5+(($A65/'Giả định'!$B$19*C$61+$A65*'Giả định'!$B$23+'Giả định'!$B$24-INDEX('Mô phỏng'!$D$5:$D$1005,$A65+1))+'Giả định'!$B$29)/(INDEX('Mô phỏng'!$B$5:$B$1005,$A65+1)*'Chi phí'!$F$5*'Chi phí'!$H$5*(1+'Giả định'!$B$15*'Chi phí'!$G$5)*(1+'Giả định'!$B$16)),"n/a")</f>
        <v>-1601353.10609694</v>
      </c>
      <c r="D65" s="12" t="n">
        <f aca="false">IFERROR('Chi phí'!$E$5+(($A65/'Giả định'!$B$19*D$61+$A65*'Giả định'!$B$23+'Giả định'!$B$24-INDEX('Mô phỏng'!$D$5:$D$1005,$A65+1))+'Giả định'!$B$29)/(INDEX('Mô phỏng'!$B$5:$B$1005,$A65+1)*'Chi phí'!$F$5*'Chi phí'!$H$5*(1+'Giả định'!$B$15*'Chi phí'!$G$5)*(1+'Giả định'!$B$16)),"n/a")</f>
        <v>-527158.483515222</v>
      </c>
      <c r="E65" s="12" t="n">
        <f aca="false">IFERROR('Chi phí'!$E$5+(($A65/'Giả định'!$B$19*E$61+$A65*'Giả định'!$B$23+'Giả định'!$B$24-INDEX('Mô phỏng'!$D$5:$D$1005,$A65+1))+'Giả định'!$B$29)/(INDEX('Mô phỏng'!$B$5:$B$1005,$A65+1)*'Chi phí'!$F$5*'Chi phí'!$H$5*(1+'Giả định'!$B$15*'Chi phí'!$G$5)*(1+'Giả định'!$B$16)),"n/a")</f>
        <v>547036.139066498</v>
      </c>
      <c r="F65" s="12" t="n">
        <f aca="false">IFERROR('Chi phí'!$E$5+(($A65/'Giả định'!$B$19*F$61+$A65*'Giả định'!$B$23+'Giả định'!$B$24-INDEX('Mô phỏng'!$D$5:$D$1005,$A65+1))+'Giả định'!$B$29)/(INDEX('Mô phỏng'!$B$5:$B$1005,$A65+1)*'Chi phí'!$F$5*'Chi phí'!$H$5*(1+'Giả định'!$B$15*'Chi phí'!$G$5)*(1+'Giả định'!$B$16)),"n/a")</f>
        <v>1621230.76164822</v>
      </c>
      <c r="G65" s="12" t="n">
        <f aca="false">IFERROR('Chi phí'!$E$5+(($A65/'Giả định'!$B$19*G$61+$A65*'Giả định'!$B$23+'Giả định'!$B$24-INDEX('Mô phỏng'!$D$5:$D$1005,$A65+1))+'Giả định'!$B$29)/(INDEX('Mô phỏng'!$B$5:$B$1005,$A65+1)*'Chi phí'!$F$5*'Chi phí'!$H$5*(1+'Giả định'!$B$15*'Chi phí'!$G$5)*(1+'Giả định'!$B$16)),"n/a")</f>
        <v>2695425.38422994</v>
      </c>
    </row>
    <row r="66" customFormat="false" ht="15" hidden="false" customHeight="false" outlineLevel="0" collapsed="false">
      <c r="A66" s="35" t="n">
        <v>350</v>
      </c>
      <c r="B66" s="12" t="n">
        <f aca="false">IFERROR('Chi phí'!$E$5+(($A66/'Giả định'!$B$19*B$61+$A66*'Giả định'!$B$23+'Giả định'!$B$24-INDEX('Mô phỏng'!$D$5:$D$1005,$A66+1))+'Giả định'!$B$29)/(INDEX('Mô phỏng'!$B$5:$B$1005,$A66+1)*'Chi phí'!$F$5*'Chi phí'!$H$5*(1+'Giả định'!$B$15*'Chi phí'!$G$5)*(1+'Giả định'!$B$16)),"n/a")</f>
        <v>-1959658.17044248</v>
      </c>
      <c r="C66" s="12" t="n">
        <f aca="false">IFERROR('Chi phí'!$E$5+(($A66/'Giả định'!$B$19*C$61+$A66*'Giả định'!$B$23+'Giả định'!$B$24-INDEX('Mô phỏng'!$D$5:$D$1005,$A66+1))+'Giả định'!$B$29)/(INDEX('Mô phỏng'!$B$5:$B$1005,$A66+1)*'Chi phí'!$F$5*'Chi phí'!$H$5*(1+'Giả định'!$B$15*'Chi phí'!$G$5)*(1+'Giả định'!$B$16)),"n/a")</f>
        <v>-880490.424608071</v>
      </c>
      <c r="D66" s="12" t="n">
        <f aca="false">IFERROR('Chi phí'!$E$5+(($A66/'Giả định'!$B$19*D$61+$A66*'Giả định'!$B$23+'Giả định'!$B$24-INDEX('Mô phỏng'!$D$5:$D$1005,$A66+1))+'Giả định'!$B$29)/(INDEX('Mô phỏng'!$B$5:$B$1005,$A66+1)*'Chi phí'!$F$5*'Chi phí'!$H$5*(1+'Giả định'!$B$15*'Chi phí'!$G$5)*(1+'Giả định'!$B$16)),"n/a")</f>
        <v>198677.321226342</v>
      </c>
      <c r="E66" s="12" t="n">
        <f aca="false">IFERROR('Chi phí'!$E$5+(($A66/'Giả định'!$B$19*E$61+$A66*'Giả định'!$B$23+'Giả định'!$B$24-INDEX('Mô phỏng'!$D$5:$D$1005,$A66+1))+'Giả định'!$B$29)/(INDEX('Mô phỏng'!$B$5:$B$1005,$A66+1)*'Chi phí'!$F$5*'Chi phí'!$H$5*(1+'Giả định'!$B$15*'Chi phí'!$G$5)*(1+'Giả định'!$B$16)),"n/a")</f>
        <v>1277845.06706076</v>
      </c>
      <c r="F66" s="12" t="n">
        <f aca="false">IFERROR('Chi phí'!$E$5+(($A66/'Giả định'!$B$19*F$61+$A66*'Giả định'!$B$23+'Giả định'!$B$24-INDEX('Mô phỏng'!$D$5:$D$1005,$A66+1))+'Giả định'!$B$29)/(INDEX('Mô phỏng'!$B$5:$B$1005,$A66+1)*'Chi phí'!$F$5*'Chi phí'!$H$5*(1+'Giả định'!$B$15*'Chi phí'!$G$5)*(1+'Giả định'!$B$16)),"n/a")</f>
        <v>2357012.81289517</v>
      </c>
      <c r="G66" s="12" t="n">
        <f aca="false">IFERROR('Chi phí'!$E$5+(($A66/'Giả định'!$B$19*G$61+$A66*'Giả định'!$B$23+'Giả định'!$B$24-INDEX('Mô phỏng'!$D$5:$D$1005,$A66+1))+'Giả định'!$B$29)/(INDEX('Mô phỏng'!$B$5:$B$1005,$A66+1)*'Chi phí'!$F$5*'Chi phí'!$H$5*(1+'Giả định'!$B$15*'Chi phí'!$G$5)*(1+'Giả định'!$B$16)),"n/a")</f>
        <v>3436180.55872958</v>
      </c>
    </row>
    <row r="67" customFormat="false" ht="15" hidden="false" customHeight="false" outlineLevel="0" collapsed="false">
      <c r="A67" s="35" t="n">
        <v>400</v>
      </c>
      <c r="B67" s="12" t="n">
        <f aca="false">IFERROR('Chi phí'!$E$5+(($A67/'Giả định'!$B$19*B$61+$A67*'Giả định'!$B$23+'Giả định'!$B$24-INDEX('Mô phỏng'!$D$5:$D$1005,$A67+1))+'Giả định'!$B$29)/(INDEX('Mô phỏng'!$B$5:$B$1005,$A67+1)*'Chi phí'!$F$5*'Chi phí'!$H$5*(1+'Giả định'!$B$15*'Chi phí'!$G$5)*(1+'Giả định'!$B$16)),"n/a")</f>
        <v>-1418375.8215322</v>
      </c>
      <c r="C67" s="12" t="n">
        <f aca="false">IFERROR('Chi phí'!$E$5+(($A67/'Giả định'!$B$19*C$61+$A67*'Giả định'!$B$23+'Giả định'!$B$24-INDEX('Mô phỏng'!$D$5:$D$1005,$A67+1))+'Giả định'!$B$29)/(INDEX('Mô phỏng'!$B$5:$B$1005,$A67+1)*'Chi phí'!$F$5*'Chi phí'!$H$5*(1+'Giả định'!$B$15*'Chi phí'!$G$5)*(1+'Giả định'!$B$16)),"n/a")</f>
        <v>-335447.909336001</v>
      </c>
      <c r="D67" s="12" t="n">
        <f aca="false">IFERROR('Chi phí'!$E$5+(($A67/'Giả định'!$B$19*D$61+$A67*'Giả định'!$B$23+'Giả định'!$B$24-INDEX('Mô phỏng'!$D$5:$D$1005,$A67+1))+'Giả định'!$B$29)/(INDEX('Mô phỏng'!$B$5:$B$1005,$A67+1)*'Chi phí'!$F$5*'Chi phí'!$H$5*(1+'Giả định'!$B$15*'Chi phí'!$G$5)*(1+'Giả định'!$B$16)),"n/a")</f>
        <v>747480.002860205</v>
      </c>
      <c r="E67" s="12" t="n">
        <f aca="false">IFERROR('Chi phí'!$E$5+(($A67/'Giả định'!$B$19*E$61+$A67*'Giả định'!$B$23+'Giả định'!$B$24-INDEX('Mô phỏng'!$D$5:$D$1005,$A67+1))+'Giả định'!$B$29)/(INDEX('Mô phỏng'!$B$5:$B$1005,$A67+1)*'Chi phí'!$F$5*'Chi phí'!$H$5*(1+'Giả định'!$B$15*'Chi phí'!$G$5)*(1+'Giả định'!$B$16)),"n/a")</f>
        <v>1830407.91505641</v>
      </c>
      <c r="F67" s="12" t="n">
        <f aca="false">IFERROR('Chi phí'!$E$5+(($A67/'Giả định'!$B$19*F$61+$A67*'Giả định'!$B$23+'Giả định'!$B$24-INDEX('Mô phỏng'!$D$5:$D$1005,$A67+1))+'Giả định'!$B$29)/(INDEX('Mô phỏng'!$B$5:$B$1005,$A67+1)*'Chi phí'!$F$5*'Chi phí'!$H$5*(1+'Giả định'!$B$15*'Chi phí'!$G$5)*(1+'Giả định'!$B$16)),"n/a")</f>
        <v>2913335.82725261</v>
      </c>
      <c r="G67" s="12" t="n">
        <f aca="false">IFERROR('Chi phí'!$E$5+(($A67/'Giả định'!$B$19*G$61+$A67*'Giả định'!$B$23+'Giả định'!$B$24-INDEX('Mô phỏng'!$D$5:$D$1005,$A67+1))+'Giả định'!$B$29)/(INDEX('Mô phỏng'!$B$5:$B$1005,$A67+1)*'Chi phí'!$F$5*'Chi phí'!$H$5*(1+'Giả định'!$B$15*'Chi phí'!$G$5)*(1+'Giả định'!$B$16)),"n/a")</f>
        <v>3996263.73944882</v>
      </c>
    </row>
    <row r="68" customFormat="false" ht="15" hidden="false" customHeight="false" outlineLevel="0" collapsed="false">
      <c r="A68" s="35" t="n">
        <v>450</v>
      </c>
      <c r="B68" s="12" t="n">
        <f aca="false">IFERROR('Chi phí'!$E$5+(($A68/'Giả định'!$B$19*B$61+$A68*'Giả định'!$B$23+'Giả định'!$B$24-INDEX('Mô phỏng'!$D$5:$D$1005,$A68+1))+'Giả định'!$B$29)/(INDEX('Mô phỏng'!$B$5:$B$1005,$A68+1)*'Chi phí'!$F$5*'Chi phí'!$H$5*(1+'Giả định'!$B$15*'Chi phí'!$G$5)*(1+'Giả định'!$B$16)),"n/a")</f>
        <v>-994763.548471989</v>
      </c>
      <c r="C68" s="12" t="n">
        <f aca="false">IFERROR('Chi phí'!$E$5+(($A68/'Giả định'!$B$19*C$61+$A68*'Giả định'!$B$23+'Giả định'!$B$24-INDEX('Mô phỏng'!$D$5:$D$1005,$A68+1))+'Giả định'!$B$29)/(INDEX('Mô phỏng'!$B$5:$B$1005,$A68+1)*'Chi phí'!$F$5*'Chi phí'!$H$5*(1+'Giả định'!$B$15*'Chi phí'!$G$5)*(1+'Giả định'!$B$16)),"n/a")</f>
        <v>91107.1026160531</v>
      </c>
      <c r="D68" s="12" t="n">
        <f aca="false">IFERROR('Chi phí'!$E$5+(($A68/'Giả định'!$B$19*D$61+$A68*'Giả định'!$B$23+'Giả định'!$B$24-INDEX('Mô phỏng'!$D$5:$D$1005,$A68+1))+'Giả định'!$B$29)/(INDEX('Mô phỏng'!$B$5:$B$1005,$A68+1)*'Chi phí'!$F$5*'Chi phí'!$H$5*(1+'Giả định'!$B$15*'Chi phí'!$G$5)*(1+'Giả định'!$B$16)),"n/a")</f>
        <v>1176977.7537041</v>
      </c>
      <c r="E68" s="12" t="n">
        <f aca="false">IFERROR('Chi phí'!$E$5+(($A68/'Giả định'!$B$19*E$61+$A68*'Giả định'!$B$23+'Giả định'!$B$24-INDEX('Mô phỏng'!$D$5:$D$1005,$A68+1))+'Giả định'!$B$29)/(INDEX('Mô phỏng'!$B$5:$B$1005,$A68+1)*'Chi phí'!$F$5*'Chi phí'!$H$5*(1+'Giả định'!$B$15*'Chi phí'!$G$5)*(1+'Giả định'!$B$16)),"n/a")</f>
        <v>2262848.40479214</v>
      </c>
      <c r="F68" s="12" t="n">
        <f aca="false">IFERROR('Chi phí'!$E$5+(($A68/'Giả định'!$B$19*F$61+$A68*'Giả định'!$B$23+'Giả định'!$B$24-INDEX('Mô phỏng'!$D$5:$D$1005,$A68+1))+'Giả định'!$B$29)/(INDEX('Mô phỏng'!$B$5:$B$1005,$A68+1)*'Chi phí'!$F$5*'Chi phí'!$H$5*(1+'Giả định'!$B$15*'Chi phí'!$G$5)*(1+'Giả định'!$B$16)),"n/a")</f>
        <v>3348719.05588018</v>
      </c>
      <c r="G68" s="12" t="n">
        <f aca="false">IFERROR('Chi phí'!$E$5+(($A68/'Giả định'!$B$19*G$61+$A68*'Giả định'!$B$23+'Giả định'!$B$24-INDEX('Mô phỏng'!$D$5:$D$1005,$A68+1))+'Giả định'!$B$29)/(INDEX('Mô phỏng'!$B$5:$B$1005,$A68+1)*'Chi phí'!$F$5*'Chi phí'!$H$5*(1+'Giả định'!$B$15*'Chi phí'!$G$5)*(1+'Giả định'!$B$16)),"n/a")</f>
        <v>4434589.70696823</v>
      </c>
    </row>
    <row r="69" customFormat="false" ht="15" hidden="false" customHeight="false" outlineLevel="0" collapsed="false">
      <c r="A69" s="9" t="s">
        <v>215</v>
      </c>
    </row>
    <row r="71" customFormat="false" ht="15" hidden="false" customHeight="false" outlineLevel="0" collapsed="false">
      <c r="A71" s="5" t="s">
        <v>216</v>
      </c>
      <c r="B71" s="6"/>
      <c r="C71" s="6"/>
      <c r="D71" s="6"/>
      <c r="E71" s="6"/>
      <c r="F71" s="6"/>
      <c r="G71" s="6"/>
    </row>
    <row r="72" customFormat="false" ht="15" hidden="false" customHeight="false" outlineLevel="0" collapsed="false">
      <c r="A72" s="30" t="s">
        <v>217</v>
      </c>
      <c r="B72" s="30" t="s">
        <v>218</v>
      </c>
      <c r="C72" s="30" t="s">
        <v>219</v>
      </c>
      <c r="D72" s="30" t="s">
        <v>220</v>
      </c>
      <c r="E72" s="30" t="s">
        <v>221</v>
      </c>
    </row>
    <row r="73" customFormat="false" ht="15" hidden="false" customHeight="false" outlineLevel="0" collapsed="false">
      <c r="A73" s="36" t="n">
        <v>0</v>
      </c>
      <c r="B73" s="25" t="n">
        <f aca="false">INDEX('Mô phỏng'!$E$5:$E$1005,$A73+1)</f>
        <v>0</v>
      </c>
      <c r="C73" s="25" t="n">
        <f aca="false">INDEX('Mô phỏng'!$D$5:$D$1005,$A73+1)</f>
        <v>339900000</v>
      </c>
      <c r="D73" s="25" t="n">
        <f aca="false">INDEX('Mô phỏng'!$C$5:$C$1005,$A73+1)</f>
        <v>196295000</v>
      </c>
      <c r="E73" s="25" t="n">
        <f aca="false">B73-C73</f>
        <v>-339900000</v>
      </c>
    </row>
    <row r="74" customFormat="false" ht="15" hidden="false" customHeight="false" outlineLevel="0" collapsed="false">
      <c r="A74" s="25" t="n">
        <f aca="false">A73+25</f>
        <v>25</v>
      </c>
      <c r="B74" s="25" t="n">
        <f aca="false">INDEX('Mô phỏng'!$E$5:$E$1005,$A74+1)</f>
        <v>9306722.68907563</v>
      </c>
      <c r="C74" s="25" t="n">
        <f aca="false">INDEX('Mô phỏng'!$D$5:$D$1005,$A74+1)</f>
        <v>340818500</v>
      </c>
      <c r="D74" s="25" t="n">
        <f aca="false">INDEX('Mô phỏng'!$C$5:$C$1005,$A74+1)</f>
        <v>197213500</v>
      </c>
      <c r="E74" s="25" t="n">
        <f aca="false">B74-C74</f>
        <v>-331511777.310924</v>
      </c>
    </row>
    <row r="75" customFormat="false" ht="15" hidden="false" customHeight="false" outlineLevel="0" collapsed="false">
      <c r="A75" s="25" t="n">
        <f aca="false">A74+25</f>
        <v>50</v>
      </c>
      <c r="B75" s="25" t="n">
        <f aca="false">INDEX('Mô phỏng'!$E$5:$E$1005,$A75+1)</f>
        <v>18613445.3781513</v>
      </c>
      <c r="C75" s="25" t="n">
        <f aca="false">INDEX('Mô phỏng'!$D$5:$D$1005,$A75+1)</f>
        <v>341737000</v>
      </c>
      <c r="D75" s="25" t="n">
        <f aca="false">INDEX('Mô phỏng'!$C$5:$C$1005,$A75+1)</f>
        <v>198132000</v>
      </c>
      <c r="E75" s="25" t="n">
        <f aca="false">B75-C75</f>
        <v>-323123554.621849</v>
      </c>
    </row>
    <row r="76" customFormat="false" ht="15" hidden="false" customHeight="false" outlineLevel="0" collapsed="false">
      <c r="A76" s="25" t="n">
        <f aca="false">A75+25</f>
        <v>75</v>
      </c>
      <c r="B76" s="25" t="n">
        <f aca="false">INDEX('Mô phỏng'!$E$5:$E$1005,$A76+1)</f>
        <v>27920168.0672269</v>
      </c>
      <c r="C76" s="25" t="n">
        <f aca="false">INDEX('Mô phỏng'!$D$5:$D$1005,$A76+1)</f>
        <v>342655500</v>
      </c>
      <c r="D76" s="25" t="n">
        <f aca="false">INDEX('Mô phỏng'!$C$5:$C$1005,$A76+1)</f>
        <v>199050500</v>
      </c>
      <c r="E76" s="25" t="n">
        <f aca="false">B76-C76</f>
        <v>-314735331.932773</v>
      </c>
    </row>
    <row r="77" customFormat="false" ht="15" hidden="false" customHeight="false" outlineLevel="0" collapsed="false">
      <c r="A77" s="25" t="n">
        <f aca="false">A76+25</f>
        <v>100</v>
      </c>
      <c r="B77" s="25" t="n">
        <f aca="false">INDEX('Mô phỏng'!$E$5:$E$1005,$A77+1)</f>
        <v>37226890.7563025</v>
      </c>
      <c r="C77" s="25" t="n">
        <f aca="false">INDEX('Mô phỏng'!$D$5:$D$1005,$A77+1)</f>
        <v>343574000</v>
      </c>
      <c r="D77" s="25" t="n">
        <f aca="false">INDEX('Mô phỏng'!$C$5:$C$1005,$A77+1)</f>
        <v>199969000</v>
      </c>
      <c r="E77" s="25" t="n">
        <f aca="false">B77-C77</f>
        <v>-306347109.243697</v>
      </c>
    </row>
    <row r="78" customFormat="false" ht="15" hidden="false" customHeight="false" outlineLevel="0" collapsed="false">
      <c r="A78" s="25" t="n">
        <f aca="false">A77+25</f>
        <v>125</v>
      </c>
      <c r="B78" s="25" t="n">
        <f aca="false">INDEX('Mô phỏng'!$E$5:$E$1005,$A78+1)</f>
        <v>46533613.4453782</v>
      </c>
      <c r="C78" s="25" t="n">
        <f aca="false">INDEX('Mô phỏng'!$D$5:$D$1005,$A78+1)</f>
        <v>344492500</v>
      </c>
      <c r="D78" s="25" t="n">
        <f aca="false">INDEX('Mô phỏng'!$C$5:$C$1005,$A78+1)</f>
        <v>200887500</v>
      </c>
      <c r="E78" s="25" t="n">
        <f aca="false">B78-C78</f>
        <v>-297958886.554622</v>
      </c>
    </row>
    <row r="79" customFormat="false" ht="15" hidden="false" customHeight="false" outlineLevel="0" collapsed="false">
      <c r="A79" s="25" t="n">
        <f aca="false">A78+25</f>
        <v>150</v>
      </c>
      <c r="B79" s="25" t="n">
        <f aca="false">INDEX('Mô phỏng'!$E$5:$E$1005,$A79+1)</f>
        <v>55840336.1344538</v>
      </c>
      <c r="C79" s="25" t="n">
        <f aca="false">INDEX('Mô phỏng'!$D$5:$D$1005,$A79+1)</f>
        <v>354585000</v>
      </c>
      <c r="D79" s="25" t="n">
        <f aca="false">INDEX('Mô phỏng'!$C$5:$C$1005,$A79+1)</f>
        <v>210980000</v>
      </c>
      <c r="E79" s="25" t="n">
        <f aca="false">B79-C79</f>
        <v>-298744663.865546</v>
      </c>
    </row>
    <row r="80" customFormat="false" ht="15" hidden="false" customHeight="false" outlineLevel="0" collapsed="false">
      <c r="A80" s="25" t="n">
        <f aca="false">A79+25</f>
        <v>175</v>
      </c>
      <c r="B80" s="25" t="n">
        <f aca="false">INDEX('Mô phỏng'!$E$5:$E$1005,$A80+1)</f>
        <v>65147058.8235294</v>
      </c>
      <c r="C80" s="25" t="n">
        <f aca="false">INDEX('Mô phỏng'!$D$5:$D$1005,$A80+1)</f>
        <v>383025500</v>
      </c>
      <c r="D80" s="25" t="n">
        <f aca="false">INDEX('Mô phỏng'!$C$5:$C$1005,$A80+1)</f>
        <v>239420500</v>
      </c>
      <c r="E80" s="25" t="n">
        <f aca="false">B80-C80</f>
        <v>-317878441.176471</v>
      </c>
    </row>
    <row r="81" customFormat="false" ht="15" hidden="false" customHeight="false" outlineLevel="0" collapsed="false">
      <c r="A81" s="25" t="n">
        <f aca="false">A80+25</f>
        <v>200</v>
      </c>
      <c r="B81" s="25" t="n">
        <f aca="false">INDEX('Mô phỏng'!$E$5:$E$1005,$A81+1)</f>
        <v>74453781.512605</v>
      </c>
      <c r="C81" s="25" t="n">
        <f aca="false">INDEX('Mô phỏng'!$D$5:$D$1005,$A81+1)</f>
        <v>402292000</v>
      </c>
      <c r="D81" s="25" t="n">
        <f aca="false">INDEX('Mô phỏng'!$C$5:$C$1005,$A81+1)</f>
        <v>258687000</v>
      </c>
      <c r="E81" s="25" t="n">
        <f aca="false">B81-C81</f>
        <v>-327838218.487395</v>
      </c>
    </row>
    <row r="82" customFormat="false" ht="15" hidden="false" customHeight="false" outlineLevel="0" collapsed="false">
      <c r="A82" s="25" t="n">
        <f aca="false">A81+25</f>
        <v>225</v>
      </c>
      <c r="B82" s="25" t="n">
        <f aca="false">INDEX('Mô phỏng'!$E$5:$E$1005,$A82+1)</f>
        <v>83760504.2016807</v>
      </c>
      <c r="C82" s="25" t="n">
        <f aca="false">INDEX('Mô phỏng'!$D$5:$D$1005,$A82+1)</f>
        <v>430732500</v>
      </c>
      <c r="D82" s="25" t="n">
        <f aca="false">INDEX('Mô phỏng'!$C$5:$C$1005,$A82+1)</f>
        <v>287127500</v>
      </c>
      <c r="E82" s="25" t="n">
        <f aca="false">B82-C82</f>
        <v>-346971995.798319</v>
      </c>
    </row>
    <row r="83" customFormat="false" ht="15" hidden="false" customHeight="false" outlineLevel="0" collapsed="false">
      <c r="A83" s="25" t="n">
        <f aca="false">A82+25</f>
        <v>250</v>
      </c>
      <c r="B83" s="25" t="n">
        <f aca="false">INDEX('Mô phỏng'!$E$5:$E$1005,$A83+1)</f>
        <v>93067226.8907563</v>
      </c>
      <c r="C83" s="25" t="n">
        <f aca="false">INDEX('Mô phỏng'!$D$5:$D$1005,$A83+1)</f>
        <v>449999000</v>
      </c>
      <c r="D83" s="25" t="n">
        <f aca="false">INDEX('Mô phỏng'!$C$5:$C$1005,$A83+1)</f>
        <v>306394000</v>
      </c>
      <c r="E83" s="25" t="n">
        <f aca="false">B83-C83</f>
        <v>-356931773.109244</v>
      </c>
    </row>
    <row r="84" customFormat="false" ht="15" hidden="false" customHeight="false" outlineLevel="0" collapsed="false">
      <c r="A84" s="25" t="n">
        <f aca="false">A83+25</f>
        <v>275</v>
      </c>
      <c r="B84" s="25" t="n">
        <f aca="false">INDEX('Mô phỏng'!$E$5:$E$1005,$A84+1)</f>
        <v>102373949.579832</v>
      </c>
      <c r="C84" s="25" t="n">
        <f aca="false">INDEX('Mô phỏng'!$D$5:$D$1005,$A84+1)</f>
        <v>478439500</v>
      </c>
      <c r="D84" s="25" t="n">
        <f aca="false">INDEX('Mô phỏng'!$C$5:$C$1005,$A84+1)</f>
        <v>334834500</v>
      </c>
      <c r="E84" s="25" t="n">
        <f aca="false">B84-C84</f>
        <v>-376065550.420168</v>
      </c>
    </row>
    <row r="85" customFormat="false" ht="15" hidden="false" customHeight="false" outlineLevel="0" collapsed="false">
      <c r="A85" s="25" t="n">
        <f aca="false">A84+25</f>
        <v>300</v>
      </c>
      <c r="B85" s="25" t="n">
        <f aca="false">INDEX('Mô phỏng'!$E$5:$E$1005,$A85+1)</f>
        <v>111680672.268908</v>
      </c>
      <c r="C85" s="25" t="n">
        <f aca="false">INDEX('Mô phỏng'!$D$5:$D$1005,$A85+1)</f>
        <v>497706000</v>
      </c>
      <c r="D85" s="25" t="n">
        <f aca="false">INDEX('Mô phỏng'!$C$5:$C$1005,$A85+1)</f>
        <v>354101000</v>
      </c>
      <c r="E85" s="25" t="n">
        <f aca="false">B85-C85</f>
        <v>-386025327.731092</v>
      </c>
    </row>
    <row r="86" customFormat="false" ht="15" hidden="false" customHeight="false" outlineLevel="0" collapsed="false">
      <c r="A86" s="25" t="n">
        <f aca="false">A85+25</f>
        <v>325</v>
      </c>
      <c r="B86" s="25" t="n">
        <f aca="false">INDEX('Mô phỏng'!$E$5:$E$1005,$A86+1)</f>
        <v>120987394.957983</v>
      </c>
      <c r="C86" s="25" t="n">
        <f aca="false">INDEX('Mô phỏng'!$D$5:$D$1005,$A86+1)</f>
        <v>526146500</v>
      </c>
      <c r="D86" s="25" t="n">
        <f aca="false">INDEX('Mô phỏng'!$C$5:$C$1005,$A86+1)</f>
        <v>382541500</v>
      </c>
      <c r="E86" s="25" t="n">
        <f aca="false">B86-C86</f>
        <v>-405159105.042017</v>
      </c>
    </row>
    <row r="87" customFormat="false" ht="15" hidden="false" customHeight="false" outlineLevel="0" collapsed="false">
      <c r="A87" s="25" t="n">
        <f aca="false">A86+25</f>
        <v>350</v>
      </c>
      <c r="B87" s="25" t="n">
        <f aca="false">INDEX('Mô phỏng'!$E$5:$E$1005,$A87+1)</f>
        <v>130294117.647059</v>
      </c>
      <c r="C87" s="25" t="n">
        <f aca="false">INDEX('Mô phỏng'!$D$5:$D$1005,$A87+1)</f>
        <v>545413000</v>
      </c>
      <c r="D87" s="25" t="n">
        <f aca="false">INDEX('Mô phỏng'!$C$5:$C$1005,$A87+1)</f>
        <v>401808000</v>
      </c>
      <c r="E87" s="25" t="n">
        <f aca="false">B87-C87</f>
        <v>-415118882.352941</v>
      </c>
    </row>
    <row r="88" customFormat="false" ht="15" hidden="false" customHeight="false" outlineLevel="0" collapsed="false">
      <c r="A88" s="25" t="n">
        <f aca="false">A87+25</f>
        <v>375</v>
      </c>
      <c r="B88" s="25" t="n">
        <f aca="false">INDEX('Mô phỏng'!$E$5:$E$1005,$A88+1)</f>
        <v>139600840.336134</v>
      </c>
      <c r="C88" s="25" t="n">
        <f aca="false">INDEX('Mô phỏng'!$D$5:$D$1005,$A88+1)</f>
        <v>573853500</v>
      </c>
      <c r="D88" s="25" t="n">
        <f aca="false">INDEX('Mô phỏng'!$C$5:$C$1005,$A88+1)</f>
        <v>430248500</v>
      </c>
      <c r="E88" s="25" t="n">
        <f aca="false">B88-C88</f>
        <v>-434252659.663866</v>
      </c>
    </row>
    <row r="89" customFormat="false" ht="15" hidden="false" customHeight="false" outlineLevel="0" collapsed="false">
      <c r="A89" s="25" t="n">
        <f aca="false">A88+25</f>
        <v>400</v>
      </c>
      <c r="B89" s="25" t="n">
        <f aca="false">INDEX('Mô phỏng'!$E$5:$E$1005,$A89+1)</f>
        <v>148907563.02521</v>
      </c>
      <c r="C89" s="25" t="n">
        <f aca="false">INDEX('Mô phỏng'!$D$5:$D$1005,$A89+1)</f>
        <v>593120000</v>
      </c>
      <c r="D89" s="25" t="n">
        <f aca="false">INDEX('Mô phỏng'!$C$5:$C$1005,$A89+1)</f>
        <v>449515000</v>
      </c>
      <c r="E89" s="25" t="n">
        <f aca="false">B89-C89</f>
        <v>-444212436.97479</v>
      </c>
    </row>
    <row r="90" customFormat="false" ht="15" hidden="false" customHeight="false" outlineLevel="0" collapsed="false">
      <c r="A90" s="25" t="n">
        <f aca="false">A89+25</f>
        <v>425</v>
      </c>
      <c r="B90" s="25" t="n">
        <f aca="false">INDEX('Mô phỏng'!$E$5:$E$1005,$A90+1)</f>
        <v>158214285.714286</v>
      </c>
      <c r="C90" s="25" t="n">
        <f aca="false">INDEX('Mô phỏng'!$D$5:$D$1005,$A90+1)</f>
        <v>621560500</v>
      </c>
      <c r="D90" s="25" t="n">
        <f aca="false">INDEX('Mô phỏng'!$C$5:$C$1005,$A90+1)</f>
        <v>477955500</v>
      </c>
      <c r="E90" s="25" t="n">
        <f aca="false">B90-C90</f>
        <v>-463346214.285714</v>
      </c>
    </row>
    <row r="91" customFormat="false" ht="15" hidden="false" customHeight="false" outlineLevel="0" collapsed="false">
      <c r="A91" s="25" t="n">
        <f aca="false">A90+25</f>
        <v>450</v>
      </c>
      <c r="B91" s="25" t="n">
        <f aca="false">INDEX('Mô phỏng'!$E$5:$E$1005,$A91+1)</f>
        <v>167521008.403361</v>
      </c>
      <c r="C91" s="25" t="n">
        <f aca="false">INDEX('Mô phỏng'!$D$5:$D$1005,$A91+1)</f>
        <v>640827000</v>
      </c>
      <c r="D91" s="25" t="n">
        <f aca="false">INDEX('Mô phỏng'!$C$5:$C$1005,$A91+1)</f>
        <v>497222000</v>
      </c>
      <c r="E91" s="25" t="n">
        <f aca="false">B91-C91</f>
        <v>-473305991.596639</v>
      </c>
    </row>
    <row r="92" customFormat="false" ht="15" hidden="false" customHeight="false" outlineLevel="0" collapsed="false">
      <c r="A92" s="25" t="n">
        <f aca="false">A91+25</f>
        <v>475</v>
      </c>
      <c r="B92" s="25" t="n">
        <f aca="false">INDEX('Mô phỏng'!$E$5:$E$1005,$A92+1)</f>
        <v>176827731.092437</v>
      </c>
      <c r="C92" s="25" t="n">
        <f aca="false">INDEX('Mô phỏng'!$D$5:$D$1005,$A92+1)</f>
        <v>669267500</v>
      </c>
      <c r="D92" s="25" t="n">
        <f aca="false">INDEX('Mô phỏng'!$C$5:$C$1005,$A92+1)</f>
        <v>525662500</v>
      </c>
      <c r="E92" s="25" t="n">
        <f aca="false">B92-C92</f>
        <v>-492439768.907563</v>
      </c>
    </row>
    <row r="93" customFormat="false" ht="15" hidden="false" customHeight="false" outlineLevel="0" collapsed="false">
      <c r="A93" s="25" t="n">
        <f aca="false">A92+25</f>
        <v>500</v>
      </c>
      <c r="B93" s="25" t="n">
        <f aca="false">INDEX('Mô phỏng'!$E$5:$E$1005,$A93+1)</f>
        <v>186134453.781513</v>
      </c>
      <c r="C93" s="25" t="n">
        <f aca="false">INDEX('Mô phỏng'!$D$5:$D$1005,$A93+1)</f>
        <v>688534000</v>
      </c>
      <c r="D93" s="25" t="n">
        <f aca="false">INDEX('Mô phỏng'!$C$5:$C$1005,$A93+1)</f>
        <v>544929000</v>
      </c>
      <c r="E93" s="25" t="n">
        <f aca="false">B93-C93</f>
        <v>-502399546.218487</v>
      </c>
    </row>
    <row r="94" customFormat="false" ht="15" hidden="false" customHeight="false" outlineLevel="0" collapsed="false">
      <c r="A94" s="25" t="n">
        <f aca="false">A93+25</f>
        <v>525</v>
      </c>
      <c r="B94" s="25" t="n">
        <f aca="false">INDEX('Mô phỏng'!$E$5:$E$1005,$A94+1)</f>
        <v>195441176.470588</v>
      </c>
      <c r="C94" s="25" t="n">
        <f aca="false">INDEX('Mô phỏng'!$D$5:$D$1005,$A94+1)</f>
        <v>716974500</v>
      </c>
      <c r="D94" s="25" t="n">
        <f aca="false">INDEX('Mô phỏng'!$C$5:$C$1005,$A94+1)</f>
        <v>573369500</v>
      </c>
      <c r="E94" s="25" t="n">
        <f aca="false">B94-C94</f>
        <v>-521533323.529412</v>
      </c>
    </row>
    <row r="95" customFormat="false" ht="15" hidden="false" customHeight="false" outlineLevel="0" collapsed="false">
      <c r="A95" s="25" t="n">
        <f aca="false">A94+25</f>
        <v>550</v>
      </c>
      <c r="B95" s="25" t="n">
        <f aca="false">INDEX('Mô phỏng'!$E$5:$E$1005,$A95+1)</f>
        <v>204747899.159664</v>
      </c>
      <c r="C95" s="25" t="n">
        <f aca="false">INDEX('Mô phỏng'!$D$5:$D$1005,$A95+1)</f>
        <v>736241000</v>
      </c>
      <c r="D95" s="25" t="n">
        <f aca="false">INDEX('Mô phỏng'!$C$5:$C$1005,$A95+1)</f>
        <v>592636000</v>
      </c>
      <c r="E95" s="25" t="n">
        <f aca="false">B95-C95</f>
        <v>-531493100.840336</v>
      </c>
    </row>
    <row r="96" customFormat="false" ht="15" hidden="false" customHeight="false" outlineLevel="0" collapsed="false">
      <c r="A96" s="25" t="n">
        <f aca="false">A95+25</f>
        <v>575</v>
      </c>
      <c r="B96" s="25" t="n">
        <f aca="false">INDEX('Mô phỏng'!$E$5:$E$1005,$A96+1)</f>
        <v>214054621.84874</v>
      </c>
      <c r="C96" s="25" t="n">
        <f aca="false">INDEX('Mô phỏng'!$D$5:$D$1005,$A96+1)</f>
        <v>764681500</v>
      </c>
      <c r="D96" s="25" t="n">
        <f aca="false">INDEX('Mô phỏng'!$C$5:$C$1005,$A96+1)</f>
        <v>621076500</v>
      </c>
      <c r="E96" s="25" t="n">
        <f aca="false">B96-C96</f>
        <v>-550626878.151261</v>
      </c>
    </row>
    <row r="97" customFormat="false" ht="15" hidden="false" customHeight="false" outlineLevel="0" collapsed="false">
      <c r="A97" s="25" t="n">
        <f aca="false">A96+25</f>
        <v>600</v>
      </c>
      <c r="B97" s="25" t="n">
        <f aca="false">INDEX('Mô phỏng'!$E$5:$E$1005,$A97+1)</f>
        <v>223361344.537815</v>
      </c>
      <c r="C97" s="25" t="n">
        <f aca="false">INDEX('Mô phỏng'!$D$5:$D$1005,$A97+1)</f>
        <v>783948000</v>
      </c>
      <c r="D97" s="25" t="n">
        <f aca="false">INDEX('Mô phỏng'!$C$5:$C$1005,$A97+1)</f>
        <v>640343000</v>
      </c>
      <c r="E97" s="25" t="n">
        <f aca="false">B97-C97</f>
        <v>-560586655.462185</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conditionalFormatting sqref="B62:G68">
    <cfRule type="cellIs" priority="6" operator="lessThan" aboveAverage="0" equalAverage="0" bottom="0" percent="0" rank="0" text="" dxfId="0">
      <formula>$B$57</formula>
    </cfRule>
    <cfRule type="cellIs" priority="7" operator="greaterThanOrEqual" aboveAverage="0" equalAverage="0" bottom="0" percent="0" rank="0" text="" dxfId="1">
      <formula>$B$57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222</v>
      </c>
    </row>
    <row r="2" customFormat="false" ht="15" hidden="false" customHeight="false" outlineLevel="0" collapsed="false">
      <c r="A2" s="4" t="s">
        <v>223</v>
      </c>
    </row>
    <row r="4" customFormat="false" ht="43.5" hidden="false" customHeight="true" outlineLevel="0" collapsed="false">
      <c r="A4" s="18" t="s">
        <v>224</v>
      </c>
      <c r="B4" s="18" t="s">
        <v>225</v>
      </c>
      <c r="C4" s="18" t="s">
        <v>226</v>
      </c>
      <c r="D4" s="18" t="s">
        <v>227</v>
      </c>
      <c r="E4" s="18" t="s">
        <v>228</v>
      </c>
      <c r="F4" s="18" t="s">
        <v>229</v>
      </c>
    </row>
    <row r="5" customFormat="false" ht="15" hidden="false" customHeight="false" outlineLevel="0" collapsed="false">
      <c r="A5" s="37" t="s">
        <v>230</v>
      </c>
      <c r="B5" s="19" t="s">
        <v>231</v>
      </c>
      <c r="C5" s="15" t="n">
        <v>0.1</v>
      </c>
      <c r="D5" s="32" t="n">
        <f aca="false">C5*'Chi phí'!$I$59</f>
        <v>45935670</v>
      </c>
      <c r="E5" s="12" t="n">
        <f aca="false">D5</f>
        <v>45935670</v>
      </c>
      <c r="F5" s="22" t="n">
        <v>1</v>
      </c>
    </row>
    <row r="6" customFormat="false" ht="15" hidden="false" customHeight="false" outlineLevel="0" collapsed="false">
      <c r="A6" s="37" t="s">
        <v>232</v>
      </c>
      <c r="B6" s="19" t="s">
        <v>233</v>
      </c>
      <c r="C6" s="15" t="n">
        <v>0.3</v>
      </c>
      <c r="D6" s="32" t="n">
        <f aca="false">C6*'Chi phí'!$I$59</f>
        <v>137807010</v>
      </c>
      <c r="E6" s="12" t="n">
        <f aca="false">E5+D6</f>
        <v>183742680</v>
      </c>
      <c r="F6" s="22" t="n">
        <v>1</v>
      </c>
    </row>
    <row r="7" customFormat="false" ht="15" hidden="false" customHeight="false" outlineLevel="0" collapsed="false">
      <c r="A7" s="37" t="s">
        <v>234</v>
      </c>
      <c r="B7" s="19" t="s">
        <v>235</v>
      </c>
      <c r="C7" s="15" t="n">
        <v>0.25</v>
      </c>
      <c r="D7" s="32" t="n">
        <f aca="false">C7*'Chi phí'!$I$59</f>
        <v>114839175</v>
      </c>
      <c r="E7" s="12" t="n">
        <f aca="false">E6+D7</f>
        <v>298581855</v>
      </c>
      <c r="F7" s="22" t="n">
        <v>1</v>
      </c>
    </row>
    <row r="8" customFormat="false" ht="15" hidden="false" customHeight="false" outlineLevel="0" collapsed="false">
      <c r="A8" s="37" t="s">
        <v>236</v>
      </c>
      <c r="B8" s="19" t="s">
        <v>237</v>
      </c>
      <c r="C8" s="15" t="n">
        <v>0.35</v>
      </c>
      <c r="D8" s="32" t="n">
        <f aca="false">C8*'Chi phí'!$I$59</f>
        <v>160774845</v>
      </c>
      <c r="E8" s="12" t="n">
        <f aca="false">E7+D8</f>
        <v>459356700</v>
      </c>
      <c r="F8" s="22" t="n">
        <v>0</v>
      </c>
    </row>
    <row r="9" customFormat="false" ht="15" hidden="false" customHeight="false" outlineLevel="0" collapsed="false">
      <c r="A9" s="26" t="s">
        <v>238</v>
      </c>
      <c r="C9" s="38" t="n">
        <f aca="false">SUM(C5:C8)</f>
        <v>1</v>
      </c>
      <c r="D9" s="39" t="n">
        <f aca="false">SUM(D5:D8)</f>
        <v>459356700</v>
      </c>
      <c r="E9" s="9" t="str">
        <f aca="false">IF(ABS(C9-1)&lt;0.0001,"OK: tổng = 100%","LỆCH: tổng tỷ lệ phải bằng 100%")</f>
        <v>OK: tổng = 100%</v>
      </c>
    </row>
    <row r="11" customFormat="false" ht="15" hidden="false" customHeight="false" outlineLevel="0" collapsed="false">
      <c r="A11" s="5" t="s">
        <v>239</v>
      </c>
      <c r="B11" s="6"/>
      <c r="C11" s="6"/>
      <c r="D11" s="6"/>
      <c r="E11" s="6"/>
      <c r="F11" s="6"/>
    </row>
    <row r="12" customFormat="false" ht="15" hidden="false" customHeight="false" outlineLevel="0" collapsed="false">
      <c r="A12" s="33" t="s">
        <v>240</v>
      </c>
      <c r="B12" s="34" t="n">
        <f aca="false">SUMPRODUCT(D5:D8,F5:F8)</f>
        <v>298581855</v>
      </c>
    </row>
    <row r="13" customFormat="false" ht="15" hidden="false" customHeight="false" outlineLevel="0" collapsed="false">
      <c r="A13" s="7" t="s">
        <v>241</v>
      </c>
      <c r="B13" s="14" t="n">
        <f aca="false">IF(D9=0,0,B12/D9)</f>
        <v>0.65</v>
      </c>
    </row>
    <row r="14" customFormat="false" ht="15" hidden="false" customHeight="false" outlineLevel="0" collapsed="false">
      <c r="A14" s="7" t="s">
        <v>242</v>
      </c>
      <c r="B14" s="12" t="n">
        <f aca="false">D9-B12</f>
        <v>160774845</v>
      </c>
    </row>
    <row r="15" customFormat="false" ht="15" hidden="false" customHeight="false" outlineLevel="0" collapsed="false">
      <c r="A15" s="7" t="s">
        <v>243</v>
      </c>
      <c r="B15" s="32" t="n">
        <f aca="false">'Chi phí'!$I$60</f>
        <v>94928571.4285714</v>
      </c>
    </row>
    <row r="16" customFormat="false" ht="15" hidden="false" customHeight="false" outlineLevel="0" collapsed="false">
      <c r="A16" s="7" t="s">
        <v>244</v>
      </c>
      <c r="B16" s="12" t="n">
        <f aca="false">B15-B14</f>
        <v>-65846273.5714286</v>
      </c>
    </row>
    <row r="17" customFormat="false" ht="15" hidden="false" customHeight="false" outlineLevel="0" collapsed="false">
      <c r="A17" s="33" t="s">
        <v>245</v>
      </c>
      <c r="B17" s="40" t="n">
        <f aca="false">B15-D9</f>
        <v>-364428128.571429</v>
      </c>
    </row>
    <row r="19" customFormat="false" ht="51.75" hidden="false" customHeight="true" outlineLevel="0" collapsed="false">
      <c r="A19" s="41" t="s">
        <v>246</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5" min="2" style="0" width="26"/>
  </cols>
  <sheetData>
    <row r="1" customFormat="false" ht="17.35" hidden="false" customHeight="false" outlineLevel="0" collapsed="false">
      <c r="A1" s="1" t="s">
        <v>247</v>
      </c>
    </row>
    <row r="2" customFormat="false" ht="15" hidden="false" customHeight="false" outlineLevel="0" collapsed="false">
      <c r="A2" s="4" t="s">
        <v>248</v>
      </c>
    </row>
    <row r="4" customFormat="false" ht="30" hidden="false" customHeight="true" outlineLevel="0" collapsed="false">
      <c r="A4" s="29" t="s">
        <v>249</v>
      </c>
      <c r="B4" s="18" t="s">
        <v>250</v>
      </c>
      <c r="C4" s="18" t="s">
        <v>251</v>
      </c>
      <c r="D4" s="18" t="s">
        <v>252</v>
      </c>
      <c r="E4" s="18" t="s">
        <v>253</v>
      </c>
    </row>
    <row r="5" customFormat="false" ht="42" hidden="false" customHeight="true" outlineLevel="0" collapsed="false">
      <c r="A5" s="7" t="s">
        <v>254</v>
      </c>
      <c r="B5" s="10" t="s">
        <v>255</v>
      </c>
      <c r="C5" s="42" t="s">
        <v>256</v>
      </c>
      <c r="D5" s="42" t="s">
        <v>257</v>
      </c>
      <c r="E5" s="42" t="s">
        <v>258</v>
      </c>
    </row>
    <row r="6" customFormat="false" ht="15" hidden="false" customHeight="false" outlineLevel="0" collapsed="false">
      <c r="A6" s="7" t="s">
        <v>259</v>
      </c>
      <c r="B6" s="43" t="n">
        <v>1</v>
      </c>
      <c r="C6" s="22" t="n">
        <v>2</v>
      </c>
      <c r="D6" s="22" t="n">
        <v>2</v>
      </c>
      <c r="E6" s="22" t="n">
        <v>2</v>
      </c>
    </row>
    <row r="7" customFormat="false" ht="15" hidden="false" customHeight="false" outlineLevel="0" collapsed="false">
      <c r="A7" s="7" t="s">
        <v>24</v>
      </c>
      <c r="B7" s="32" t="n">
        <f aca="false">'Giả định'!$B$4</f>
        <v>300</v>
      </c>
      <c r="C7" s="13" t="n">
        <v>300</v>
      </c>
      <c r="D7" s="13" t="n">
        <v>300</v>
      </c>
      <c r="E7" s="13" t="n">
        <v>300</v>
      </c>
    </row>
    <row r="8" customFormat="false" ht="15" hidden="false" customHeight="false" outlineLevel="0" collapsed="false">
      <c r="A8" s="7" t="s">
        <v>260</v>
      </c>
      <c r="B8" s="44" t="n">
        <f aca="false">'Giả định'!$B$5</f>
        <v>0.85</v>
      </c>
      <c r="C8" s="44" t="n">
        <f aca="false">'Giả định'!$B$5</f>
        <v>0.85</v>
      </c>
      <c r="D8" s="44" t="n">
        <f aca="false">'Giả định'!$B$5</f>
        <v>0.85</v>
      </c>
      <c r="E8" s="44" t="n">
        <f aca="false">'Giả định'!$B$5</f>
        <v>0.85</v>
      </c>
    </row>
    <row r="9" customFormat="false" ht="15" hidden="false" customHeight="false" outlineLevel="0" collapsed="false">
      <c r="A9" s="7" t="s">
        <v>261</v>
      </c>
      <c r="B9" s="12" t="n">
        <f aca="false">ROUND(B7*B8,0)</f>
        <v>255</v>
      </c>
      <c r="C9" s="12" t="n">
        <f aca="false">ROUND(C7*C8,0)</f>
        <v>255</v>
      </c>
      <c r="D9" s="12" t="n">
        <f aca="false">ROUND(D7*D8,0)</f>
        <v>255</v>
      </c>
      <c r="E9" s="12" t="n">
        <f aca="false">ROUND(E7*E8,0)</f>
        <v>255</v>
      </c>
    </row>
    <row r="10" customFormat="false" ht="15" hidden="false" customHeight="false" outlineLevel="0" collapsed="false">
      <c r="A10" s="7" t="s">
        <v>262</v>
      </c>
      <c r="B10" s="32" t="n">
        <f aca="false">'Chi phí'!$E$5*'Chi phí'!$F$5+'Chi phí'!$E$6*'Chi phí'!$F$6</f>
        <v>7000000</v>
      </c>
      <c r="C10" s="13" t="n">
        <v>4200000</v>
      </c>
      <c r="D10" s="13" t="n">
        <v>3300000</v>
      </c>
      <c r="E10" s="13" t="n">
        <v>7000000</v>
      </c>
    </row>
    <row r="11" customFormat="false" ht="15" hidden="false" customHeight="false" outlineLevel="0" collapsed="false">
      <c r="A11" s="7" t="s">
        <v>263</v>
      </c>
      <c r="B11" s="45" t="n">
        <f aca="false">'Giả định'!$B$19</f>
        <v>1.4</v>
      </c>
      <c r="C11" s="45" t="n">
        <f aca="false">'Giả định'!$B$19</f>
        <v>1.4</v>
      </c>
      <c r="D11" s="45" t="n">
        <f aca="false">'Giả định'!$B$19</f>
        <v>1.4</v>
      </c>
      <c r="E11" s="45" t="n">
        <f aca="false">'Giả định'!$B$19</f>
        <v>1.4</v>
      </c>
    </row>
    <row r="12" customFormat="false" ht="15" hidden="false" customHeight="false" outlineLevel="0" collapsed="false">
      <c r="A12" s="7" t="s">
        <v>264</v>
      </c>
      <c r="B12" s="32" t="n">
        <f aca="false">'Giả định'!$B$20</f>
        <v>500000</v>
      </c>
      <c r="C12" s="8" t="n">
        <v>1450000</v>
      </c>
      <c r="D12" s="8" t="n">
        <v>1300000</v>
      </c>
      <c r="E12" s="8" t="n">
        <v>2100000</v>
      </c>
    </row>
    <row r="13" customFormat="false" ht="15" hidden="false" customHeight="false" outlineLevel="0" collapsed="false">
      <c r="A13" s="7" t="s">
        <v>40</v>
      </c>
      <c r="B13" s="12" t="n">
        <f aca="false">MAX('Giả định'!$B$9,ROUNDUP(B9/'Giả định'!$B$7,0)+'Giả định'!$B$8)</f>
        <v>27</v>
      </c>
      <c r="C13" s="12" t="n">
        <f aca="false">MAX('Giả định'!$B$9,ROUNDUP(C9/'Giả định'!$B$7,0)+'Giả định'!$B$8)</f>
        <v>27</v>
      </c>
      <c r="D13" s="12" t="n">
        <f aca="false">MAX('Giả định'!$B$9,ROUNDUP(D9/'Giả định'!$B$7,0)+'Giả định'!$B$8)</f>
        <v>27</v>
      </c>
      <c r="E13" s="12" t="n">
        <f aca="false">MAX('Giả định'!$B$9,ROUNDUP(E9/'Giả định'!$B$7,0)+'Giả định'!$B$8)</f>
        <v>27</v>
      </c>
    </row>
    <row r="15" customFormat="false" ht="15" hidden="false" customHeight="false" outlineLevel="0" collapsed="false">
      <c r="A15" s="5" t="s">
        <v>239</v>
      </c>
      <c r="B15" s="6"/>
      <c r="C15" s="6"/>
      <c r="D15" s="6"/>
      <c r="E15" s="6"/>
    </row>
    <row r="16" customFormat="false" ht="15" hidden="false" customHeight="false" outlineLevel="0" collapsed="false">
      <c r="A16" s="7" t="s">
        <v>187</v>
      </c>
      <c r="B16" s="12" t="n">
        <f aca="false">(B29+B30*B13+B31*B9+'Giả định'!$B$15*(B32+B33*B13+B34*B9))*(1+'Giả định'!$B$16)</f>
        <v>459356700</v>
      </c>
      <c r="C16" s="12" t="n">
        <f aca="false">(C29+C30*C13+C31*C9+'Giả định'!$B$15*(C32+C33*C13+C34*C9))*(1+'Giả định'!$B$16)</f>
        <v>259007100</v>
      </c>
      <c r="D16" s="12" t="n">
        <f aca="false">(D29+D30*D13+D31*D9+'Giả định'!$B$15*(D32+D33*D13+D34*D9))*(1+'Giả định'!$B$16)</f>
        <v>227733000</v>
      </c>
      <c r="E16" s="12" t="n">
        <f aca="false">(E29+E30*E13+E31*E9+'Giả định'!$B$15*(E32+E33*E13+E34*E9))*(1+'Giả định'!$B$16)</f>
        <v>356304300</v>
      </c>
    </row>
    <row r="17" customFormat="false" ht="15" hidden="false" customHeight="false" outlineLevel="0" collapsed="false">
      <c r="A17" s="7" t="s">
        <v>188</v>
      </c>
      <c r="B17" s="12" t="n">
        <f aca="false">B9*(B12/B11+B35)+'Giả định'!$B$24</f>
        <v>94928571.4285714</v>
      </c>
      <c r="C17" s="12" t="n">
        <f aca="false">C9*(C12/C11+C35)+'Giả định'!$B$24</f>
        <v>267964285.714286</v>
      </c>
      <c r="D17" s="12" t="n">
        <f aca="false">D9*(D12/D11+D35)+'Giả định'!$B$24</f>
        <v>240642857.142857</v>
      </c>
      <c r="E17" s="12" t="n">
        <f aca="false">E9*(E12/E11+E35)+'Giả định'!$B$24</f>
        <v>386357142.857143</v>
      </c>
    </row>
    <row r="18" customFormat="false" ht="15" hidden="false" customHeight="false" outlineLevel="0" collapsed="false">
      <c r="A18" s="33" t="s">
        <v>265</v>
      </c>
      <c r="B18" s="28" t="n">
        <f aca="false">B17-B16</f>
        <v>-364428128.571429</v>
      </c>
      <c r="C18" s="28" t="n">
        <f aca="false">C17-C16</f>
        <v>8957185.71428567</v>
      </c>
      <c r="D18" s="28" t="n">
        <f aca="false">D17-D16</f>
        <v>12909857.1428571</v>
      </c>
      <c r="E18" s="28" t="n">
        <f aca="false">E17-E16</f>
        <v>30052842.8571429</v>
      </c>
    </row>
    <row r="19" customFormat="false" ht="15" hidden="false" customHeight="false" outlineLevel="0" collapsed="false">
      <c r="A19" s="33" t="s">
        <v>266</v>
      </c>
      <c r="B19" s="46" t="str">
        <f aca="false">IF(B18+'Giả định'!$B$29&gt;=0,"KHÔNG LỖ","LỖ "&amp;ROUND(-(B18+'Giả định'!$B$29)/1000000,0)&amp;" triệu")</f>
        <v>LỖ 364 triệu</v>
      </c>
      <c r="C19" s="46" t="str">
        <f aca="false">IF(C18+'Giả định'!$B$29&gt;=0,"KHÔNG LỖ","LỖ "&amp;ROUND(-(C18+'Giả định'!$B$29)/1000000,0)&amp;" triệu")</f>
        <v>KHÔNG LỖ</v>
      </c>
      <c r="D19" s="46" t="str">
        <f aca="false">IF(D18+'Giả định'!$B$29&gt;=0,"KHÔNG LỖ","LỖ "&amp;ROUND(-(D18+'Giả định'!$B$29)/1000000,0)&amp;" triệu")</f>
        <v>KHÔNG LỖ</v>
      </c>
      <c r="E19" s="46" t="str">
        <f aca="false">IF(E18+'Giả định'!$B$29&gt;=0,"KHÔNG LỖ","LỖ "&amp;ROUND(-(E18+'Giả định'!$B$29)/1000000,0)&amp;" triệu")</f>
        <v>KHÔNG LỖ</v>
      </c>
    </row>
    <row r="20" customFormat="false" ht="15" hidden="false" customHeight="false" outlineLevel="0" collapsed="false">
      <c r="A20" s="7" t="s">
        <v>203</v>
      </c>
      <c r="B20" s="12" t="n">
        <f aca="false">B12/B11+B35-((B30+'Giả định'!$B$15*B33)/'Giả định'!$B$7+B31+'Giả định'!$B$15*B34)*(1+'Giả định'!$B$16)</f>
        <v>-581871.092436975</v>
      </c>
      <c r="C20" s="12" t="n">
        <f aca="false">C12/C11+C35-((C30+'Giả định'!$B$15*C33)/'Giả định'!$B$7+C31+'Giả định'!$B$15*C34)*(1+'Giả định'!$B$16)</f>
        <v>476640.336134454</v>
      </c>
      <c r="D20" s="12" t="n">
        <f aca="false">D12/D11+D35-((D30+'Giả định'!$B$15*D33)/'Giả định'!$B$7+D31+'Giả định'!$B$15*D34)*(1+'Giả định'!$B$16)</f>
        <v>485327.478991597</v>
      </c>
      <c r="E20" s="12" t="n">
        <f aca="false">E12/E11+E35-((E30+'Giả định'!$B$15*E33)/'Giả định'!$B$7+E31+'Giả định'!$B$15*E34)*(1+'Giả định'!$B$16)</f>
        <v>580566.050420168</v>
      </c>
    </row>
    <row r="21" customFormat="false" ht="15" hidden="false" customHeight="false" outlineLevel="0" collapsed="false">
      <c r="A21" s="7" t="s">
        <v>267</v>
      </c>
      <c r="B21" s="12" t="n">
        <f aca="false">(B29+'Giả định'!$B$15*B32+'Giả định'!$B$8*(B30+'Giả định'!$B$15*B33))*(1+'Giả định'!$B$16)</f>
        <v>211464000</v>
      </c>
      <c r="C21" s="12" t="n">
        <f aca="false">(C29+'Giả định'!$B$15*C32+'Giả định'!$B$8*(C30+'Giả định'!$B$15*C33))*(1+'Giả định'!$B$16)</f>
        <v>109828400</v>
      </c>
      <c r="D21" s="12" t="n">
        <f aca="false">(D29+'Giả định'!$B$15*D32+'Giả định'!$B$8*(D30+'Giả định'!$B$15*D33))*(1+'Giả định'!$B$16)</f>
        <v>108670100</v>
      </c>
      <c r="E21" s="12" t="n">
        <f aca="false">(E29+'Giả định'!$B$15*E32+'Giả định'!$B$8*(E30+'Giả định'!$B$15*E33))*(1+'Giả định'!$B$16)</f>
        <v>113432000</v>
      </c>
    </row>
    <row r="23" customFormat="false" ht="15" hidden="false" customHeight="false" outlineLevel="0" collapsed="false">
      <c r="A23" s="5" t="s">
        <v>268</v>
      </c>
      <c r="B23" s="6"/>
      <c r="C23" s="6"/>
      <c r="D23" s="6"/>
      <c r="E23" s="6"/>
    </row>
    <row r="24" customFormat="false" ht="15" hidden="false" customHeight="false" outlineLevel="0" collapsed="false">
      <c r="A24" s="33" t="s">
        <v>269</v>
      </c>
      <c r="B24" s="34" t="n">
        <f aca="false">IF(B9=0,0,(B16-'Giả định'!$B$29-'Giả định'!$B$24-B9*B35)*B11/B9)</f>
        <v>2500781.88235294</v>
      </c>
      <c r="C24" s="34" t="n">
        <f aca="false">IF(C9=0,0,(C16-'Giả định'!$B$29-'Giả định'!$B$24-C9*C35)*C11/C9)</f>
        <v>1400823.29411765</v>
      </c>
      <c r="D24" s="34" t="n">
        <f aca="false">IF(D9=0,0,(D16-'Giả định'!$B$29-'Giả định'!$B$24-D9*D35)*D11/D9)</f>
        <v>1229122.35294118</v>
      </c>
      <c r="E24" s="34" t="n">
        <f aca="false">IF(E9=0,0,(E16-'Giả định'!$B$29-'Giả định'!$B$24-E9*E35)*E11/E9)</f>
        <v>1935004</v>
      </c>
    </row>
    <row r="25" customFormat="false" ht="15" hidden="false" customHeight="false" outlineLevel="0" collapsed="false">
      <c r="A25" s="33" t="s">
        <v>270</v>
      </c>
      <c r="B25" s="34" t="n">
        <f aca="false">B10+(B18+'Giả định'!$B$29)/(B13*(1+'Giả định'!$B$15)*(1+'Giả định'!$B$16))</f>
        <v>-3487442.18744219</v>
      </c>
      <c r="C25" s="34" t="n">
        <f aca="false">C10+(C18+'Giả định'!$B$29)/(C13*(1+'Giả định'!$B$15)*(1+'Giả định'!$B$16))</f>
        <v>4457768.15776816</v>
      </c>
      <c r="D25" s="34" t="n">
        <f aca="false">D10+(D18+'Giả định'!$B$29)/(D13*(1+'Giả định'!$B$15)*(1+'Giả định'!$B$16))</f>
        <v>3671517.37151737</v>
      </c>
      <c r="E25" s="34" t="n">
        <f aca="false">E10+(E18+'Giả định'!$B$29)/(E13*(1+'Giả định'!$B$15)*(1+'Giả định'!$B$16))</f>
        <v>7864854.89818823</v>
      </c>
    </row>
    <row r="26" customFormat="false" ht="15" hidden="false" customHeight="false" outlineLevel="0" collapsed="false">
      <c r="A26" s="7" t="s">
        <v>271</v>
      </c>
      <c r="B26" s="12" t="str">
        <f aca="false">IF(B20&lt;=0,"Không bao giờ",MAX(0,B21-'Giả định'!$B$24)/B20)</f>
        <v>Không bao giờ</v>
      </c>
      <c r="C26" s="12" t="n">
        <f aca="false">IF(C20&lt;=0,"Không bao giờ",MAX(0,C21-'Giả định'!$B$24)/C20)</f>
        <v>230.421959019891</v>
      </c>
      <c r="D26" s="12" t="n">
        <f aca="false">IF(D20&lt;=0,"Không bao giờ",MAX(0,D21-'Giả định'!$B$24)/D20)</f>
        <v>223.910874005718</v>
      </c>
      <c r="E26" s="12" t="n">
        <f aca="false">IF(E20&lt;=0,"Không bao giờ",MAX(0,E21-'Giả định'!$B$24)/E20)</f>
        <v>195.381731187876</v>
      </c>
    </row>
    <row r="28" customFormat="false" ht="15" hidden="false" customHeight="false" outlineLevel="0" collapsed="false">
      <c r="A28" s="5" t="s">
        <v>272</v>
      </c>
      <c r="B28" s="6"/>
      <c r="C28" s="6"/>
      <c r="D28" s="6"/>
      <c r="E28" s="6"/>
    </row>
    <row r="29" customFormat="false" ht="15" hidden="false" customHeight="false" outlineLevel="0" collapsed="false">
      <c r="A29" s="9" t="s">
        <v>273</v>
      </c>
      <c r="B29" s="25" t="n">
        <f aca="false">CHOOSE(B$6,'Chi phí'!$C$77,'Chi phí'!$C$78)</f>
        <v>180500000</v>
      </c>
      <c r="C29" s="25" t="n">
        <f aca="false">CHOOSE(C$6,'Chi phí'!$C$77,'Chi phí'!$C$78)</f>
        <v>93300000</v>
      </c>
      <c r="D29" s="25" t="n">
        <f aca="false">CHOOSE(D$6,'Chi phí'!$C$77,'Chi phí'!$C$78)</f>
        <v>93300000</v>
      </c>
      <c r="E29" s="25" t="n">
        <f aca="false">CHOOSE(E$6,'Chi phí'!$C$77,'Chi phí'!$C$78)</f>
        <v>93300000</v>
      </c>
    </row>
    <row r="30" customFormat="false" ht="15" hidden="false" customHeight="false" outlineLevel="0" collapsed="false">
      <c r="A30" s="9" t="s">
        <v>274</v>
      </c>
      <c r="B30" s="25" t="n">
        <f aca="false">CHOOSE(B$6,'Chi phí'!$D$77,'Chi phí'!$D$78)-('Chi phí'!$J$5+'Chi phí'!$J$6)+B10</f>
        <v>7150000</v>
      </c>
      <c r="C30" s="25" t="n">
        <f aca="false">CHOOSE(C$6,'Chi phí'!$D$77,'Chi phí'!$D$78)-('Chi phí'!$J$5+'Chi phí'!$J$6)+C10</f>
        <v>4300000</v>
      </c>
      <c r="D30" s="25" t="n">
        <f aca="false">CHOOSE(D$6,'Chi phí'!$D$77,'Chi phí'!$D$78)-('Chi phí'!$J$5+'Chi phí'!$J$6)+D10</f>
        <v>3400000</v>
      </c>
      <c r="E30" s="25" t="n">
        <f aca="false">CHOOSE(E$6,'Chi phí'!$D$77,'Chi phí'!$D$78)-('Chi phí'!$J$5+'Chi phí'!$J$6)+E10</f>
        <v>7100000</v>
      </c>
    </row>
    <row r="31" customFormat="false" ht="15" hidden="false" customHeight="false" outlineLevel="0" collapsed="false">
      <c r="A31" s="9" t="s">
        <v>275</v>
      </c>
      <c r="B31" s="25" t="n">
        <f aca="false">CHOOSE(B$6,'Chi phí'!$E$77,'Chi phí'!$E$78)</f>
        <v>33400</v>
      </c>
      <c r="C31" s="25" t="n">
        <f aca="false">CHOOSE(C$6,'Chi phí'!$E$77,'Chi phí'!$E$78)</f>
        <v>20600</v>
      </c>
      <c r="D31" s="25" t="n">
        <f aca="false">CHOOSE(D$6,'Chi phí'!$E$77,'Chi phí'!$E$78)</f>
        <v>20600</v>
      </c>
      <c r="E31" s="25" t="n">
        <f aca="false">CHOOSE(E$6,'Chi phí'!$E$77,'Chi phí'!$E$78)</f>
        <v>20600</v>
      </c>
    </row>
    <row r="32" customFormat="false" ht="15" hidden="false" customHeight="false" outlineLevel="0" collapsed="false">
      <c r="A32" s="9" t="s">
        <v>276</v>
      </c>
      <c r="B32" s="25" t="n">
        <f aca="false">CHOOSE(B$6,'Chi phí'!$F$77,'Chi phí'!$F$78)</f>
        <v>20000000</v>
      </c>
      <c r="C32" s="25" t="n">
        <f aca="false">CHOOSE(C$6,'Chi phí'!$F$77,'Chi phí'!$F$78)</f>
        <v>9000000</v>
      </c>
      <c r="D32" s="25" t="n">
        <f aca="false">CHOOSE(D$6,'Chi phí'!$F$77,'Chi phí'!$F$78)</f>
        <v>9000000</v>
      </c>
      <c r="E32" s="25" t="n">
        <f aca="false">CHOOSE(E$6,'Chi phí'!$F$77,'Chi phí'!$F$78)</f>
        <v>9000000</v>
      </c>
    </row>
    <row r="33" customFormat="false" ht="15" hidden="false" customHeight="false" outlineLevel="0" collapsed="false">
      <c r="A33" s="9" t="s">
        <v>277</v>
      </c>
      <c r="B33" s="25" t="n">
        <f aca="false">CHOOSE(B$6,'Chi phí'!$G$77,'Chi phí'!$G$78)-('Chi phí'!$J$5*'Chi phí'!$G$5+'Chi phí'!$J$6*'Chi phí'!$G$6)+B10</f>
        <v>7000000</v>
      </c>
      <c r="C33" s="25" t="n">
        <f aca="false">CHOOSE(C$6,'Chi phí'!$G$77,'Chi phí'!$G$78)-('Chi phí'!$J$5*'Chi phí'!$G$5+'Chi phí'!$J$6*'Chi phí'!$G$6)+C10</f>
        <v>4200000</v>
      </c>
      <c r="D33" s="25" t="n">
        <f aca="false">CHOOSE(D$6,'Chi phí'!$G$77,'Chi phí'!$G$78)-('Chi phí'!$J$5*'Chi phí'!$G$5+'Chi phí'!$J$6*'Chi phí'!$G$6)+D10</f>
        <v>3300000</v>
      </c>
      <c r="E33" s="25" t="n">
        <f aca="false">CHOOSE(E$6,'Chi phí'!$G$77,'Chi phí'!$G$78)-('Chi phí'!$J$5*'Chi phí'!$G$5+'Chi phí'!$J$6*'Chi phí'!$G$6)+E10</f>
        <v>7000000</v>
      </c>
    </row>
    <row r="34" customFormat="false" ht="15" hidden="false" customHeight="false" outlineLevel="0" collapsed="false">
      <c r="A34" s="9" t="s">
        <v>278</v>
      </c>
      <c r="B34" s="25" t="n">
        <f aca="false">CHOOSE(B$6,'Chi phí'!$H$77,'Chi phí'!$H$78)</f>
        <v>0</v>
      </c>
      <c r="C34" s="25" t="n">
        <f aca="false">CHOOSE(C$6,'Chi phí'!$H$77,'Chi phí'!$H$78)</f>
        <v>0</v>
      </c>
      <c r="D34" s="25" t="n">
        <f aca="false">CHOOSE(D$6,'Chi phí'!$H$77,'Chi phí'!$H$78)</f>
        <v>0</v>
      </c>
      <c r="E34" s="25" t="n">
        <f aca="false">CHOOSE(E$6,'Chi phí'!$H$77,'Chi phí'!$H$78)</f>
        <v>0</v>
      </c>
    </row>
    <row r="35" customFormat="false" ht="15" hidden="false" customHeight="false" outlineLevel="0" collapsed="false">
      <c r="A35" s="9" t="s">
        <v>279</v>
      </c>
      <c r="B35" s="25" t="n">
        <f aca="false">(B9*0+(1-B8)/B8*'Giả định'!$B$21*'Giả định'!$B$22/B11)</f>
        <v>15126.0504201681</v>
      </c>
      <c r="C35" s="25" t="n">
        <f aca="false">(C9*0+(1-C8)/C8*'Giả định'!$B$21*'Giả định'!$B$22/C11)</f>
        <v>15126.0504201681</v>
      </c>
      <c r="D35" s="25" t="n">
        <f aca="false">(D9*0+(1-D8)/D8*'Giả định'!$B$21*'Giả định'!$B$22/D11)</f>
        <v>15126.0504201681</v>
      </c>
      <c r="E35" s="25" t="n">
        <f aca="false">(E9*0+(1-E8)/E8*'Giả định'!$B$21*'Giả định'!$B$22/E11)</f>
        <v>15126.0504201681</v>
      </c>
    </row>
    <row r="37" customFormat="false" ht="15" hidden="false" customHeight="false" outlineLevel="0" collapsed="false">
      <c r="A37" s="9" t="s">
        <v>280</v>
      </c>
      <c r="B37" s="9" t="str">
        <f aca="false">IF(ABS(B16-'Hòa vốn'!B8)&lt;1,"OK","LỆCH")</f>
        <v>OK</v>
      </c>
    </row>
    <row r="38" customFormat="false" ht="43.5" hidden="false" customHeight="true" outlineLevel="0" collapsed="false">
      <c r="A38" s="41" t="s">
        <v>281</v>
      </c>
      <c r="B38" s="41"/>
      <c r="C38" s="41"/>
      <c r="D38" s="41"/>
      <c r="E38" s="41"/>
    </row>
  </sheetData>
  <mergeCells count="1">
    <mergeCell ref="A38:E38"/>
  </mergeCells>
  <conditionalFormatting sqref="B19:E19">
    <cfRule type="cellIs" priority="2" operator="equal" aboveAverage="0" equalAverage="0" bottom="0" percent="0" rank="0" text="" dxfId="2">
      <formula>"KHÔNG LỖ"</formula>
    </cfRule>
  </conditionalFormatting>
  <conditionalFormatting sqref="B18:E18">
    <cfRule type="cellIs" priority="3" operator="lessThan" aboveAverage="0" equalAverage="0" bottom="0" percent="0" rank="0" text="" dxfId="3">
      <formula>0</formula>
    </cfRule>
  </conditionalFormatting>
  <dataValidations count="1">
    <dataValidation allowBlank="false" errorStyle="stop" operator="between" showDropDown="false" showErrorMessage="false" showInputMessage="false" sqref="B6:E6" type="list">
      <formula1>"1,2"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24"/>
    <col collapsed="false" customWidth="true" hidden="false" outlineLevel="0" max="7" min="4" style="0" width="18"/>
    <col collapsed="false" customWidth="true" hidden="false" outlineLevel="0" max="8" min="8" style="0" width="44"/>
  </cols>
  <sheetData>
    <row r="1" customFormat="false" ht="17.35" hidden="false" customHeight="false" outlineLevel="0" collapsed="false">
      <c r="A1" s="1" t="s">
        <v>282</v>
      </c>
    </row>
    <row r="2" customFormat="false" ht="15" hidden="false" customHeight="false" outlineLevel="0" collapsed="false">
      <c r="A2" s="4" t="s">
        <v>283</v>
      </c>
    </row>
    <row r="4" customFormat="false" ht="30" hidden="false" customHeight="true" outlineLevel="0" collapsed="false">
      <c r="A4" s="29" t="s">
        <v>79</v>
      </c>
      <c r="B4" s="18" t="s">
        <v>284</v>
      </c>
      <c r="C4" s="18" t="s">
        <v>285</v>
      </c>
      <c r="D4" s="29" t="s">
        <v>286</v>
      </c>
      <c r="E4" s="47"/>
      <c r="F4" s="47"/>
      <c r="G4" s="47"/>
      <c r="H4" s="47"/>
    </row>
    <row r="5" customFormat="false" ht="15" hidden="false" customHeight="true" outlineLevel="0" collapsed="false">
      <c r="A5" s="7" t="s">
        <v>24</v>
      </c>
      <c r="B5" s="13" t="n">
        <v>270</v>
      </c>
      <c r="C5" s="12" t="n">
        <f aca="false">B5</f>
        <v>270</v>
      </c>
      <c r="D5" s="48" t="s">
        <v>287</v>
      </c>
      <c r="E5" s="48"/>
      <c r="F5" s="48"/>
      <c r="G5" s="48"/>
      <c r="H5" s="48"/>
    </row>
    <row r="6" customFormat="false" ht="43.5" hidden="false" customHeight="true" outlineLevel="0" collapsed="false">
      <c r="A6" s="7" t="s">
        <v>27</v>
      </c>
      <c r="B6" s="15" t="n">
        <v>0.85</v>
      </c>
      <c r="C6" s="14" t="n">
        <f aca="false">B6</f>
        <v>0.85</v>
      </c>
      <c r="D6" s="48" t="s">
        <v>288</v>
      </c>
      <c r="E6" s="48"/>
      <c r="F6" s="48"/>
      <c r="G6" s="48"/>
      <c r="H6" s="48"/>
    </row>
    <row r="7" customFormat="false" ht="15" hidden="false" customHeight="false" outlineLevel="0" collapsed="false">
      <c r="A7" s="7" t="s">
        <v>261</v>
      </c>
      <c r="B7" s="12" t="n">
        <f aca="false">ROUND(B5*B6,0)</f>
        <v>230</v>
      </c>
      <c r="C7" s="12" t="n">
        <f aca="false">ROUND(C5*C6,0)</f>
        <v>230</v>
      </c>
      <c r="D7" s="48"/>
      <c r="E7" s="48"/>
      <c r="F7" s="48"/>
      <c r="G7" s="48"/>
      <c r="H7" s="48"/>
    </row>
    <row r="8" customFormat="false" ht="43.5" hidden="false" customHeight="true" outlineLevel="0" collapsed="false">
      <c r="A8" s="7" t="s">
        <v>289</v>
      </c>
      <c r="B8" s="8" t="n">
        <v>800000</v>
      </c>
      <c r="C8" s="12" t="n">
        <f aca="false">B8</f>
        <v>800000</v>
      </c>
      <c r="D8" s="48" t="s">
        <v>290</v>
      </c>
      <c r="E8" s="48"/>
      <c r="F8" s="48"/>
      <c r="G8" s="48"/>
      <c r="H8" s="48"/>
    </row>
    <row r="9" customFormat="false" ht="43.5" hidden="false" customHeight="true" outlineLevel="0" collapsed="false">
      <c r="A9" s="7" t="s">
        <v>40</v>
      </c>
      <c r="B9" s="12" t="n">
        <f aca="false">ROUNDUP(B7/'Giả định'!$B$7,0)</f>
        <v>23</v>
      </c>
      <c r="C9" s="12" t="n">
        <f aca="false">MAX('Giả định'!$B$9,ROUNDUP(C7/'Giả định'!$B$7,0)+'Giả định'!$B$8)</f>
        <v>24</v>
      </c>
      <c r="D9" s="48" t="s">
        <v>291</v>
      </c>
      <c r="E9" s="48"/>
      <c r="F9" s="48"/>
      <c r="G9" s="48"/>
      <c r="H9" s="48"/>
    </row>
    <row r="10" customFormat="false" ht="43.5" hidden="false" customHeight="true" outlineLevel="0" collapsed="false">
      <c r="A10" s="7" t="s">
        <v>292</v>
      </c>
      <c r="B10" s="13" t="n">
        <v>4200000</v>
      </c>
      <c r="C10" s="12" t="n">
        <f aca="false">B10</f>
        <v>4200000</v>
      </c>
      <c r="D10" s="48" t="s">
        <v>293</v>
      </c>
      <c r="E10" s="48"/>
      <c r="F10" s="48"/>
      <c r="G10" s="48"/>
      <c r="H10" s="48"/>
    </row>
    <row r="11" customFormat="false" ht="43.5" hidden="false" customHeight="true" outlineLevel="0" collapsed="false">
      <c r="A11" s="7" t="s">
        <v>294</v>
      </c>
      <c r="B11" s="49" t="n">
        <v>1</v>
      </c>
      <c r="C11" s="49" t="n">
        <v>0</v>
      </c>
      <c r="D11" s="48" t="s">
        <v>295</v>
      </c>
      <c r="E11" s="48"/>
      <c r="F11" s="48"/>
      <c r="G11" s="48"/>
      <c r="H11" s="48"/>
    </row>
    <row r="12" customFormat="false" ht="15" hidden="false" customHeight="false" outlineLevel="0" collapsed="false">
      <c r="A12" s="7" t="s">
        <v>296</v>
      </c>
      <c r="B12" s="14" t="n">
        <f aca="false">IF(B11=1,0,'Giả định'!$B$15)</f>
        <v>0</v>
      </c>
      <c r="C12" s="14" t="n">
        <f aca="false">IF(C11=1,0,'Giả định'!$B$15)</f>
        <v>0.17</v>
      </c>
      <c r="D12" s="48"/>
      <c r="E12" s="48"/>
      <c r="F12" s="48"/>
      <c r="G12" s="48"/>
      <c r="H12" s="48"/>
    </row>
    <row r="13" customFormat="false" ht="15" hidden="false" customHeight="true" outlineLevel="0" collapsed="false">
      <c r="A13" s="7" t="s">
        <v>297</v>
      </c>
      <c r="B13" s="12" t="n">
        <f aca="false">B9*B10*(1+B12)</f>
        <v>96600000</v>
      </c>
      <c r="C13" s="12" t="n">
        <f aca="false">C9*C10*(1+C12)</f>
        <v>117936000</v>
      </c>
      <c r="D13" s="48" t="s">
        <v>298</v>
      </c>
      <c r="E13" s="48"/>
      <c r="F13" s="48"/>
      <c r="G13" s="48"/>
      <c r="H13" s="48"/>
    </row>
    <row r="14" customFormat="false" ht="43.5" hidden="false" customHeight="true" outlineLevel="0" collapsed="false">
      <c r="A14" s="7" t="s">
        <v>299</v>
      </c>
      <c r="B14" s="13" t="n">
        <v>35000000</v>
      </c>
      <c r="C14" s="12" t="n">
        <f aca="false">B14</f>
        <v>35000000</v>
      </c>
      <c r="D14" s="48" t="s">
        <v>300</v>
      </c>
      <c r="E14" s="48"/>
      <c r="F14" s="48"/>
      <c r="G14" s="48"/>
      <c r="H14" s="48"/>
    </row>
    <row r="15" customFormat="false" ht="43.5" hidden="false" customHeight="true" outlineLevel="0" collapsed="false">
      <c r="A15" s="7" t="s">
        <v>301</v>
      </c>
      <c r="B15" s="13" t="n">
        <v>15000000</v>
      </c>
      <c r="C15" s="12" t="n">
        <f aca="false">B15</f>
        <v>15000000</v>
      </c>
      <c r="D15" s="48" t="s">
        <v>302</v>
      </c>
      <c r="E15" s="48"/>
      <c r="F15" s="48"/>
      <c r="G15" s="48"/>
      <c r="H15" s="48"/>
    </row>
    <row r="16" customFormat="false" ht="15" hidden="false" customHeight="true" outlineLevel="0" collapsed="false">
      <c r="A16" s="7" t="s">
        <v>303</v>
      </c>
      <c r="B16" s="13" t="n">
        <v>20000000</v>
      </c>
      <c r="C16" s="12" t="n">
        <f aca="false">B16</f>
        <v>20000000</v>
      </c>
      <c r="D16" s="48" t="s">
        <v>304</v>
      </c>
      <c r="E16" s="48"/>
      <c r="F16" s="48"/>
      <c r="G16" s="48"/>
      <c r="H16" s="48"/>
    </row>
    <row r="17" customFormat="false" ht="15" hidden="false" customHeight="true" outlineLevel="0" collapsed="false">
      <c r="A17" s="7" t="s">
        <v>305</v>
      </c>
      <c r="B17" s="13" t="n">
        <v>11000000</v>
      </c>
      <c r="C17" s="12" t="n">
        <f aca="false">B17</f>
        <v>11000000</v>
      </c>
      <c r="D17" s="48" t="s">
        <v>306</v>
      </c>
      <c r="E17" s="48"/>
      <c r="F17" s="48"/>
      <c r="G17" s="48"/>
      <c r="H17" s="48"/>
    </row>
    <row r="18" customFormat="false" ht="15" hidden="false" customHeight="true" outlineLevel="0" collapsed="false">
      <c r="A18" s="7" t="s">
        <v>307</v>
      </c>
      <c r="B18" s="13" t="n">
        <v>0</v>
      </c>
      <c r="C18" s="13" t="n">
        <v>2400000</v>
      </c>
      <c r="D18" s="48" t="s">
        <v>308</v>
      </c>
      <c r="E18" s="48"/>
      <c r="F18" s="48"/>
      <c r="G18" s="48"/>
      <c r="H18" s="48"/>
    </row>
    <row r="19" customFormat="false" ht="15" hidden="false" customHeight="true" outlineLevel="0" collapsed="false">
      <c r="A19" s="7" t="s">
        <v>309</v>
      </c>
      <c r="B19" s="13" t="n">
        <v>0</v>
      </c>
      <c r="C19" s="13" t="n">
        <v>2000000</v>
      </c>
      <c r="D19" s="48" t="s">
        <v>310</v>
      </c>
      <c r="E19" s="48"/>
      <c r="F19" s="48"/>
      <c r="G19" s="48"/>
      <c r="H19" s="48"/>
    </row>
    <row r="20" customFormat="false" ht="15" hidden="false" customHeight="true" outlineLevel="0" collapsed="false">
      <c r="A20" s="7" t="s">
        <v>311</v>
      </c>
      <c r="B20" s="13" t="n">
        <v>0</v>
      </c>
      <c r="C20" s="13" t="n">
        <v>1300000</v>
      </c>
      <c r="D20" s="48" t="s">
        <v>310</v>
      </c>
      <c r="E20" s="48"/>
      <c r="F20" s="48"/>
      <c r="G20" s="48"/>
      <c r="H20" s="48"/>
    </row>
    <row r="21" customFormat="false" ht="15" hidden="false" customHeight="true" outlineLevel="0" collapsed="false">
      <c r="A21" s="7" t="s">
        <v>312</v>
      </c>
      <c r="B21" s="13" t="n">
        <v>0</v>
      </c>
      <c r="C21" s="13" t="n">
        <v>6500000</v>
      </c>
      <c r="D21" s="48" t="s">
        <v>310</v>
      </c>
      <c r="E21" s="48"/>
      <c r="F21" s="48"/>
      <c r="G21" s="48"/>
      <c r="H21" s="48"/>
    </row>
    <row r="22" customFormat="false" ht="15" hidden="false" customHeight="true" outlineLevel="0" collapsed="false">
      <c r="A22" s="7" t="s">
        <v>313</v>
      </c>
      <c r="B22" s="13" t="n">
        <v>0</v>
      </c>
      <c r="C22" s="13" t="n">
        <v>3000000</v>
      </c>
      <c r="D22" s="48" t="s">
        <v>314</v>
      </c>
      <c r="E22" s="48"/>
      <c r="F22" s="48"/>
      <c r="G22" s="48"/>
      <c r="H22" s="48"/>
    </row>
    <row r="23" customFormat="false" ht="43.5" hidden="false" customHeight="true" outlineLevel="0" collapsed="false">
      <c r="A23" s="7" t="s">
        <v>315</v>
      </c>
      <c r="B23" s="13" t="n">
        <v>0</v>
      </c>
      <c r="C23" s="13" t="n">
        <v>0</v>
      </c>
      <c r="D23" s="48" t="s">
        <v>316</v>
      </c>
      <c r="E23" s="48"/>
      <c r="F23" s="48"/>
      <c r="G23" s="48"/>
      <c r="H23" s="48"/>
    </row>
    <row r="24" customFormat="false" ht="15" hidden="false" customHeight="false" outlineLevel="0" collapsed="false">
      <c r="A24" s="33" t="s">
        <v>317</v>
      </c>
      <c r="B24" s="40" t="n">
        <f aca="false">SUM(B13:B23)</f>
        <v>177600000</v>
      </c>
      <c r="C24" s="40" t="n">
        <f aca="false">SUM(C13:C23)</f>
        <v>214136000</v>
      </c>
      <c r="D24" s="48"/>
      <c r="E24" s="48"/>
      <c r="F24" s="48"/>
      <c r="G24" s="48"/>
      <c r="H24" s="48"/>
    </row>
    <row r="25" customFormat="false" ht="15" hidden="false" customHeight="true" outlineLevel="0" collapsed="false">
      <c r="A25" s="7" t="s">
        <v>166</v>
      </c>
      <c r="B25" s="12" t="n">
        <f aca="false">'Giả định'!$B$16*B24</f>
        <v>17760000</v>
      </c>
      <c r="C25" s="12" t="n">
        <f aca="false">'Giả định'!$B$16*C24</f>
        <v>21413600</v>
      </c>
      <c r="D25" s="48" t="s">
        <v>318</v>
      </c>
      <c r="E25" s="48"/>
      <c r="F25" s="48"/>
      <c r="G25" s="48"/>
      <c r="H25" s="48"/>
    </row>
    <row r="26" customFormat="false" ht="43.5" hidden="false" customHeight="true" outlineLevel="0" collapsed="false">
      <c r="A26" s="33" t="s">
        <v>167</v>
      </c>
      <c r="B26" s="40" t="n">
        <f aca="false">B24+B25</f>
        <v>195360000</v>
      </c>
      <c r="C26" s="40" t="n">
        <f aca="false">C24+C25</f>
        <v>235549600</v>
      </c>
      <c r="D26" s="48" t="s">
        <v>319</v>
      </c>
      <c r="E26" s="48"/>
      <c r="F26" s="48"/>
      <c r="G26" s="48"/>
      <c r="H26" s="48"/>
    </row>
    <row r="27" customFormat="false" ht="15" hidden="false" customHeight="true" outlineLevel="0" collapsed="false">
      <c r="A27" s="7" t="s">
        <v>320</v>
      </c>
      <c r="B27" s="12" t="n">
        <f aca="false">B7*B8</f>
        <v>184000000</v>
      </c>
      <c r="C27" s="12" t="n">
        <f aca="false">C7*C8</f>
        <v>184000000</v>
      </c>
      <c r="D27" s="48" t="s">
        <v>321</v>
      </c>
      <c r="E27" s="48"/>
      <c r="F27" s="48"/>
      <c r="G27" s="48"/>
      <c r="H27" s="48"/>
    </row>
    <row r="28" customFormat="false" ht="15" hidden="false" customHeight="false" outlineLevel="0" collapsed="false">
      <c r="A28" s="33" t="s">
        <v>169</v>
      </c>
      <c r="B28" s="40" t="n">
        <f aca="false">B27-B26</f>
        <v>-11360000</v>
      </c>
      <c r="C28" s="40" t="n">
        <f aca="false">C27-C26</f>
        <v>-51549600</v>
      </c>
      <c r="D28" s="48"/>
      <c r="E28" s="48"/>
      <c r="F28" s="48"/>
      <c r="G28" s="48"/>
      <c r="H28" s="48"/>
    </row>
    <row r="29" customFormat="false" ht="15" hidden="false" customHeight="true" outlineLevel="0" collapsed="false">
      <c r="A29" s="7" t="s">
        <v>322</v>
      </c>
      <c r="B29" s="8" t="n">
        <v>30000000</v>
      </c>
      <c r="C29" s="12" t="n">
        <f aca="false">B29</f>
        <v>30000000</v>
      </c>
      <c r="D29" s="48" t="s">
        <v>323</v>
      </c>
      <c r="E29" s="48"/>
      <c r="F29" s="48"/>
      <c r="G29" s="48"/>
      <c r="H29" s="48"/>
    </row>
    <row r="30" customFormat="false" ht="15" hidden="false" customHeight="false" outlineLevel="0" collapsed="false">
      <c r="A30" s="33" t="s">
        <v>266</v>
      </c>
      <c r="B30" s="46" t="str">
        <f aca="false">IF(B28+B29&gt;=0,"TRONG MỨC CHẤP NHẬN","LỖ VƯỢT "&amp;ROUND(-(B28+B29)/1000000,0)&amp;" triệu")</f>
        <v>TRONG MỨC CHẤP NHẬN</v>
      </c>
      <c r="C30" s="46" t="str">
        <f aca="false">IF(C28+C29&gt;=0,"TRONG MỨC CHẤP NHẬN","LỖ VƯỢT "&amp;ROUND(-(C28+C29)/1000000,0)&amp;" triệu")</f>
        <v>LỖ VƯỢT 22 triệu</v>
      </c>
      <c r="D30" s="50"/>
      <c r="E30" s="50"/>
      <c r="F30" s="50"/>
      <c r="G30" s="50"/>
      <c r="H30" s="50"/>
    </row>
    <row r="32" customFormat="false" ht="15" hidden="false" customHeight="false" outlineLevel="0" collapsed="false">
      <c r="A32" s="5" t="s">
        <v>324</v>
      </c>
      <c r="B32" s="6"/>
      <c r="C32" s="6"/>
      <c r="D32" s="6"/>
      <c r="E32" s="6"/>
      <c r="F32" s="6"/>
      <c r="G32" s="6"/>
      <c r="H32" s="6"/>
    </row>
    <row r="33" customFormat="false" ht="15" hidden="false" customHeight="true" outlineLevel="0" collapsed="false">
      <c r="A33" s="33" t="s">
        <v>325</v>
      </c>
      <c r="B33" s="40" t="n">
        <f aca="false">B7*0+(B26-B29)/B7</f>
        <v>718956.521739131</v>
      </c>
      <c r="C33" s="40" t="n">
        <f aca="false">(C26-C29)/C7</f>
        <v>893693.913043478</v>
      </c>
      <c r="D33" s="48" t="s">
        <v>326</v>
      </c>
      <c r="E33" s="48"/>
      <c r="F33" s="48"/>
      <c r="G33" s="48"/>
      <c r="H33" s="48"/>
    </row>
    <row r="34" customFormat="false" ht="15" hidden="false" customHeight="true" outlineLevel="0" collapsed="false">
      <c r="A34" s="33" t="s">
        <v>327</v>
      </c>
      <c r="B34" s="40" t="n">
        <f aca="false">B27+B29</f>
        <v>214000000</v>
      </c>
      <c r="C34" s="40" t="n">
        <f aca="false">C27+C29</f>
        <v>214000000</v>
      </c>
      <c r="D34" s="48" t="s">
        <v>328</v>
      </c>
      <c r="E34" s="48"/>
      <c r="F34" s="48"/>
      <c r="G34" s="48"/>
      <c r="H34" s="48"/>
    </row>
    <row r="35" customFormat="false" ht="15" hidden="false" customHeight="true" outlineLevel="0" collapsed="false">
      <c r="A35" s="33" t="s">
        <v>329</v>
      </c>
      <c r="B35" s="40" t="n">
        <f aca="false">(B34/(1+'Giả định'!$B$16)-(B24-B13))/(B9*(1+B12))</f>
        <v>4936758.89328063</v>
      </c>
      <c r="C35" s="40" t="n">
        <f aca="false">(C34/(1+'Giả định'!$B$16)-(C24-C13))/(C9*(1+C12))</f>
        <v>3502331.002331</v>
      </c>
      <c r="D35" s="48" t="s">
        <v>330</v>
      </c>
      <c r="E35" s="48"/>
      <c r="F35" s="48"/>
      <c r="G35" s="48"/>
      <c r="H35" s="48"/>
    </row>
    <row r="37" customFormat="false" ht="15" hidden="false" customHeight="false" outlineLevel="0" collapsed="false">
      <c r="A37" s="5" t="s">
        <v>331</v>
      </c>
      <c r="B37" s="6"/>
      <c r="C37" s="6"/>
      <c r="D37" s="6"/>
      <c r="E37" s="6"/>
      <c r="F37" s="6"/>
      <c r="G37" s="6"/>
      <c r="H37" s="6"/>
    </row>
    <row r="38" customFormat="false" ht="30" hidden="false" customHeight="true" outlineLevel="0" collapsed="false">
      <c r="A38" s="30" t="s">
        <v>332</v>
      </c>
      <c r="B38" s="35" t="n">
        <v>500000</v>
      </c>
      <c r="C38" s="35" t="n">
        <v>600000</v>
      </c>
      <c r="D38" s="35" t="n">
        <v>700000</v>
      </c>
      <c r="E38" s="35" t="n">
        <v>800000</v>
      </c>
      <c r="F38" s="35" t="n">
        <v>900000</v>
      </c>
      <c r="G38" s="35" t="n">
        <v>1000000</v>
      </c>
    </row>
    <row r="39" customFormat="false" ht="15" hidden="false" customHeight="false" outlineLevel="0" collapsed="false">
      <c r="A39" s="35" t="n">
        <v>180</v>
      </c>
      <c r="B39" s="12" t="n">
        <f aca="false">$A39*B$38-(MAX('Giả định'!$B$9,ROUNDUP($A39/'Giả định'!$B$7,0)+'Giả định'!$B$8)*$C$10*(1+$C$12)+($C$24-$C$13))*(1+'Giả định'!$B$16)</f>
        <v>-118522600</v>
      </c>
      <c r="C39" s="12" t="n">
        <f aca="false">$A39*C$38-(MAX('Giả định'!$B$9,ROUNDUP($A39/'Giả định'!$B$7,0)+'Giả định'!$B$8)*$C$10*(1+$C$12)+($C$24-$C$13))*(1+'Giả định'!$B$16)</f>
        <v>-100522600</v>
      </c>
      <c r="D39" s="12" t="n">
        <f aca="false">$A39*D$38-(MAX('Giả định'!$B$9,ROUNDUP($A39/'Giả định'!$B$7,0)+'Giả định'!$B$8)*$C$10*(1+$C$12)+($C$24-$C$13))*(1+'Giả định'!$B$16)</f>
        <v>-82522600</v>
      </c>
      <c r="E39" s="12" t="n">
        <f aca="false">$A39*E$38-(MAX('Giả định'!$B$9,ROUNDUP($A39/'Giả định'!$B$7,0)+'Giả định'!$B$8)*$C$10*(1+$C$12)+($C$24-$C$13))*(1+'Giả định'!$B$16)</f>
        <v>-64522600</v>
      </c>
      <c r="F39" s="12" t="n">
        <f aca="false">$A39*F$38-(MAX('Giả định'!$B$9,ROUNDUP($A39/'Giả định'!$B$7,0)+'Giả định'!$B$8)*$C$10*(1+$C$12)+($C$24-$C$13))*(1+'Giả định'!$B$16)</f>
        <v>-46522600</v>
      </c>
      <c r="G39" s="12" t="n">
        <f aca="false">$A39*G$38-(MAX('Giả định'!$B$9,ROUNDUP($A39/'Giả định'!$B$7,0)+'Giả định'!$B$8)*$C$10*(1+$C$12)+($C$24-$C$13))*(1+'Giả định'!$B$16)</f>
        <v>-28522600</v>
      </c>
    </row>
    <row r="40" customFormat="false" ht="15" hidden="false" customHeight="false" outlineLevel="0" collapsed="false">
      <c r="A40" s="35" t="n">
        <v>200</v>
      </c>
      <c r="B40" s="12" t="n">
        <f aca="false">$A40*B$38-(MAX('Giả định'!$B$9,ROUNDUP($A40/'Giả định'!$B$7,0)+'Giả định'!$B$8)*$C$10*(1+$C$12)+($C$24-$C$13))*(1+'Giả định'!$B$16)</f>
        <v>-119333400</v>
      </c>
      <c r="C40" s="12" t="n">
        <f aca="false">$A40*C$38-(MAX('Giả định'!$B$9,ROUNDUP($A40/'Giả định'!$B$7,0)+'Giả định'!$B$8)*$C$10*(1+$C$12)+($C$24-$C$13))*(1+'Giả định'!$B$16)</f>
        <v>-99333400</v>
      </c>
      <c r="D40" s="12" t="n">
        <f aca="false">$A40*D$38-(MAX('Giả định'!$B$9,ROUNDUP($A40/'Giả định'!$B$7,0)+'Giả định'!$B$8)*$C$10*(1+$C$12)+($C$24-$C$13))*(1+'Giả định'!$B$16)</f>
        <v>-79333400</v>
      </c>
      <c r="E40" s="12" t="n">
        <f aca="false">$A40*E$38-(MAX('Giả định'!$B$9,ROUNDUP($A40/'Giả định'!$B$7,0)+'Giả định'!$B$8)*$C$10*(1+$C$12)+($C$24-$C$13))*(1+'Giả định'!$B$16)</f>
        <v>-59333400</v>
      </c>
      <c r="F40" s="12" t="n">
        <f aca="false">$A40*F$38-(MAX('Giả định'!$B$9,ROUNDUP($A40/'Giả định'!$B$7,0)+'Giả định'!$B$8)*$C$10*(1+$C$12)+($C$24-$C$13))*(1+'Giả định'!$B$16)</f>
        <v>-39333400</v>
      </c>
      <c r="G40" s="12" t="n">
        <f aca="false">$A40*G$38-(MAX('Giả định'!$B$9,ROUNDUP($A40/'Giả định'!$B$7,0)+'Giả định'!$B$8)*$C$10*(1+$C$12)+($C$24-$C$13))*(1+'Giả định'!$B$16)</f>
        <v>-19333400</v>
      </c>
    </row>
    <row r="41" customFormat="false" ht="15" hidden="false" customHeight="false" outlineLevel="0" collapsed="false">
      <c r="A41" s="35" t="n">
        <v>230</v>
      </c>
      <c r="B41" s="12" t="n">
        <f aca="false">$A41*B$38-(MAX('Giả định'!$B$9,ROUNDUP($A41/'Giả định'!$B$7,0)+'Giả định'!$B$8)*$C$10*(1+$C$12)+($C$24-$C$13))*(1+'Giả định'!$B$16)</f>
        <v>-120549600</v>
      </c>
      <c r="C41" s="12" t="n">
        <f aca="false">$A41*C$38-(MAX('Giả định'!$B$9,ROUNDUP($A41/'Giả định'!$B$7,0)+'Giả định'!$B$8)*$C$10*(1+$C$12)+($C$24-$C$13))*(1+'Giả định'!$B$16)</f>
        <v>-97549600</v>
      </c>
      <c r="D41" s="12" t="n">
        <f aca="false">$A41*D$38-(MAX('Giả định'!$B$9,ROUNDUP($A41/'Giả định'!$B$7,0)+'Giả định'!$B$8)*$C$10*(1+$C$12)+($C$24-$C$13))*(1+'Giả định'!$B$16)</f>
        <v>-74549600</v>
      </c>
      <c r="E41" s="12" t="n">
        <f aca="false">$A41*E$38-(MAX('Giả định'!$B$9,ROUNDUP($A41/'Giả định'!$B$7,0)+'Giả định'!$B$8)*$C$10*(1+$C$12)+($C$24-$C$13))*(1+'Giả định'!$B$16)</f>
        <v>-51549600</v>
      </c>
      <c r="F41" s="12" t="n">
        <f aca="false">$A41*F$38-(MAX('Giả định'!$B$9,ROUNDUP($A41/'Giả định'!$B$7,0)+'Giả định'!$B$8)*$C$10*(1+$C$12)+($C$24-$C$13))*(1+'Giả định'!$B$16)</f>
        <v>-28549600</v>
      </c>
      <c r="G41" s="12" t="n">
        <f aca="false">$A41*G$38-(MAX('Giả định'!$B$9,ROUNDUP($A41/'Giả định'!$B$7,0)+'Giả định'!$B$8)*$C$10*(1+$C$12)+($C$24-$C$13))*(1+'Giả định'!$B$16)</f>
        <v>-5549600.00000003</v>
      </c>
    </row>
    <row r="42" customFormat="false" ht="15" hidden="false" customHeight="false" outlineLevel="0" collapsed="false">
      <c r="A42" s="35" t="n">
        <v>250</v>
      </c>
      <c r="B42" s="12" t="n">
        <f aca="false">$A42*B$38-(MAX('Giả định'!$B$9,ROUNDUP($A42/'Giả định'!$B$7,0)+'Giả định'!$B$8)*$C$10*(1+$C$12)+($C$24-$C$13))*(1+'Giả định'!$B$16)</f>
        <v>-121360400</v>
      </c>
      <c r="C42" s="12" t="n">
        <f aca="false">$A42*C$38-(MAX('Giả định'!$B$9,ROUNDUP($A42/'Giả định'!$B$7,0)+'Giả định'!$B$8)*$C$10*(1+$C$12)+($C$24-$C$13))*(1+'Giả định'!$B$16)</f>
        <v>-96360400</v>
      </c>
      <c r="D42" s="12" t="n">
        <f aca="false">$A42*D$38-(MAX('Giả định'!$B$9,ROUNDUP($A42/'Giả định'!$B$7,0)+'Giả định'!$B$8)*$C$10*(1+$C$12)+($C$24-$C$13))*(1+'Giả định'!$B$16)</f>
        <v>-71360400</v>
      </c>
      <c r="E42" s="12" t="n">
        <f aca="false">$A42*E$38-(MAX('Giả định'!$B$9,ROUNDUP($A42/'Giả định'!$B$7,0)+'Giả định'!$B$8)*$C$10*(1+$C$12)+($C$24-$C$13))*(1+'Giả định'!$B$16)</f>
        <v>-46360400</v>
      </c>
      <c r="F42" s="12" t="n">
        <f aca="false">$A42*F$38-(MAX('Giả định'!$B$9,ROUNDUP($A42/'Giả định'!$B$7,0)+'Giả định'!$B$8)*$C$10*(1+$C$12)+($C$24-$C$13))*(1+'Giả định'!$B$16)</f>
        <v>-21360400</v>
      </c>
      <c r="G42" s="12" t="n">
        <f aca="false">$A42*G$38-(MAX('Giả định'!$B$9,ROUNDUP($A42/'Giả định'!$B$7,0)+'Giả định'!$B$8)*$C$10*(1+$C$12)+($C$24-$C$13))*(1+'Giả định'!$B$16)</f>
        <v>3639599.99999997</v>
      </c>
    </row>
    <row r="43" customFormat="false" ht="15" hidden="false" customHeight="false" outlineLevel="0" collapsed="false">
      <c r="A43" s="35" t="n">
        <v>270</v>
      </c>
      <c r="B43" s="12" t="n">
        <f aca="false">$A43*B$38-(MAX('Giả định'!$B$9,ROUNDUP($A43/'Giả định'!$B$7,0)+'Giả định'!$B$8)*$C$10*(1+$C$12)+($C$24-$C$13))*(1+'Giả định'!$B$16)</f>
        <v>-122171200</v>
      </c>
      <c r="C43" s="12" t="n">
        <f aca="false">$A43*C$38-(MAX('Giả định'!$B$9,ROUNDUP($A43/'Giả định'!$B$7,0)+'Giả định'!$B$8)*$C$10*(1+$C$12)+($C$24-$C$13))*(1+'Giả định'!$B$16)</f>
        <v>-95171200</v>
      </c>
      <c r="D43" s="12" t="n">
        <f aca="false">$A43*D$38-(MAX('Giả định'!$B$9,ROUNDUP($A43/'Giả định'!$B$7,0)+'Giả định'!$B$8)*$C$10*(1+$C$12)+($C$24-$C$13))*(1+'Giả định'!$B$16)</f>
        <v>-68171200</v>
      </c>
      <c r="E43" s="12" t="n">
        <f aca="false">$A43*E$38-(MAX('Giả định'!$B$9,ROUNDUP($A43/'Giả định'!$B$7,0)+'Giả định'!$B$8)*$C$10*(1+$C$12)+($C$24-$C$13))*(1+'Giả định'!$B$16)</f>
        <v>-41171200</v>
      </c>
      <c r="F43" s="12" t="n">
        <f aca="false">$A43*F$38-(MAX('Giả định'!$B$9,ROUNDUP($A43/'Giả định'!$B$7,0)+'Giả định'!$B$8)*$C$10*(1+$C$12)+($C$24-$C$13))*(1+'Giả định'!$B$16)</f>
        <v>-14171200</v>
      </c>
      <c r="G43" s="12" t="n">
        <f aca="false">$A43*G$38-(MAX('Giả định'!$B$9,ROUNDUP($A43/'Giả định'!$B$7,0)+'Giả định'!$B$8)*$C$10*(1+$C$12)+($C$24-$C$13))*(1+'Giả định'!$B$16)</f>
        <v>12828800</v>
      </c>
    </row>
    <row r="45" customFormat="false" ht="15" hidden="false" customHeight="false" outlineLevel="0" collapsed="false">
      <c r="A45" s="9" t="s">
        <v>333</v>
      </c>
    </row>
  </sheetData>
  <mergeCells count="29">
    <mergeCell ref="D5:H5"/>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D20:H20"/>
    <mergeCell ref="D21:H21"/>
    <mergeCell ref="D22:H22"/>
    <mergeCell ref="D23:H23"/>
    <mergeCell ref="D24:H24"/>
    <mergeCell ref="D25:H25"/>
    <mergeCell ref="D26:H26"/>
    <mergeCell ref="D27:H27"/>
    <mergeCell ref="D28:H28"/>
    <mergeCell ref="D29:H29"/>
    <mergeCell ref="D30:H30"/>
    <mergeCell ref="D33:H33"/>
    <mergeCell ref="D34:H34"/>
    <mergeCell ref="D35:H35"/>
  </mergeCells>
  <conditionalFormatting sqref="B30:C30">
    <cfRule type="cellIs" priority="2" operator="equal" aboveAverage="0" equalAverage="0" bottom="0" percent="0" rank="0" text="" dxfId="2">
      <formula>"TRONG MỨC CHẤP NHẬN"</formula>
    </cfRule>
  </conditionalFormatting>
  <conditionalFormatting sqref="B28:C28">
    <cfRule type="cellIs" priority="3" operator="lessThan" aboveAverage="0" equalAverage="0" bottom="0" percent="0" rank="0" text="" dxfId="3">
      <formula>0</formula>
    </cfRule>
  </conditionalFormatting>
  <conditionalFormatting sqref="B39:G43">
    <cfRule type="cellIs" priority="4" operator="greaterThanOrEqual" aboveAverage="0" equalAverage="0" bottom="0" percent="0" rank="0" text="" dxfId="1">
      <formula>-$C$29</formula>
    </cfRule>
    <cfRule type="cellIs" priority="5" operator="lessThan" aboveAverage="0" equalAverage="0" bottom="0" percent="0" rank="0" text="" dxfId="0">
      <formula>-$C$29</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334</v>
      </c>
    </row>
    <row r="2" customFormat="false" ht="15" hidden="false" customHeight="false" outlineLevel="0" collapsed="false">
      <c r="A2" s="4" t="s">
        <v>335</v>
      </c>
    </row>
    <row r="4" customFormat="false" ht="43.5" hidden="false" customHeight="true" outlineLevel="0" collapsed="false">
      <c r="A4" s="18" t="s">
        <v>336</v>
      </c>
      <c r="B4" s="18" t="s">
        <v>40</v>
      </c>
      <c r="C4" s="18" t="s">
        <v>337</v>
      </c>
      <c r="D4" s="18" t="s">
        <v>338</v>
      </c>
      <c r="E4" s="18" t="s">
        <v>188</v>
      </c>
      <c r="F4" s="18" t="s">
        <v>339</v>
      </c>
      <c r="G4" s="18" t="s">
        <v>340</v>
      </c>
      <c r="H4" s="18" t="s">
        <v>341</v>
      </c>
      <c r="I4" s="18" t="s">
        <v>342</v>
      </c>
      <c r="J4" s="18" t="s">
        <v>343</v>
      </c>
      <c r="K4" s="18" t="s">
        <v>344</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196295000</v>
      </c>
      <c r="D5" s="25" t="n">
        <f aca="false">('Chi phí'!$C$77+'Chi phí'!$D$77*B5+'Chi phí'!$E$77*A5+'Giả định'!$B$15*('Chi phí'!$F$77+'Chi phí'!$G$77*B5+'Chi phí'!$H$77*A5))*(1+'Giả định'!$B$16)</f>
        <v>339900000</v>
      </c>
      <c r="E5" s="25" t="n">
        <f aca="false">A5/'Giả định'!$B$19*'Giả định'!$B$20+A5*'Giả định'!$B$23+'Giả định'!$B$24</f>
        <v>0</v>
      </c>
      <c r="F5" s="25" t="n">
        <f aca="false">E5-D5</f>
        <v>-339900000</v>
      </c>
      <c r="G5" s="25" t="n">
        <f aca="false">E5-C5</f>
        <v>-196295000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196331740</v>
      </c>
      <c r="D6" s="25" t="n">
        <f aca="false">('Chi phí'!$C$77+'Chi phí'!$D$77*B6+'Chi phí'!$E$77*A6+'Giả định'!$B$15*('Chi phí'!$F$77+'Chi phí'!$G$77*B6+'Chi phí'!$H$77*A6))*(1+'Giả định'!$B$16)</f>
        <v>339936740</v>
      </c>
      <c r="E6" s="25" t="n">
        <f aca="false">A6/'Giả định'!$B$19*'Giả định'!$B$20+A6*'Giả định'!$B$23+'Giả định'!$B$24</f>
        <v>372268.907563025</v>
      </c>
      <c r="F6" s="25" t="n">
        <f aca="false">E6-D6</f>
        <v>-339564471.092437</v>
      </c>
      <c r="G6" s="25" t="n">
        <f aca="false">E6-C6</f>
        <v>-195959471.092437</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196368480</v>
      </c>
      <c r="D7" s="25" t="n">
        <f aca="false">('Chi phí'!$C$77+'Chi phí'!$D$77*B7+'Chi phí'!$E$77*A7+'Giả định'!$B$15*('Chi phí'!$F$77+'Chi phí'!$G$77*B7+'Chi phí'!$H$77*A7))*(1+'Giả định'!$B$16)</f>
        <v>339973480</v>
      </c>
      <c r="E7" s="25" t="n">
        <f aca="false">A7/'Giả định'!$B$19*'Giả định'!$B$20+A7*'Giả định'!$B$23+'Giả định'!$B$24</f>
        <v>744537.815126051</v>
      </c>
      <c r="F7" s="25" t="n">
        <f aca="false">E7-D7</f>
        <v>-339228942.184874</v>
      </c>
      <c r="G7" s="25" t="n">
        <f aca="false">E7-C7</f>
        <v>-195623942.184874</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196405220</v>
      </c>
      <c r="D8" s="25" t="n">
        <f aca="false">('Chi phí'!$C$77+'Chi phí'!$D$77*B8+'Chi phí'!$E$77*A8+'Giả định'!$B$15*('Chi phí'!$F$77+'Chi phí'!$G$77*B8+'Chi phí'!$H$77*A8))*(1+'Giả định'!$B$16)</f>
        <v>340010220</v>
      </c>
      <c r="E8" s="25" t="n">
        <f aca="false">A8/'Giả định'!$B$19*'Giả định'!$B$20+A8*'Giả định'!$B$23+'Giả định'!$B$24</f>
        <v>1116806.72268908</v>
      </c>
      <c r="F8" s="25" t="n">
        <f aca="false">E8-D8</f>
        <v>-338893413.277311</v>
      </c>
      <c r="G8" s="25" t="n">
        <f aca="false">E8-C8</f>
        <v>-195288413.277311</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196441960</v>
      </c>
      <c r="D9" s="25" t="n">
        <f aca="false">('Chi phí'!$C$77+'Chi phí'!$D$77*B9+'Chi phí'!$E$77*A9+'Giả định'!$B$15*('Chi phí'!$F$77+'Chi phí'!$G$77*B9+'Chi phí'!$H$77*A9))*(1+'Giả định'!$B$16)</f>
        <v>340046960</v>
      </c>
      <c r="E9" s="25" t="n">
        <f aca="false">A9/'Giả định'!$B$19*'Giả định'!$B$20+A9*'Giả định'!$B$23+'Giả định'!$B$24</f>
        <v>1489075.6302521</v>
      </c>
      <c r="F9" s="25" t="n">
        <f aca="false">E9-D9</f>
        <v>-338557884.369748</v>
      </c>
      <c r="G9" s="25" t="n">
        <f aca="false">E9-C9</f>
        <v>-194952884.369748</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196478700</v>
      </c>
      <c r="D10" s="25" t="n">
        <f aca="false">('Chi phí'!$C$77+'Chi phí'!$D$77*B10+'Chi phí'!$E$77*A10+'Giả định'!$B$15*('Chi phí'!$F$77+'Chi phí'!$G$77*B10+'Chi phí'!$H$77*A10))*(1+'Giả định'!$B$16)</f>
        <v>340083700</v>
      </c>
      <c r="E10" s="25" t="n">
        <f aca="false">A10/'Giả định'!$B$19*'Giả định'!$B$20+A10*'Giả định'!$B$23+'Giả định'!$B$24</f>
        <v>1861344.53781513</v>
      </c>
      <c r="F10" s="25" t="n">
        <f aca="false">E10-D10</f>
        <v>-338222355.462185</v>
      </c>
      <c r="G10" s="25" t="n">
        <f aca="false">E10-C10</f>
        <v>-194617355.462185</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196515440</v>
      </c>
      <c r="D11" s="25" t="n">
        <f aca="false">('Chi phí'!$C$77+'Chi phí'!$D$77*B11+'Chi phí'!$E$77*A11+'Giả định'!$B$15*('Chi phí'!$F$77+'Chi phí'!$G$77*B11+'Chi phí'!$H$77*A11))*(1+'Giả định'!$B$16)</f>
        <v>340120440</v>
      </c>
      <c r="E11" s="25" t="n">
        <f aca="false">A11/'Giả định'!$B$19*'Giả định'!$B$20+A11*'Giả định'!$B$23+'Giả định'!$B$24</f>
        <v>2233613.44537815</v>
      </c>
      <c r="F11" s="25" t="n">
        <f aca="false">E11-D11</f>
        <v>-337886826.554622</v>
      </c>
      <c r="G11" s="25" t="n">
        <f aca="false">E11-C11</f>
        <v>-194281826.554622</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196552180</v>
      </c>
      <c r="D12" s="25" t="n">
        <f aca="false">('Chi phí'!$C$77+'Chi phí'!$D$77*B12+'Chi phí'!$E$77*A12+'Giả định'!$B$15*('Chi phí'!$F$77+'Chi phí'!$G$77*B12+'Chi phí'!$H$77*A12))*(1+'Giả định'!$B$16)</f>
        <v>340157180</v>
      </c>
      <c r="E12" s="25" t="n">
        <f aca="false">A12/'Giả định'!$B$19*'Giả định'!$B$20+A12*'Giả định'!$B$23+'Giả định'!$B$24</f>
        <v>2605882.35294118</v>
      </c>
      <c r="F12" s="25" t="n">
        <f aca="false">E12-D12</f>
        <v>-337551297.647059</v>
      </c>
      <c r="G12" s="25" t="n">
        <f aca="false">E12-C12</f>
        <v>-193946297.647059</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196588920</v>
      </c>
      <c r="D13" s="25" t="n">
        <f aca="false">('Chi phí'!$C$77+'Chi phí'!$D$77*B13+'Chi phí'!$E$77*A13+'Giả định'!$B$15*('Chi phí'!$F$77+'Chi phí'!$G$77*B13+'Chi phí'!$H$77*A13))*(1+'Giả định'!$B$16)</f>
        <v>340193920</v>
      </c>
      <c r="E13" s="25" t="n">
        <f aca="false">A13/'Giả định'!$B$19*'Giả định'!$B$20+A13*'Giả định'!$B$23+'Giả định'!$B$24</f>
        <v>2978151.2605042</v>
      </c>
      <c r="F13" s="25" t="n">
        <f aca="false">E13-D13</f>
        <v>-337215768.739496</v>
      </c>
      <c r="G13" s="25" t="n">
        <f aca="false">E13-C13</f>
        <v>-193610768.739496</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196625660</v>
      </c>
      <c r="D14" s="25" t="n">
        <f aca="false">('Chi phí'!$C$77+'Chi phí'!$D$77*B14+'Chi phí'!$E$77*A14+'Giả định'!$B$15*('Chi phí'!$F$77+'Chi phí'!$G$77*B14+'Chi phí'!$H$77*A14))*(1+'Giả định'!$B$16)</f>
        <v>340230660</v>
      </c>
      <c r="E14" s="25" t="n">
        <f aca="false">A14/'Giả định'!$B$19*'Giả định'!$B$20+A14*'Giả định'!$B$23+'Giả định'!$B$24</f>
        <v>3350420.16806723</v>
      </c>
      <c r="F14" s="25" t="n">
        <f aca="false">E14-D14</f>
        <v>-336880239.831933</v>
      </c>
      <c r="G14" s="25" t="n">
        <f aca="false">E14-C14</f>
        <v>-193275239.831933</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196662400</v>
      </c>
      <c r="D15" s="25" t="n">
        <f aca="false">('Chi phí'!$C$77+'Chi phí'!$D$77*B15+'Chi phí'!$E$77*A15+'Giả định'!$B$15*('Chi phí'!$F$77+'Chi phí'!$G$77*B15+'Chi phí'!$H$77*A15))*(1+'Giả định'!$B$16)</f>
        <v>340267400</v>
      </c>
      <c r="E15" s="25" t="n">
        <f aca="false">A15/'Giả định'!$B$19*'Giả định'!$B$20+A15*'Giả định'!$B$23+'Giả định'!$B$24</f>
        <v>3722689.07563025</v>
      </c>
      <c r="F15" s="25" t="n">
        <f aca="false">E15-D15</f>
        <v>-336544710.92437</v>
      </c>
      <c r="G15" s="25" t="n">
        <f aca="false">E15-C15</f>
        <v>-192939710.92437</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196699140</v>
      </c>
      <c r="D16" s="25" t="n">
        <f aca="false">('Chi phí'!$C$77+'Chi phí'!$D$77*B16+'Chi phí'!$E$77*A16+'Giả định'!$B$15*('Chi phí'!$F$77+'Chi phí'!$G$77*B16+'Chi phí'!$H$77*A16))*(1+'Giả định'!$B$16)</f>
        <v>340304140</v>
      </c>
      <c r="E16" s="25" t="n">
        <f aca="false">A16/'Giả định'!$B$19*'Giả định'!$B$20+A16*'Giả định'!$B$23+'Giả định'!$B$24</f>
        <v>4094957.98319328</v>
      </c>
      <c r="F16" s="25" t="n">
        <f aca="false">E16-D16</f>
        <v>-336209182.016807</v>
      </c>
      <c r="G16" s="25" t="n">
        <f aca="false">E16-C16</f>
        <v>-192604182.016807</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196735880</v>
      </c>
      <c r="D17" s="25" t="n">
        <f aca="false">('Chi phí'!$C$77+'Chi phí'!$D$77*B17+'Chi phí'!$E$77*A17+'Giả định'!$B$15*('Chi phí'!$F$77+'Chi phí'!$G$77*B17+'Chi phí'!$H$77*A17))*(1+'Giả định'!$B$16)</f>
        <v>340340880</v>
      </c>
      <c r="E17" s="25" t="n">
        <f aca="false">A17/'Giả định'!$B$19*'Giả định'!$B$20+A17*'Giả định'!$B$23+'Giả định'!$B$24</f>
        <v>4467226.8907563</v>
      </c>
      <c r="F17" s="25" t="n">
        <f aca="false">E17-D17</f>
        <v>-335873653.109244</v>
      </c>
      <c r="G17" s="25" t="n">
        <f aca="false">E17-C17</f>
        <v>-192268653.109244</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196772620</v>
      </c>
      <c r="D18" s="25" t="n">
        <f aca="false">('Chi phí'!$C$77+'Chi phí'!$D$77*B18+'Chi phí'!$E$77*A18+'Giả định'!$B$15*('Chi phí'!$F$77+'Chi phí'!$G$77*B18+'Chi phí'!$H$77*A18))*(1+'Giả định'!$B$16)</f>
        <v>340377620</v>
      </c>
      <c r="E18" s="25" t="n">
        <f aca="false">A18/'Giả định'!$B$19*'Giả định'!$B$20+A18*'Giả định'!$B$23+'Giả định'!$B$24</f>
        <v>4839495.79831933</v>
      </c>
      <c r="F18" s="25" t="n">
        <f aca="false">E18-D18</f>
        <v>-335538124.201681</v>
      </c>
      <c r="G18" s="25" t="n">
        <f aca="false">E18-C18</f>
        <v>-191933124.201681</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196809360</v>
      </c>
      <c r="D19" s="25" t="n">
        <f aca="false">('Chi phí'!$C$77+'Chi phí'!$D$77*B19+'Chi phí'!$E$77*A19+'Giả định'!$B$15*('Chi phí'!$F$77+'Chi phí'!$G$77*B19+'Chi phí'!$H$77*A19))*(1+'Giả định'!$B$16)</f>
        <v>340414360</v>
      </c>
      <c r="E19" s="25" t="n">
        <f aca="false">A19/'Giả định'!$B$19*'Giả định'!$B$20+A19*'Giả định'!$B$23+'Giả định'!$B$24</f>
        <v>5211764.70588235</v>
      </c>
      <c r="F19" s="25" t="n">
        <f aca="false">E19-D19</f>
        <v>-335202595.294118</v>
      </c>
      <c r="G19" s="25" t="n">
        <f aca="false">E19-C19</f>
        <v>-191597595.294118</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196846100</v>
      </c>
      <c r="D20" s="25" t="n">
        <f aca="false">('Chi phí'!$C$77+'Chi phí'!$D$77*B20+'Chi phí'!$E$77*A20+'Giả định'!$B$15*('Chi phí'!$F$77+'Chi phí'!$G$77*B20+'Chi phí'!$H$77*A20))*(1+'Giả định'!$B$16)</f>
        <v>340451100</v>
      </c>
      <c r="E20" s="25" t="n">
        <f aca="false">A20/'Giả định'!$B$19*'Giả định'!$B$20+A20*'Giả định'!$B$23+'Giả định'!$B$24</f>
        <v>5584033.61344538</v>
      </c>
      <c r="F20" s="25" t="n">
        <f aca="false">E20-D20</f>
        <v>-334867066.386555</v>
      </c>
      <c r="G20" s="25" t="n">
        <f aca="false">E20-C20</f>
        <v>-191262066.386555</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196882840</v>
      </c>
      <c r="D21" s="25" t="n">
        <f aca="false">('Chi phí'!$C$77+'Chi phí'!$D$77*B21+'Chi phí'!$E$77*A21+'Giả định'!$B$15*('Chi phí'!$F$77+'Chi phí'!$G$77*B21+'Chi phí'!$H$77*A21))*(1+'Giả định'!$B$16)</f>
        <v>340487840</v>
      </c>
      <c r="E21" s="25" t="n">
        <f aca="false">A21/'Giả định'!$B$19*'Giả định'!$B$20+A21*'Giả định'!$B$23+'Giả định'!$B$24</f>
        <v>5956302.5210084</v>
      </c>
      <c r="F21" s="25" t="n">
        <f aca="false">E21-D21</f>
        <v>-334531537.478992</v>
      </c>
      <c r="G21" s="25" t="n">
        <f aca="false">E21-C21</f>
        <v>-190926537.478992</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196919580</v>
      </c>
      <c r="D22" s="25" t="n">
        <f aca="false">('Chi phí'!$C$77+'Chi phí'!$D$77*B22+'Chi phí'!$E$77*A22+'Giả định'!$B$15*('Chi phí'!$F$77+'Chi phí'!$G$77*B22+'Chi phí'!$H$77*A22))*(1+'Giả định'!$B$16)</f>
        <v>340524580</v>
      </c>
      <c r="E22" s="25" t="n">
        <f aca="false">A22/'Giả định'!$B$19*'Giả định'!$B$20+A22*'Giả định'!$B$23+'Giả định'!$B$24</f>
        <v>6328571.42857143</v>
      </c>
      <c r="F22" s="25" t="n">
        <f aca="false">E22-D22</f>
        <v>-334196008.571429</v>
      </c>
      <c r="G22" s="25" t="n">
        <f aca="false">E22-C22</f>
        <v>-190591008.571429</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196956320</v>
      </c>
      <c r="D23" s="25" t="n">
        <f aca="false">('Chi phí'!$C$77+'Chi phí'!$D$77*B23+'Chi phí'!$E$77*A23+'Giả định'!$B$15*('Chi phí'!$F$77+'Chi phí'!$G$77*B23+'Chi phí'!$H$77*A23))*(1+'Giả định'!$B$16)</f>
        <v>340561320</v>
      </c>
      <c r="E23" s="25" t="n">
        <f aca="false">A23/'Giả định'!$B$19*'Giả định'!$B$20+A23*'Giả định'!$B$23+'Giả định'!$B$24</f>
        <v>6700840.33613445</v>
      </c>
      <c r="F23" s="25" t="n">
        <f aca="false">E23-D23</f>
        <v>-333860479.663866</v>
      </c>
      <c r="G23" s="25" t="n">
        <f aca="false">E23-C23</f>
        <v>-190255479.663866</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196993060</v>
      </c>
      <c r="D24" s="25" t="n">
        <f aca="false">('Chi phí'!$C$77+'Chi phí'!$D$77*B24+'Chi phí'!$E$77*A24+'Giả định'!$B$15*('Chi phí'!$F$77+'Chi phí'!$G$77*B24+'Chi phí'!$H$77*A24))*(1+'Giả định'!$B$16)</f>
        <v>340598060</v>
      </c>
      <c r="E24" s="25" t="n">
        <f aca="false">A24/'Giả định'!$B$19*'Giả định'!$B$20+A24*'Giả định'!$B$23+'Giả định'!$B$24</f>
        <v>7073109.24369748</v>
      </c>
      <c r="F24" s="25" t="n">
        <f aca="false">E24-D24</f>
        <v>-333524950.756303</v>
      </c>
      <c r="G24" s="25" t="n">
        <f aca="false">E24-C24</f>
        <v>-189919950.756303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197029800</v>
      </c>
      <c r="D25" s="25" t="n">
        <f aca="false">('Chi phí'!$C$77+'Chi phí'!$D$77*B25+'Chi phí'!$E$77*A25+'Giả định'!$B$15*('Chi phí'!$F$77+'Chi phí'!$G$77*B25+'Chi phí'!$H$77*A25))*(1+'Giả định'!$B$16)</f>
        <v>340634800</v>
      </c>
      <c r="E25" s="25" t="n">
        <f aca="false">A25/'Giả định'!$B$19*'Giả định'!$B$20+A25*'Giả định'!$B$23+'Giả định'!$B$24</f>
        <v>7445378.15126051</v>
      </c>
      <c r="F25" s="25" t="n">
        <f aca="false">E25-D25</f>
        <v>-333189421.84874</v>
      </c>
      <c r="G25" s="25" t="n">
        <f aca="false">E25-C25</f>
        <v>-189584421.84874</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197066540</v>
      </c>
      <c r="D26" s="25" t="n">
        <f aca="false">('Chi phí'!$C$77+'Chi phí'!$D$77*B26+'Chi phí'!$E$77*A26+'Giả định'!$B$15*('Chi phí'!$F$77+'Chi phí'!$G$77*B26+'Chi phí'!$H$77*A26))*(1+'Giả định'!$B$16)</f>
        <v>340671540</v>
      </c>
      <c r="E26" s="25" t="n">
        <f aca="false">A26/'Giả định'!$B$19*'Giả định'!$B$20+A26*'Giả định'!$B$23+'Giả định'!$B$24</f>
        <v>7817647.05882353</v>
      </c>
      <c r="F26" s="25" t="n">
        <f aca="false">E26-D26</f>
        <v>-332853892.941177</v>
      </c>
      <c r="G26" s="25" t="n">
        <f aca="false">E26-C26</f>
        <v>-189248892.941177</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197103280</v>
      </c>
      <c r="D27" s="25" t="n">
        <f aca="false">('Chi phí'!$C$77+'Chi phí'!$D$77*B27+'Chi phí'!$E$77*A27+'Giả định'!$B$15*('Chi phí'!$F$77+'Chi phí'!$G$77*B27+'Chi phí'!$H$77*A27))*(1+'Giả định'!$B$16)</f>
        <v>340708280</v>
      </c>
      <c r="E27" s="25" t="n">
        <f aca="false">A27/'Giả định'!$B$19*'Giả định'!$B$20+A27*'Giả định'!$B$23+'Giả định'!$B$24</f>
        <v>8189915.96638656</v>
      </c>
      <c r="F27" s="25" t="n">
        <f aca="false">E27-D27</f>
        <v>-332518364.033613</v>
      </c>
      <c r="G27" s="25" t="n">
        <f aca="false">E27-C27</f>
        <v>-188913364.033613</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197140020</v>
      </c>
      <c r="D28" s="25" t="n">
        <f aca="false">('Chi phí'!$C$77+'Chi phí'!$D$77*B28+'Chi phí'!$E$77*A28+'Giả định'!$B$15*('Chi phí'!$F$77+'Chi phí'!$G$77*B28+'Chi phí'!$H$77*A28))*(1+'Giả định'!$B$16)</f>
        <v>340745020</v>
      </c>
      <c r="E28" s="25" t="n">
        <f aca="false">A28/'Giả định'!$B$19*'Giả định'!$B$20+A28*'Giả định'!$B$23+'Giả định'!$B$24</f>
        <v>8562184.87394958</v>
      </c>
      <c r="F28" s="25" t="n">
        <f aca="false">E28-D28</f>
        <v>-332182835.12605</v>
      </c>
      <c r="G28" s="25" t="n">
        <f aca="false">E28-C28</f>
        <v>-188577835.12605</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197176760</v>
      </c>
      <c r="D29" s="25" t="n">
        <f aca="false">('Chi phí'!$C$77+'Chi phí'!$D$77*B29+'Chi phí'!$E$77*A29+'Giả định'!$B$15*('Chi phí'!$F$77+'Chi phí'!$G$77*B29+'Chi phí'!$H$77*A29))*(1+'Giả định'!$B$16)</f>
        <v>340781760</v>
      </c>
      <c r="E29" s="25" t="n">
        <f aca="false">A29/'Giả định'!$B$19*'Giả định'!$B$20+A29*'Giả định'!$B$23+'Giả định'!$B$24</f>
        <v>8934453.78151261</v>
      </c>
      <c r="F29" s="25" t="n">
        <f aca="false">E29-D29</f>
        <v>-331847306.218487</v>
      </c>
      <c r="G29" s="25" t="n">
        <f aca="false">E29-C29</f>
        <v>-188242306.218487</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197213500</v>
      </c>
      <c r="D30" s="25" t="n">
        <f aca="false">('Chi phí'!$C$77+'Chi phí'!$D$77*B30+'Chi phí'!$E$77*A30+'Giả định'!$B$15*('Chi phí'!$F$77+'Chi phí'!$G$77*B30+'Chi phí'!$H$77*A30))*(1+'Giả định'!$B$16)</f>
        <v>340818500</v>
      </c>
      <c r="E30" s="25" t="n">
        <f aca="false">A30/'Giả định'!$B$19*'Giả định'!$B$20+A30*'Giả định'!$B$23+'Giả định'!$B$24</f>
        <v>9306722.68907563</v>
      </c>
      <c r="F30" s="25" t="n">
        <f aca="false">E30-D30</f>
        <v>-331511777.310924</v>
      </c>
      <c r="G30" s="25" t="n">
        <f aca="false">E30-C30</f>
        <v>-187906777.310924</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197250240</v>
      </c>
      <c r="D31" s="25" t="n">
        <f aca="false">('Chi phí'!$C$77+'Chi phí'!$D$77*B31+'Chi phí'!$E$77*A31+'Giả định'!$B$15*('Chi phí'!$F$77+'Chi phí'!$G$77*B31+'Chi phí'!$H$77*A31))*(1+'Giả định'!$B$16)</f>
        <v>340855240</v>
      </c>
      <c r="E31" s="25" t="n">
        <f aca="false">A31/'Giả định'!$B$19*'Giả định'!$B$20+A31*'Giả định'!$B$23+'Giả định'!$B$24</f>
        <v>9678991.59663866</v>
      </c>
      <c r="F31" s="25" t="n">
        <f aca="false">E31-D31</f>
        <v>-331176248.403361</v>
      </c>
      <c r="G31" s="25" t="n">
        <f aca="false">E31-C31</f>
        <v>-187571248.403361</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197286980</v>
      </c>
      <c r="D32" s="25" t="n">
        <f aca="false">('Chi phí'!$C$77+'Chi phí'!$D$77*B32+'Chi phí'!$E$77*A32+'Giả định'!$B$15*('Chi phí'!$F$77+'Chi phí'!$G$77*B32+'Chi phí'!$H$77*A32))*(1+'Giả định'!$B$16)</f>
        <v>340891980</v>
      </c>
      <c r="E32" s="25" t="n">
        <f aca="false">A32/'Giả định'!$B$19*'Giả định'!$B$20+A32*'Giả định'!$B$23+'Giả định'!$B$24</f>
        <v>10051260.5042017</v>
      </c>
      <c r="F32" s="25" t="n">
        <f aca="false">E32-D32</f>
        <v>-330840719.495798</v>
      </c>
      <c r="G32" s="25" t="n">
        <f aca="false">E32-C32</f>
        <v>-187235719.495798</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197323720</v>
      </c>
      <c r="D33" s="25" t="n">
        <f aca="false">('Chi phí'!$C$77+'Chi phí'!$D$77*B33+'Chi phí'!$E$77*A33+'Giả định'!$B$15*('Chi phí'!$F$77+'Chi phí'!$G$77*B33+'Chi phí'!$H$77*A33))*(1+'Giả định'!$B$16)</f>
        <v>340928720</v>
      </c>
      <c r="E33" s="25" t="n">
        <f aca="false">A33/'Giả định'!$B$19*'Giả định'!$B$20+A33*'Giả định'!$B$23+'Giả định'!$B$24</f>
        <v>10423529.4117647</v>
      </c>
      <c r="F33" s="25" t="n">
        <f aca="false">E33-D33</f>
        <v>-330505190.588235</v>
      </c>
      <c r="G33" s="25" t="n">
        <f aca="false">E33-C33</f>
        <v>-186900190.588235</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197360460</v>
      </c>
      <c r="D34" s="25" t="n">
        <f aca="false">('Chi phí'!$C$77+'Chi phí'!$D$77*B34+'Chi phí'!$E$77*A34+'Giả định'!$B$15*('Chi phí'!$F$77+'Chi phí'!$G$77*B34+'Chi phí'!$H$77*A34))*(1+'Giả định'!$B$16)</f>
        <v>340965460</v>
      </c>
      <c r="E34" s="25" t="n">
        <f aca="false">A34/'Giả định'!$B$19*'Giả định'!$B$20+A34*'Giả định'!$B$23+'Giả định'!$B$24</f>
        <v>10795798.3193277</v>
      </c>
      <c r="F34" s="25" t="n">
        <f aca="false">E34-D34</f>
        <v>-330169661.680672</v>
      </c>
      <c r="G34" s="25" t="n">
        <f aca="false">E34-C34</f>
        <v>-186564661.680672</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197397200</v>
      </c>
      <c r="D35" s="25" t="n">
        <f aca="false">('Chi phí'!$C$77+'Chi phí'!$D$77*B35+'Chi phí'!$E$77*A35+'Giả định'!$B$15*('Chi phí'!$F$77+'Chi phí'!$G$77*B35+'Chi phí'!$H$77*A35))*(1+'Giả định'!$B$16)</f>
        <v>341002200</v>
      </c>
      <c r="E35" s="25" t="n">
        <f aca="false">A35/'Giả định'!$B$19*'Giả định'!$B$20+A35*'Giả định'!$B$23+'Giả định'!$B$24</f>
        <v>11168067.2268908</v>
      </c>
      <c r="F35" s="25" t="n">
        <f aca="false">E35-D35</f>
        <v>-329834132.773109</v>
      </c>
      <c r="G35" s="25" t="n">
        <f aca="false">E35-C35</f>
        <v>-186229132.773109</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197433940</v>
      </c>
      <c r="D36" s="25" t="n">
        <f aca="false">('Chi phí'!$C$77+'Chi phí'!$D$77*B36+'Chi phí'!$E$77*A36+'Giả định'!$B$15*('Chi phí'!$F$77+'Chi phí'!$G$77*B36+'Chi phí'!$H$77*A36))*(1+'Giả định'!$B$16)</f>
        <v>341038940</v>
      </c>
      <c r="E36" s="25" t="n">
        <f aca="false">A36/'Giả định'!$B$19*'Giả định'!$B$20+A36*'Giả định'!$B$23+'Giả định'!$B$24</f>
        <v>11540336.1344538</v>
      </c>
      <c r="F36" s="25" t="n">
        <f aca="false">E36-D36</f>
        <v>-329498603.865546</v>
      </c>
      <c r="G36" s="25" t="n">
        <f aca="false">E36-C36</f>
        <v>-185893603.865546</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197470680</v>
      </c>
      <c r="D37" s="25" t="n">
        <f aca="false">('Chi phí'!$C$77+'Chi phí'!$D$77*B37+'Chi phí'!$E$77*A37+'Giả định'!$B$15*('Chi phí'!$F$77+'Chi phí'!$G$77*B37+'Chi phí'!$H$77*A37))*(1+'Giả định'!$B$16)</f>
        <v>341075680</v>
      </c>
      <c r="E37" s="25" t="n">
        <f aca="false">A37/'Giả định'!$B$19*'Giả định'!$B$20+A37*'Giả định'!$B$23+'Giả định'!$B$24</f>
        <v>11912605.0420168</v>
      </c>
      <c r="F37" s="25" t="n">
        <f aca="false">E37-D37</f>
        <v>-329163074.957983</v>
      </c>
      <c r="G37" s="25" t="n">
        <f aca="false">E37-C37</f>
        <v>-185558074.957983</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197507420</v>
      </c>
      <c r="D38" s="25" t="n">
        <f aca="false">('Chi phí'!$C$77+'Chi phí'!$D$77*B38+'Chi phí'!$E$77*A38+'Giả định'!$B$15*('Chi phí'!$F$77+'Chi phí'!$G$77*B38+'Chi phí'!$H$77*A38))*(1+'Giả định'!$B$16)</f>
        <v>341112420</v>
      </c>
      <c r="E38" s="25" t="n">
        <f aca="false">A38/'Giả định'!$B$19*'Giả định'!$B$20+A38*'Giả định'!$B$23+'Giả định'!$B$24</f>
        <v>12284873.9495798</v>
      </c>
      <c r="F38" s="25" t="n">
        <f aca="false">E38-D38</f>
        <v>-328827546.05042</v>
      </c>
      <c r="G38" s="25" t="n">
        <f aca="false">E38-C38</f>
        <v>-185222546.05042</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197544160</v>
      </c>
      <c r="D39" s="25" t="n">
        <f aca="false">('Chi phí'!$C$77+'Chi phí'!$D$77*B39+'Chi phí'!$E$77*A39+'Giả định'!$B$15*('Chi phí'!$F$77+'Chi phí'!$G$77*B39+'Chi phí'!$H$77*A39))*(1+'Giả định'!$B$16)</f>
        <v>341149160</v>
      </c>
      <c r="E39" s="25" t="n">
        <f aca="false">A39/'Giả định'!$B$19*'Giả định'!$B$20+A39*'Giả định'!$B$23+'Giả định'!$B$24</f>
        <v>12657142.8571429</v>
      </c>
      <c r="F39" s="25" t="n">
        <f aca="false">E39-D39</f>
        <v>-328492017.142857</v>
      </c>
      <c r="G39" s="25" t="n">
        <f aca="false">E39-C39</f>
        <v>-184887017.142857</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197580900</v>
      </c>
      <c r="D40" s="25" t="n">
        <f aca="false">('Chi phí'!$C$77+'Chi phí'!$D$77*B40+'Chi phí'!$E$77*A40+'Giả định'!$B$15*('Chi phí'!$F$77+'Chi phí'!$G$77*B40+'Chi phí'!$H$77*A40))*(1+'Giả định'!$B$16)</f>
        <v>341185900</v>
      </c>
      <c r="E40" s="25" t="n">
        <f aca="false">A40/'Giả định'!$B$19*'Giả định'!$B$20+A40*'Giả định'!$B$23+'Giả định'!$B$24</f>
        <v>13029411.7647059</v>
      </c>
      <c r="F40" s="25" t="n">
        <f aca="false">E40-D40</f>
        <v>-328156488.235294</v>
      </c>
      <c r="G40" s="25" t="n">
        <f aca="false">E40-C40</f>
        <v>-184551488.235294</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197617640</v>
      </c>
      <c r="D41" s="25" t="n">
        <f aca="false">('Chi phí'!$C$77+'Chi phí'!$D$77*B41+'Chi phí'!$E$77*A41+'Giả định'!$B$15*('Chi phí'!$F$77+'Chi phí'!$G$77*B41+'Chi phí'!$H$77*A41))*(1+'Giả định'!$B$16)</f>
        <v>341222640</v>
      </c>
      <c r="E41" s="25" t="n">
        <f aca="false">A41/'Giả định'!$B$19*'Giả định'!$B$20+A41*'Giả định'!$B$23+'Giả định'!$B$24</f>
        <v>13401680.6722689</v>
      </c>
      <c r="F41" s="25" t="n">
        <f aca="false">E41-D41</f>
        <v>-327820959.327731</v>
      </c>
      <c r="G41" s="25" t="n">
        <f aca="false">E41-C41</f>
        <v>-184215959.327731</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197654380</v>
      </c>
      <c r="D42" s="25" t="n">
        <f aca="false">('Chi phí'!$C$77+'Chi phí'!$D$77*B42+'Chi phí'!$E$77*A42+'Giả định'!$B$15*('Chi phí'!$F$77+'Chi phí'!$G$77*B42+'Chi phí'!$H$77*A42))*(1+'Giả định'!$B$16)</f>
        <v>341259380</v>
      </c>
      <c r="E42" s="25" t="n">
        <f aca="false">A42/'Giả định'!$B$19*'Giả định'!$B$20+A42*'Giả định'!$B$23+'Giả định'!$B$24</f>
        <v>13773949.5798319</v>
      </c>
      <c r="F42" s="25" t="n">
        <f aca="false">E42-D42</f>
        <v>-327485430.420168</v>
      </c>
      <c r="G42" s="25" t="n">
        <f aca="false">E42-C42</f>
        <v>-183880430.420168</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197691120</v>
      </c>
      <c r="D43" s="25" t="n">
        <f aca="false">('Chi phí'!$C$77+'Chi phí'!$D$77*B43+'Chi phí'!$E$77*A43+'Giả định'!$B$15*('Chi phí'!$F$77+'Chi phí'!$G$77*B43+'Chi phí'!$H$77*A43))*(1+'Giả định'!$B$16)</f>
        <v>341296120</v>
      </c>
      <c r="E43" s="25" t="n">
        <f aca="false">A43/'Giả định'!$B$19*'Giả định'!$B$20+A43*'Giả định'!$B$23+'Giả định'!$B$24</f>
        <v>14146218.487395</v>
      </c>
      <c r="F43" s="25" t="n">
        <f aca="false">E43-D43</f>
        <v>-327149901.512605</v>
      </c>
      <c r="G43" s="25" t="n">
        <f aca="false">E43-C43</f>
        <v>-183544901.512605</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197727860</v>
      </c>
      <c r="D44" s="25" t="n">
        <f aca="false">('Chi phí'!$C$77+'Chi phí'!$D$77*B44+'Chi phí'!$E$77*A44+'Giả định'!$B$15*('Chi phí'!$F$77+'Chi phí'!$G$77*B44+'Chi phí'!$H$77*A44))*(1+'Giả định'!$B$16)</f>
        <v>341332860</v>
      </c>
      <c r="E44" s="25" t="n">
        <f aca="false">A44/'Giả định'!$B$19*'Giả định'!$B$20+A44*'Giả định'!$B$23+'Giả định'!$B$24</f>
        <v>14518487.394958</v>
      </c>
      <c r="F44" s="25" t="n">
        <f aca="false">E44-D44</f>
        <v>-326814372.605042</v>
      </c>
      <c r="G44" s="25" t="n">
        <f aca="false">E44-C44</f>
        <v>-183209372.605042</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197764600</v>
      </c>
      <c r="D45" s="25" t="n">
        <f aca="false">('Chi phí'!$C$77+'Chi phí'!$D$77*B45+'Chi phí'!$E$77*A45+'Giả định'!$B$15*('Chi phí'!$F$77+'Chi phí'!$G$77*B45+'Chi phí'!$H$77*A45))*(1+'Giả định'!$B$16)</f>
        <v>341369600</v>
      </c>
      <c r="E45" s="25" t="n">
        <f aca="false">A45/'Giả định'!$B$19*'Giả định'!$B$20+A45*'Giả định'!$B$23+'Giả định'!$B$24</f>
        <v>14890756.302521</v>
      </c>
      <c r="F45" s="25" t="n">
        <f aca="false">E45-D45</f>
        <v>-326478843.697479</v>
      </c>
      <c r="G45" s="25" t="n">
        <f aca="false">E45-C45</f>
        <v>-182873843.697479</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197801340</v>
      </c>
      <c r="D46" s="25" t="n">
        <f aca="false">('Chi phí'!$C$77+'Chi phí'!$D$77*B46+'Chi phí'!$E$77*A46+'Giả định'!$B$15*('Chi phí'!$F$77+'Chi phí'!$G$77*B46+'Chi phí'!$H$77*A46))*(1+'Giả định'!$B$16)</f>
        <v>341406340</v>
      </c>
      <c r="E46" s="25" t="n">
        <f aca="false">A46/'Giả định'!$B$19*'Giả định'!$B$20+A46*'Giả định'!$B$23+'Giả định'!$B$24</f>
        <v>15263025.210084</v>
      </c>
      <c r="F46" s="25" t="n">
        <f aca="false">E46-D46</f>
        <v>-326143314.789916</v>
      </c>
      <c r="G46" s="25" t="n">
        <f aca="false">E46-C46</f>
        <v>-182538314.789916</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197838080</v>
      </c>
      <c r="D47" s="25" t="n">
        <f aca="false">('Chi phí'!$C$77+'Chi phí'!$D$77*B47+'Chi phí'!$E$77*A47+'Giả định'!$B$15*('Chi phí'!$F$77+'Chi phí'!$G$77*B47+'Chi phí'!$H$77*A47))*(1+'Giả định'!$B$16)</f>
        <v>341443080</v>
      </c>
      <c r="E47" s="25" t="n">
        <f aca="false">A47/'Giả định'!$B$19*'Giả định'!$B$20+A47*'Giả định'!$B$23+'Giả định'!$B$24</f>
        <v>15635294.1176471</v>
      </c>
      <c r="F47" s="25" t="n">
        <f aca="false">E47-D47</f>
        <v>-325807785.882353</v>
      </c>
      <c r="G47" s="25" t="n">
        <f aca="false">E47-C47</f>
        <v>-182202785.882353</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197874820</v>
      </c>
      <c r="D48" s="25" t="n">
        <f aca="false">('Chi phí'!$C$77+'Chi phí'!$D$77*B48+'Chi phí'!$E$77*A48+'Giả định'!$B$15*('Chi phí'!$F$77+'Chi phí'!$G$77*B48+'Chi phí'!$H$77*A48))*(1+'Giả định'!$B$16)</f>
        <v>341479820</v>
      </c>
      <c r="E48" s="25" t="n">
        <f aca="false">A48/'Giả định'!$B$19*'Giả định'!$B$20+A48*'Giả định'!$B$23+'Giả định'!$B$24</f>
        <v>16007563.0252101</v>
      </c>
      <c r="F48" s="25" t="n">
        <f aca="false">E48-D48</f>
        <v>-325472256.97479</v>
      </c>
      <c r="G48" s="25" t="n">
        <f aca="false">E48-C48</f>
        <v>-181867256.97479</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197911560</v>
      </c>
      <c r="D49" s="25" t="n">
        <f aca="false">('Chi phí'!$C$77+'Chi phí'!$D$77*B49+'Chi phí'!$E$77*A49+'Giả định'!$B$15*('Chi phí'!$F$77+'Chi phí'!$G$77*B49+'Chi phí'!$H$77*A49))*(1+'Giả định'!$B$16)</f>
        <v>341516560</v>
      </c>
      <c r="E49" s="25" t="n">
        <f aca="false">A49/'Giả định'!$B$19*'Giả định'!$B$20+A49*'Giả định'!$B$23+'Giả định'!$B$24</f>
        <v>16379831.9327731</v>
      </c>
      <c r="F49" s="25" t="n">
        <f aca="false">E49-D49</f>
        <v>-325136728.067227</v>
      </c>
      <c r="G49" s="25" t="n">
        <f aca="false">E49-C49</f>
        <v>-181531728.067227</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197948300</v>
      </c>
      <c r="D50" s="25" t="n">
        <f aca="false">('Chi phí'!$C$77+'Chi phí'!$D$77*B50+'Chi phí'!$E$77*A50+'Giả định'!$B$15*('Chi phí'!$F$77+'Chi phí'!$G$77*B50+'Chi phí'!$H$77*A50))*(1+'Giả định'!$B$16)</f>
        <v>341553300</v>
      </c>
      <c r="E50" s="25" t="n">
        <f aca="false">A50/'Giả định'!$B$19*'Giả định'!$B$20+A50*'Giả định'!$B$23+'Giả định'!$B$24</f>
        <v>16752100.8403361</v>
      </c>
      <c r="F50" s="25" t="n">
        <f aca="false">E50-D50</f>
        <v>-324801199.159664</v>
      </c>
      <c r="G50" s="25" t="n">
        <f aca="false">E50-C50</f>
        <v>-181196199.159664</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197985040</v>
      </c>
      <c r="D51" s="25" t="n">
        <f aca="false">('Chi phí'!$C$77+'Chi phí'!$D$77*B51+'Chi phí'!$E$77*A51+'Giả định'!$B$15*('Chi phí'!$F$77+'Chi phí'!$G$77*B51+'Chi phí'!$H$77*A51))*(1+'Giả định'!$B$16)</f>
        <v>341590040</v>
      </c>
      <c r="E51" s="25" t="n">
        <f aca="false">A51/'Giả định'!$B$19*'Giả định'!$B$20+A51*'Giả định'!$B$23+'Giả định'!$B$24</f>
        <v>17124369.7478992</v>
      </c>
      <c r="F51" s="25" t="n">
        <f aca="false">E51-D51</f>
        <v>-324465670.252101</v>
      </c>
      <c r="G51" s="25" t="n">
        <f aca="false">E51-C51</f>
        <v>-180860670.252101</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198021780</v>
      </c>
      <c r="D52" s="25" t="n">
        <f aca="false">('Chi phí'!$C$77+'Chi phí'!$D$77*B52+'Chi phí'!$E$77*A52+'Giả định'!$B$15*('Chi phí'!$F$77+'Chi phí'!$G$77*B52+'Chi phí'!$H$77*A52))*(1+'Giả định'!$B$16)</f>
        <v>341626780</v>
      </c>
      <c r="E52" s="25" t="n">
        <f aca="false">A52/'Giả định'!$B$19*'Giả định'!$B$20+A52*'Giả định'!$B$23+'Giả định'!$B$24</f>
        <v>17496638.6554622</v>
      </c>
      <c r="F52" s="25" t="n">
        <f aca="false">E52-D52</f>
        <v>-324130141.344538</v>
      </c>
      <c r="G52" s="25" t="n">
        <f aca="false">E52-C52</f>
        <v>-180525141.344538</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198058520</v>
      </c>
      <c r="D53" s="25" t="n">
        <f aca="false">('Chi phí'!$C$77+'Chi phí'!$D$77*B53+'Chi phí'!$E$77*A53+'Giả định'!$B$15*('Chi phí'!$F$77+'Chi phí'!$G$77*B53+'Chi phí'!$H$77*A53))*(1+'Giả định'!$B$16)</f>
        <v>341663520</v>
      </c>
      <c r="E53" s="25" t="n">
        <f aca="false">A53/'Giả định'!$B$19*'Giả định'!$B$20+A53*'Giả định'!$B$23+'Giả định'!$B$24</f>
        <v>17868907.5630252</v>
      </c>
      <c r="F53" s="25" t="n">
        <f aca="false">E53-D53</f>
        <v>-323794612.436975</v>
      </c>
      <c r="G53" s="25" t="n">
        <f aca="false">E53-C53</f>
        <v>-180189612.436975</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198095260</v>
      </c>
      <c r="D54" s="25" t="n">
        <f aca="false">('Chi phí'!$C$77+'Chi phí'!$D$77*B54+'Chi phí'!$E$77*A54+'Giả định'!$B$15*('Chi phí'!$F$77+'Chi phí'!$G$77*B54+'Chi phí'!$H$77*A54))*(1+'Giả định'!$B$16)</f>
        <v>341700260</v>
      </c>
      <c r="E54" s="25" t="n">
        <f aca="false">A54/'Giả định'!$B$19*'Giả định'!$B$20+A54*'Giả định'!$B$23+'Giả định'!$B$24</f>
        <v>18241176.4705882</v>
      </c>
      <c r="F54" s="25" t="n">
        <f aca="false">E54-D54</f>
        <v>-323459083.529412</v>
      </c>
      <c r="G54" s="25" t="n">
        <f aca="false">E54-C54</f>
        <v>-179854083.529412</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198132000</v>
      </c>
      <c r="D55" s="25" t="n">
        <f aca="false">('Chi phí'!$C$77+'Chi phí'!$D$77*B55+'Chi phí'!$E$77*A55+'Giả định'!$B$15*('Chi phí'!$F$77+'Chi phí'!$G$77*B55+'Chi phí'!$H$77*A55))*(1+'Giả định'!$B$16)</f>
        <v>341737000</v>
      </c>
      <c r="E55" s="25" t="n">
        <f aca="false">A55/'Giả định'!$B$19*'Giả định'!$B$20+A55*'Giả định'!$B$23+'Giả định'!$B$24</f>
        <v>18613445.3781513</v>
      </c>
      <c r="F55" s="25" t="n">
        <f aca="false">E55-D55</f>
        <v>-323123554.621849</v>
      </c>
      <c r="G55" s="25" t="n">
        <f aca="false">E55-C55</f>
        <v>-179518554.621849</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198168740</v>
      </c>
      <c r="D56" s="25" t="n">
        <f aca="false">('Chi phí'!$C$77+'Chi phí'!$D$77*B56+'Chi phí'!$E$77*A56+'Giả định'!$B$15*('Chi phí'!$F$77+'Chi phí'!$G$77*B56+'Chi phí'!$H$77*A56))*(1+'Giả định'!$B$16)</f>
        <v>341773740</v>
      </c>
      <c r="E56" s="25" t="n">
        <f aca="false">A56/'Giả định'!$B$19*'Giả định'!$B$20+A56*'Giả định'!$B$23+'Giả định'!$B$24</f>
        <v>18985714.2857143</v>
      </c>
      <c r="F56" s="25" t="n">
        <f aca="false">E56-D56</f>
        <v>-322788025.714286</v>
      </c>
      <c r="G56" s="25" t="n">
        <f aca="false">E56-C56</f>
        <v>-179183025.714286</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198205480</v>
      </c>
      <c r="D57" s="25" t="n">
        <f aca="false">('Chi phí'!$C$77+'Chi phí'!$D$77*B57+'Chi phí'!$E$77*A57+'Giả định'!$B$15*('Chi phí'!$F$77+'Chi phí'!$G$77*B57+'Chi phí'!$H$77*A57))*(1+'Giả định'!$B$16)</f>
        <v>341810480</v>
      </c>
      <c r="E57" s="25" t="n">
        <f aca="false">A57/'Giả định'!$B$19*'Giả định'!$B$20+A57*'Giả định'!$B$23+'Giả định'!$B$24</f>
        <v>19357983.1932773</v>
      </c>
      <c r="F57" s="25" t="n">
        <f aca="false">E57-D57</f>
        <v>-322452496.806723</v>
      </c>
      <c r="G57" s="25" t="n">
        <f aca="false">E57-C57</f>
        <v>-178847496.806723</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198242220</v>
      </c>
      <c r="D58" s="25" t="n">
        <f aca="false">('Chi phí'!$C$77+'Chi phí'!$D$77*B58+'Chi phí'!$E$77*A58+'Giả định'!$B$15*('Chi phí'!$F$77+'Chi phí'!$G$77*B58+'Chi phí'!$H$77*A58))*(1+'Giả định'!$B$16)</f>
        <v>341847220</v>
      </c>
      <c r="E58" s="25" t="n">
        <f aca="false">A58/'Giả định'!$B$19*'Giả định'!$B$20+A58*'Giả định'!$B$23+'Giả định'!$B$24</f>
        <v>19730252.1008403</v>
      </c>
      <c r="F58" s="25" t="n">
        <f aca="false">E58-D58</f>
        <v>-322116967.89916</v>
      </c>
      <c r="G58" s="25" t="n">
        <f aca="false">E58-C58</f>
        <v>-178511967.89916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198278960</v>
      </c>
      <c r="D59" s="25" t="n">
        <f aca="false">('Chi phí'!$C$77+'Chi phí'!$D$77*B59+'Chi phí'!$E$77*A59+'Giả định'!$B$15*('Chi phí'!$F$77+'Chi phí'!$G$77*B59+'Chi phí'!$H$77*A59))*(1+'Giả định'!$B$16)</f>
        <v>341883960</v>
      </c>
      <c r="E59" s="25" t="n">
        <f aca="false">A59/'Giả định'!$B$19*'Giả định'!$B$20+A59*'Giả định'!$B$23+'Giả định'!$B$24</f>
        <v>20102521.0084034</v>
      </c>
      <c r="F59" s="25" t="n">
        <f aca="false">E59-D59</f>
        <v>-321781438.991597</v>
      </c>
      <c r="G59" s="25" t="n">
        <f aca="false">E59-C59</f>
        <v>-178176438.991597</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198315700</v>
      </c>
      <c r="D60" s="25" t="n">
        <f aca="false">('Chi phí'!$C$77+'Chi phí'!$D$77*B60+'Chi phí'!$E$77*A60+'Giả định'!$B$15*('Chi phí'!$F$77+'Chi phí'!$G$77*B60+'Chi phí'!$H$77*A60))*(1+'Giả định'!$B$16)</f>
        <v>341920700</v>
      </c>
      <c r="E60" s="25" t="n">
        <f aca="false">A60/'Giả định'!$B$19*'Giả định'!$B$20+A60*'Giả định'!$B$23+'Giả định'!$B$24</f>
        <v>20474789.9159664</v>
      </c>
      <c r="F60" s="25" t="n">
        <f aca="false">E60-D60</f>
        <v>-321445910.084034</v>
      </c>
      <c r="G60" s="25" t="n">
        <f aca="false">E60-C60</f>
        <v>-177840910.084034</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198352440</v>
      </c>
      <c r="D61" s="25" t="n">
        <f aca="false">('Chi phí'!$C$77+'Chi phí'!$D$77*B61+'Chi phí'!$E$77*A61+'Giả định'!$B$15*('Chi phí'!$F$77+'Chi phí'!$G$77*B61+'Chi phí'!$H$77*A61))*(1+'Giả định'!$B$16)</f>
        <v>341957440</v>
      </c>
      <c r="E61" s="25" t="n">
        <f aca="false">A61/'Giả định'!$B$19*'Giả định'!$B$20+A61*'Giả định'!$B$23+'Giả định'!$B$24</f>
        <v>20847058.8235294</v>
      </c>
      <c r="F61" s="25" t="n">
        <f aca="false">E61-D61</f>
        <v>-321110381.176471</v>
      </c>
      <c r="G61" s="25" t="n">
        <f aca="false">E61-C61</f>
        <v>-177505381.176471</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198389180</v>
      </c>
      <c r="D62" s="25" t="n">
        <f aca="false">('Chi phí'!$C$77+'Chi phí'!$D$77*B62+'Chi phí'!$E$77*A62+'Giả định'!$B$15*('Chi phí'!$F$77+'Chi phí'!$G$77*B62+'Chi phí'!$H$77*A62))*(1+'Giả định'!$B$16)</f>
        <v>341994180</v>
      </c>
      <c r="E62" s="25" t="n">
        <f aca="false">A62/'Giả định'!$B$19*'Giả định'!$B$20+A62*'Giả định'!$B$23+'Giả định'!$B$24</f>
        <v>21219327.7310924</v>
      </c>
      <c r="F62" s="25" t="n">
        <f aca="false">E62-D62</f>
        <v>-320774852.268908</v>
      </c>
      <c r="G62" s="25" t="n">
        <f aca="false">E62-C62</f>
        <v>-177169852.268908</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198425920</v>
      </c>
      <c r="D63" s="25" t="n">
        <f aca="false">('Chi phí'!$C$77+'Chi phí'!$D$77*B63+'Chi phí'!$E$77*A63+'Giả định'!$B$15*('Chi phí'!$F$77+'Chi phí'!$G$77*B63+'Chi phí'!$H$77*A63))*(1+'Giả định'!$B$16)</f>
        <v>342030920</v>
      </c>
      <c r="E63" s="25" t="n">
        <f aca="false">A63/'Giả định'!$B$19*'Giả định'!$B$20+A63*'Giả định'!$B$23+'Giả định'!$B$24</f>
        <v>21591596.6386555</v>
      </c>
      <c r="F63" s="25" t="n">
        <f aca="false">E63-D63</f>
        <v>-320439323.361345</v>
      </c>
      <c r="G63" s="25" t="n">
        <f aca="false">E63-C63</f>
        <v>-176834323.361345</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198462660</v>
      </c>
      <c r="D64" s="25" t="n">
        <f aca="false">('Chi phí'!$C$77+'Chi phí'!$D$77*B64+'Chi phí'!$E$77*A64+'Giả định'!$B$15*('Chi phí'!$F$77+'Chi phí'!$G$77*B64+'Chi phí'!$H$77*A64))*(1+'Giả định'!$B$16)</f>
        <v>342067660</v>
      </c>
      <c r="E64" s="25" t="n">
        <f aca="false">A64/'Giả định'!$B$19*'Giả định'!$B$20+A64*'Giả định'!$B$23+'Giả định'!$B$24</f>
        <v>21963865.5462185</v>
      </c>
      <c r="F64" s="25" t="n">
        <f aca="false">E64-D64</f>
        <v>-320103794.453782</v>
      </c>
      <c r="G64" s="25" t="n">
        <f aca="false">E64-C64</f>
        <v>-176498794.453782</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198499400</v>
      </c>
      <c r="D65" s="25" t="n">
        <f aca="false">('Chi phí'!$C$77+'Chi phí'!$D$77*B65+'Chi phí'!$E$77*A65+'Giả định'!$B$15*('Chi phí'!$F$77+'Chi phí'!$G$77*B65+'Chi phí'!$H$77*A65))*(1+'Giả định'!$B$16)</f>
        <v>342104400</v>
      </c>
      <c r="E65" s="25" t="n">
        <f aca="false">A65/'Giả định'!$B$19*'Giả định'!$B$20+A65*'Giả định'!$B$23+'Giả định'!$B$24</f>
        <v>22336134.4537815</v>
      </c>
      <c r="F65" s="25" t="n">
        <f aca="false">E65-D65</f>
        <v>-319768265.546219</v>
      </c>
      <c r="G65" s="25" t="n">
        <f aca="false">E65-C65</f>
        <v>-176163265.546219</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198536140</v>
      </c>
      <c r="D66" s="25" t="n">
        <f aca="false">('Chi phí'!$C$77+'Chi phí'!$D$77*B66+'Chi phí'!$E$77*A66+'Giả định'!$B$15*('Chi phí'!$F$77+'Chi phí'!$G$77*B66+'Chi phí'!$H$77*A66))*(1+'Giả định'!$B$16)</f>
        <v>342141140</v>
      </c>
      <c r="E66" s="25" t="n">
        <f aca="false">A66/'Giả định'!$B$19*'Giả định'!$B$20+A66*'Giả định'!$B$23+'Giả định'!$B$24</f>
        <v>22708403.3613445</v>
      </c>
      <c r="F66" s="25" t="n">
        <f aca="false">E66-D66</f>
        <v>-319432736.638656</v>
      </c>
      <c r="G66" s="25" t="n">
        <f aca="false">E66-C66</f>
        <v>-175827736.638655</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198572880</v>
      </c>
      <c r="D67" s="25" t="n">
        <f aca="false">('Chi phí'!$C$77+'Chi phí'!$D$77*B67+'Chi phí'!$E$77*A67+'Giả định'!$B$15*('Chi phí'!$F$77+'Chi phí'!$G$77*B67+'Chi phí'!$H$77*A67))*(1+'Giả định'!$B$16)</f>
        <v>342177880</v>
      </c>
      <c r="E67" s="25" t="n">
        <f aca="false">A67/'Giả định'!$B$19*'Giả định'!$B$20+A67*'Giả định'!$B$23+'Giả định'!$B$24</f>
        <v>23080672.2689076</v>
      </c>
      <c r="F67" s="25" t="n">
        <f aca="false">E67-D67</f>
        <v>-319097207.731092</v>
      </c>
      <c r="G67" s="25" t="n">
        <f aca="false">E67-C67</f>
        <v>-175492207.731092</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198609620</v>
      </c>
      <c r="D68" s="25" t="n">
        <f aca="false">('Chi phí'!$C$77+'Chi phí'!$D$77*B68+'Chi phí'!$E$77*A68+'Giả định'!$B$15*('Chi phí'!$F$77+'Chi phí'!$G$77*B68+'Chi phí'!$H$77*A68))*(1+'Giả định'!$B$16)</f>
        <v>342214620</v>
      </c>
      <c r="E68" s="25" t="n">
        <f aca="false">A68/'Giả định'!$B$19*'Giả định'!$B$20+A68*'Giả định'!$B$23+'Giả định'!$B$24</f>
        <v>23452941.1764706</v>
      </c>
      <c r="F68" s="25" t="n">
        <f aca="false">E68-D68</f>
        <v>-318761678.823529</v>
      </c>
      <c r="G68" s="25" t="n">
        <f aca="false">E68-C68</f>
        <v>-175156678.823529</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198646360</v>
      </c>
      <c r="D69" s="25" t="n">
        <f aca="false">('Chi phí'!$C$77+'Chi phí'!$D$77*B69+'Chi phí'!$E$77*A69+'Giả định'!$B$15*('Chi phí'!$F$77+'Chi phí'!$G$77*B69+'Chi phí'!$H$77*A69))*(1+'Giả định'!$B$16)</f>
        <v>342251360</v>
      </c>
      <c r="E69" s="25" t="n">
        <f aca="false">A69/'Giả định'!$B$19*'Giả định'!$B$20+A69*'Giả định'!$B$23+'Giả định'!$B$24</f>
        <v>23825210.0840336</v>
      </c>
      <c r="F69" s="25" t="n">
        <f aca="false">E69-D69</f>
        <v>-318426149.915966</v>
      </c>
      <c r="G69" s="25" t="n">
        <f aca="false">E69-C69</f>
        <v>-174821149.915966</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198683100</v>
      </c>
      <c r="D70" s="25" t="n">
        <f aca="false">('Chi phí'!$C$77+'Chi phí'!$D$77*B70+'Chi phí'!$E$77*A70+'Giả định'!$B$15*('Chi phí'!$F$77+'Chi phí'!$G$77*B70+'Chi phí'!$H$77*A70))*(1+'Giả định'!$B$16)</f>
        <v>342288100</v>
      </c>
      <c r="E70" s="25" t="n">
        <f aca="false">A70/'Giả định'!$B$19*'Giả định'!$B$20+A70*'Giả định'!$B$23+'Giả định'!$B$24</f>
        <v>24197478.9915966</v>
      </c>
      <c r="F70" s="25" t="n">
        <f aca="false">E70-D70</f>
        <v>-318090621.008403</v>
      </c>
      <c r="G70" s="25" t="n">
        <f aca="false">E70-C70</f>
        <v>-174485621.008403</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198719840</v>
      </c>
      <c r="D71" s="25" t="n">
        <f aca="false">('Chi phí'!$C$77+'Chi phí'!$D$77*B71+'Chi phí'!$E$77*A71+'Giả định'!$B$15*('Chi phí'!$F$77+'Chi phí'!$G$77*B71+'Chi phí'!$H$77*A71))*(1+'Giả định'!$B$16)</f>
        <v>342324840</v>
      </c>
      <c r="E71" s="25" t="n">
        <f aca="false">A71/'Giả định'!$B$19*'Giả định'!$B$20+A71*'Giả định'!$B$23+'Giả định'!$B$24</f>
        <v>24569747.8991597</v>
      </c>
      <c r="F71" s="25" t="n">
        <f aca="false">E71-D71</f>
        <v>-317755092.10084</v>
      </c>
      <c r="G71" s="25" t="n">
        <f aca="false">E71-C71</f>
        <v>-174150092.10084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198756580</v>
      </c>
      <c r="D72" s="25" t="n">
        <f aca="false">('Chi phí'!$C$77+'Chi phí'!$D$77*B72+'Chi phí'!$E$77*A72+'Giả định'!$B$15*('Chi phí'!$F$77+'Chi phí'!$G$77*B72+'Chi phí'!$H$77*A72))*(1+'Giả định'!$B$16)</f>
        <v>342361580</v>
      </c>
      <c r="E72" s="25" t="n">
        <f aca="false">A72/'Giả định'!$B$19*'Giả định'!$B$20+A72*'Giả định'!$B$23+'Giả định'!$B$24</f>
        <v>24942016.8067227</v>
      </c>
      <c r="F72" s="25" t="n">
        <f aca="false">E72-D72</f>
        <v>-317419563.193277</v>
      </c>
      <c r="G72" s="25" t="n">
        <f aca="false">E72-C72</f>
        <v>-173814563.193277</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198793320</v>
      </c>
      <c r="D73" s="25" t="n">
        <f aca="false">('Chi phí'!$C$77+'Chi phí'!$D$77*B73+'Chi phí'!$E$77*A73+'Giả định'!$B$15*('Chi phí'!$F$77+'Chi phí'!$G$77*B73+'Chi phí'!$H$77*A73))*(1+'Giả định'!$B$16)</f>
        <v>342398320</v>
      </c>
      <c r="E73" s="25" t="n">
        <f aca="false">A73/'Giả định'!$B$19*'Giả định'!$B$20+A73*'Giả định'!$B$23+'Giả định'!$B$24</f>
        <v>25314285.7142857</v>
      </c>
      <c r="F73" s="25" t="n">
        <f aca="false">E73-D73</f>
        <v>-317084034.285714</v>
      </c>
      <c r="G73" s="25" t="n">
        <f aca="false">E73-C73</f>
        <v>-173479034.285714</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198830060</v>
      </c>
      <c r="D74" s="25" t="n">
        <f aca="false">('Chi phí'!$C$77+'Chi phí'!$D$77*B74+'Chi phí'!$E$77*A74+'Giả định'!$B$15*('Chi phí'!$F$77+'Chi phí'!$G$77*B74+'Chi phí'!$H$77*A74))*(1+'Giả định'!$B$16)</f>
        <v>342435060</v>
      </c>
      <c r="E74" s="25" t="n">
        <f aca="false">A74/'Giả định'!$B$19*'Giả định'!$B$20+A74*'Giả định'!$B$23+'Giả định'!$B$24</f>
        <v>25686554.6218487</v>
      </c>
      <c r="F74" s="25" t="n">
        <f aca="false">E74-D74</f>
        <v>-316748505.378151</v>
      </c>
      <c r="G74" s="25" t="n">
        <f aca="false">E74-C74</f>
        <v>-173143505.378151</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198866800</v>
      </c>
      <c r="D75" s="25" t="n">
        <f aca="false">('Chi phí'!$C$77+'Chi phí'!$D$77*B75+'Chi phí'!$E$77*A75+'Giả định'!$B$15*('Chi phí'!$F$77+'Chi phí'!$G$77*B75+'Chi phí'!$H$77*A75))*(1+'Giả định'!$B$16)</f>
        <v>342471800</v>
      </c>
      <c r="E75" s="25" t="n">
        <f aca="false">A75/'Giả định'!$B$19*'Giả định'!$B$20+A75*'Giả định'!$B$23+'Giả định'!$B$24</f>
        <v>26058823.5294118</v>
      </c>
      <c r="F75" s="25" t="n">
        <f aca="false">E75-D75</f>
        <v>-316412976.470588</v>
      </c>
      <c r="G75" s="25" t="n">
        <f aca="false">E75-C75</f>
        <v>-172807976.470588</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198903540</v>
      </c>
      <c r="D76" s="25" t="n">
        <f aca="false">('Chi phí'!$C$77+'Chi phí'!$D$77*B76+'Chi phí'!$E$77*A76+'Giả định'!$B$15*('Chi phí'!$F$77+'Chi phí'!$G$77*B76+'Chi phí'!$H$77*A76))*(1+'Giả định'!$B$16)</f>
        <v>342508540</v>
      </c>
      <c r="E76" s="25" t="n">
        <f aca="false">A76/'Giả định'!$B$19*'Giả định'!$B$20+A76*'Giả định'!$B$23+'Giả định'!$B$24</f>
        <v>26431092.4369748</v>
      </c>
      <c r="F76" s="25" t="n">
        <f aca="false">E76-D76</f>
        <v>-316077447.563025</v>
      </c>
      <c r="G76" s="25" t="n">
        <f aca="false">E76-C76</f>
        <v>-172472447.563025</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198940280</v>
      </c>
      <c r="D77" s="25" t="n">
        <f aca="false">('Chi phí'!$C$77+'Chi phí'!$D$77*B77+'Chi phí'!$E$77*A77+'Giả định'!$B$15*('Chi phí'!$F$77+'Chi phí'!$G$77*B77+'Chi phí'!$H$77*A77))*(1+'Giả định'!$B$16)</f>
        <v>342545280</v>
      </c>
      <c r="E77" s="25" t="n">
        <f aca="false">A77/'Giả định'!$B$19*'Giả định'!$B$20+A77*'Giả định'!$B$23+'Giả định'!$B$24</f>
        <v>26803361.3445378</v>
      </c>
      <c r="F77" s="25" t="n">
        <f aca="false">E77-D77</f>
        <v>-315741918.655462</v>
      </c>
      <c r="G77" s="25" t="n">
        <f aca="false">E77-C77</f>
        <v>-172136918.655462</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198977020</v>
      </c>
      <c r="D78" s="25" t="n">
        <f aca="false">('Chi phí'!$C$77+'Chi phí'!$D$77*B78+'Chi phí'!$E$77*A78+'Giả định'!$B$15*('Chi phí'!$F$77+'Chi phí'!$G$77*B78+'Chi phí'!$H$77*A78))*(1+'Giả định'!$B$16)</f>
        <v>342582020</v>
      </c>
      <c r="E78" s="25" t="n">
        <f aca="false">A78/'Giả định'!$B$19*'Giả định'!$B$20+A78*'Giả định'!$B$23+'Giả định'!$B$24</f>
        <v>27175630.2521008</v>
      </c>
      <c r="F78" s="25" t="n">
        <f aca="false">E78-D78</f>
        <v>-315406389.747899</v>
      </c>
      <c r="G78" s="25" t="n">
        <f aca="false">E78-C78</f>
        <v>-171801389.747899</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199013760</v>
      </c>
      <c r="D79" s="25" t="n">
        <f aca="false">('Chi phí'!$C$77+'Chi phí'!$D$77*B79+'Chi phí'!$E$77*A79+'Giả định'!$B$15*('Chi phí'!$F$77+'Chi phí'!$G$77*B79+'Chi phí'!$H$77*A79))*(1+'Giả định'!$B$16)</f>
        <v>342618760</v>
      </c>
      <c r="E79" s="25" t="n">
        <f aca="false">A79/'Giả định'!$B$19*'Giả định'!$B$20+A79*'Giả định'!$B$23+'Giả định'!$B$24</f>
        <v>27547899.1596639</v>
      </c>
      <c r="F79" s="25" t="n">
        <f aca="false">E79-D79</f>
        <v>-315070860.840336</v>
      </c>
      <c r="G79" s="25" t="n">
        <f aca="false">E79-C79</f>
        <v>-171465860.840336</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199050500</v>
      </c>
      <c r="D80" s="25" t="n">
        <f aca="false">('Chi phí'!$C$77+'Chi phí'!$D$77*B80+'Chi phí'!$E$77*A80+'Giả định'!$B$15*('Chi phí'!$F$77+'Chi phí'!$G$77*B80+'Chi phí'!$H$77*A80))*(1+'Giả định'!$B$16)</f>
        <v>342655500</v>
      </c>
      <c r="E80" s="25" t="n">
        <f aca="false">A80/'Giả định'!$B$19*'Giả định'!$B$20+A80*'Giả định'!$B$23+'Giả định'!$B$24</f>
        <v>27920168.0672269</v>
      </c>
      <c r="F80" s="25" t="n">
        <f aca="false">E80-D80</f>
        <v>-314735331.932773</v>
      </c>
      <c r="G80" s="25" t="n">
        <f aca="false">E80-C80</f>
        <v>-171130331.932773</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199087240</v>
      </c>
      <c r="D81" s="25" t="n">
        <f aca="false">('Chi phí'!$C$77+'Chi phí'!$D$77*B81+'Chi phí'!$E$77*A81+'Giả định'!$B$15*('Chi phí'!$F$77+'Chi phí'!$G$77*B81+'Chi phí'!$H$77*A81))*(1+'Giả định'!$B$16)</f>
        <v>342692240</v>
      </c>
      <c r="E81" s="25" t="n">
        <f aca="false">A81/'Giả định'!$B$19*'Giả định'!$B$20+A81*'Giả định'!$B$23+'Giả định'!$B$24</f>
        <v>28292436.9747899</v>
      </c>
      <c r="F81" s="25" t="n">
        <f aca="false">E81-D81</f>
        <v>-314399803.02521</v>
      </c>
      <c r="G81" s="25" t="n">
        <f aca="false">E81-C81</f>
        <v>-170794803.02521</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199123980</v>
      </c>
      <c r="D82" s="25" t="n">
        <f aca="false">('Chi phí'!$C$77+'Chi phí'!$D$77*B82+'Chi phí'!$E$77*A82+'Giả định'!$B$15*('Chi phí'!$F$77+'Chi phí'!$G$77*B82+'Chi phí'!$H$77*A82))*(1+'Giả định'!$B$16)</f>
        <v>342728980</v>
      </c>
      <c r="E82" s="25" t="n">
        <f aca="false">A82/'Giả định'!$B$19*'Giả định'!$B$20+A82*'Giả định'!$B$23+'Giả định'!$B$24</f>
        <v>28664705.8823529</v>
      </c>
      <c r="F82" s="25" t="n">
        <f aca="false">E82-D82</f>
        <v>-314064274.117647</v>
      </c>
      <c r="G82" s="25" t="n">
        <f aca="false">E82-C82</f>
        <v>-170459274.117647</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199160720</v>
      </c>
      <c r="D83" s="25" t="n">
        <f aca="false">('Chi phí'!$C$77+'Chi phí'!$D$77*B83+'Chi phí'!$E$77*A83+'Giả định'!$B$15*('Chi phí'!$F$77+'Chi phí'!$G$77*B83+'Chi phí'!$H$77*A83))*(1+'Giả định'!$B$16)</f>
        <v>342765720</v>
      </c>
      <c r="E83" s="25" t="n">
        <f aca="false">A83/'Giả định'!$B$19*'Giả định'!$B$20+A83*'Giả định'!$B$23+'Giả định'!$B$24</f>
        <v>29036974.789916</v>
      </c>
      <c r="F83" s="25" t="n">
        <f aca="false">E83-D83</f>
        <v>-313728745.210084</v>
      </c>
      <c r="G83" s="25" t="n">
        <f aca="false">E83-C83</f>
        <v>-170123745.210084</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199197460</v>
      </c>
      <c r="D84" s="25" t="n">
        <f aca="false">('Chi phí'!$C$77+'Chi phí'!$D$77*B84+'Chi phí'!$E$77*A84+'Giả định'!$B$15*('Chi phí'!$F$77+'Chi phí'!$G$77*B84+'Chi phí'!$H$77*A84))*(1+'Giả định'!$B$16)</f>
        <v>342802460</v>
      </c>
      <c r="E84" s="25" t="n">
        <f aca="false">A84/'Giả định'!$B$19*'Giả định'!$B$20+A84*'Giả định'!$B$23+'Giả định'!$B$24</f>
        <v>29409243.697479</v>
      </c>
      <c r="F84" s="25" t="n">
        <f aca="false">E84-D84</f>
        <v>-313393216.302521</v>
      </c>
      <c r="G84" s="25" t="n">
        <f aca="false">E84-C84</f>
        <v>-169788216.302521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199234200</v>
      </c>
      <c r="D85" s="25" t="n">
        <f aca="false">('Chi phí'!$C$77+'Chi phí'!$D$77*B85+'Chi phí'!$E$77*A85+'Giả định'!$B$15*('Chi phí'!$F$77+'Chi phí'!$G$77*B85+'Chi phí'!$H$77*A85))*(1+'Giả định'!$B$16)</f>
        <v>342839200</v>
      </c>
      <c r="E85" s="25" t="n">
        <f aca="false">A85/'Giả định'!$B$19*'Giả định'!$B$20+A85*'Giả định'!$B$23+'Giả định'!$B$24</f>
        <v>29781512.605042</v>
      </c>
      <c r="F85" s="25" t="n">
        <f aca="false">E85-D85</f>
        <v>-313057687.394958</v>
      </c>
      <c r="G85" s="25" t="n">
        <f aca="false">E85-C85</f>
        <v>-169452687.394958</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199270940</v>
      </c>
      <c r="D86" s="25" t="n">
        <f aca="false">('Chi phí'!$C$77+'Chi phí'!$D$77*B86+'Chi phí'!$E$77*A86+'Giả định'!$B$15*('Chi phí'!$F$77+'Chi phí'!$G$77*B86+'Chi phí'!$H$77*A86))*(1+'Giả định'!$B$16)</f>
        <v>342875940</v>
      </c>
      <c r="E86" s="25" t="n">
        <f aca="false">A86/'Giả định'!$B$19*'Giả định'!$B$20+A86*'Giả định'!$B$23+'Giả định'!$B$24</f>
        <v>30153781.512605</v>
      </c>
      <c r="F86" s="25" t="n">
        <f aca="false">E86-D86</f>
        <v>-312722158.487395</v>
      </c>
      <c r="G86" s="25" t="n">
        <f aca="false">E86-C86</f>
        <v>-169117158.487395</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199307680</v>
      </c>
      <c r="D87" s="25" t="n">
        <f aca="false">('Chi phí'!$C$77+'Chi phí'!$D$77*B87+'Chi phí'!$E$77*A87+'Giả định'!$B$15*('Chi phí'!$F$77+'Chi phí'!$G$77*B87+'Chi phí'!$H$77*A87))*(1+'Giả định'!$B$16)</f>
        <v>342912680</v>
      </c>
      <c r="E87" s="25" t="n">
        <f aca="false">A87/'Giả định'!$B$19*'Giả định'!$B$20+A87*'Giả định'!$B$23+'Giả định'!$B$24</f>
        <v>30526050.4201681</v>
      </c>
      <c r="F87" s="25" t="n">
        <f aca="false">E87-D87</f>
        <v>-312386629.579832</v>
      </c>
      <c r="G87" s="25" t="n">
        <f aca="false">E87-C87</f>
        <v>-168781629.579832</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199344420</v>
      </c>
      <c r="D88" s="25" t="n">
        <f aca="false">('Chi phí'!$C$77+'Chi phí'!$D$77*B88+'Chi phí'!$E$77*A88+'Giả định'!$B$15*('Chi phí'!$F$77+'Chi phí'!$G$77*B88+'Chi phí'!$H$77*A88))*(1+'Giả định'!$B$16)</f>
        <v>342949420</v>
      </c>
      <c r="E88" s="25" t="n">
        <f aca="false">A88/'Giả định'!$B$19*'Giả định'!$B$20+A88*'Giả định'!$B$23+'Giả định'!$B$24</f>
        <v>30898319.3277311</v>
      </c>
      <c r="F88" s="25" t="n">
        <f aca="false">E88-D88</f>
        <v>-312051100.672269</v>
      </c>
      <c r="G88" s="25" t="n">
        <f aca="false">E88-C88</f>
        <v>-168446100.672269</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199381160</v>
      </c>
      <c r="D89" s="25" t="n">
        <f aca="false">('Chi phí'!$C$77+'Chi phí'!$D$77*B89+'Chi phí'!$E$77*A89+'Giả định'!$B$15*('Chi phí'!$F$77+'Chi phí'!$G$77*B89+'Chi phí'!$H$77*A89))*(1+'Giả định'!$B$16)</f>
        <v>342986160</v>
      </c>
      <c r="E89" s="25" t="n">
        <f aca="false">A89/'Giả định'!$B$19*'Giả định'!$B$20+A89*'Giả định'!$B$23+'Giả định'!$B$24</f>
        <v>31270588.2352941</v>
      </c>
      <c r="F89" s="25" t="n">
        <f aca="false">E89-D89</f>
        <v>-311715571.764706</v>
      </c>
      <c r="G89" s="25" t="n">
        <f aca="false">E89-C89</f>
        <v>-168110571.764706</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199417900</v>
      </c>
      <c r="D90" s="25" t="n">
        <f aca="false">('Chi phí'!$C$77+'Chi phí'!$D$77*B90+'Chi phí'!$E$77*A90+'Giả định'!$B$15*('Chi phí'!$F$77+'Chi phí'!$G$77*B90+'Chi phí'!$H$77*A90))*(1+'Giả định'!$B$16)</f>
        <v>343022900</v>
      </c>
      <c r="E90" s="25" t="n">
        <f aca="false">A90/'Giả định'!$B$19*'Giả định'!$B$20+A90*'Giả định'!$B$23+'Giả định'!$B$24</f>
        <v>31642857.1428571</v>
      </c>
      <c r="F90" s="25" t="n">
        <f aca="false">E90-D90</f>
        <v>-311380042.857143</v>
      </c>
      <c r="G90" s="25" t="n">
        <f aca="false">E90-C90</f>
        <v>-167775042.857143</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199454640</v>
      </c>
      <c r="D91" s="25" t="n">
        <f aca="false">('Chi phí'!$C$77+'Chi phí'!$D$77*B91+'Chi phí'!$E$77*A91+'Giả định'!$B$15*('Chi phí'!$F$77+'Chi phí'!$G$77*B91+'Chi phí'!$H$77*A91))*(1+'Giả định'!$B$16)</f>
        <v>343059640</v>
      </c>
      <c r="E91" s="25" t="n">
        <f aca="false">A91/'Giả định'!$B$19*'Giả định'!$B$20+A91*'Giả định'!$B$23+'Giả định'!$B$24</f>
        <v>32015126.0504202</v>
      </c>
      <c r="F91" s="25" t="n">
        <f aca="false">E91-D91</f>
        <v>-311044513.94958</v>
      </c>
      <c r="G91" s="25" t="n">
        <f aca="false">E91-C91</f>
        <v>-167439513.94958</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199491380</v>
      </c>
      <c r="D92" s="25" t="n">
        <f aca="false">('Chi phí'!$C$77+'Chi phí'!$D$77*B92+'Chi phí'!$E$77*A92+'Giả định'!$B$15*('Chi phí'!$F$77+'Chi phí'!$G$77*B92+'Chi phí'!$H$77*A92))*(1+'Giả định'!$B$16)</f>
        <v>343096380</v>
      </c>
      <c r="E92" s="25" t="n">
        <f aca="false">A92/'Giả định'!$B$19*'Giả định'!$B$20+A92*'Giả định'!$B$23+'Giả định'!$B$24</f>
        <v>32387394.9579832</v>
      </c>
      <c r="F92" s="25" t="n">
        <f aca="false">E92-D92</f>
        <v>-310708985.042017</v>
      </c>
      <c r="G92" s="25" t="n">
        <f aca="false">E92-C92</f>
        <v>-167103985.042017</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199528120</v>
      </c>
      <c r="D93" s="25" t="n">
        <f aca="false">('Chi phí'!$C$77+'Chi phí'!$D$77*B93+'Chi phí'!$E$77*A93+'Giả định'!$B$15*('Chi phí'!$F$77+'Chi phí'!$G$77*B93+'Chi phí'!$H$77*A93))*(1+'Giả định'!$B$16)</f>
        <v>343133120</v>
      </c>
      <c r="E93" s="25" t="n">
        <f aca="false">A93/'Giả định'!$B$19*'Giả định'!$B$20+A93*'Giả định'!$B$23+'Giả định'!$B$24</f>
        <v>32759663.8655462</v>
      </c>
      <c r="F93" s="25" t="n">
        <f aca="false">E93-D93</f>
        <v>-310373456.134454</v>
      </c>
      <c r="G93" s="25" t="n">
        <f aca="false">E93-C93</f>
        <v>-166768456.134454</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199564860</v>
      </c>
      <c r="D94" s="25" t="n">
        <f aca="false">('Chi phí'!$C$77+'Chi phí'!$D$77*B94+'Chi phí'!$E$77*A94+'Giả định'!$B$15*('Chi phí'!$F$77+'Chi phí'!$G$77*B94+'Chi phí'!$H$77*A94))*(1+'Giả định'!$B$16)</f>
        <v>343169860</v>
      </c>
      <c r="E94" s="25" t="n">
        <f aca="false">A94/'Giả định'!$B$19*'Giả định'!$B$20+A94*'Giả định'!$B$23+'Giả định'!$B$24</f>
        <v>33131932.7731092</v>
      </c>
      <c r="F94" s="25" t="n">
        <f aca="false">E94-D94</f>
        <v>-310037927.226891</v>
      </c>
      <c r="G94" s="25" t="n">
        <f aca="false">E94-C94</f>
        <v>-166432927.226891</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199601600</v>
      </c>
      <c r="D95" s="25" t="n">
        <f aca="false">('Chi phí'!$C$77+'Chi phí'!$D$77*B95+'Chi phí'!$E$77*A95+'Giả định'!$B$15*('Chi phí'!$F$77+'Chi phí'!$G$77*B95+'Chi phí'!$H$77*A95))*(1+'Giả định'!$B$16)</f>
        <v>343206600</v>
      </c>
      <c r="E95" s="25" t="n">
        <f aca="false">A95/'Giả định'!$B$19*'Giả định'!$B$20+A95*'Giả định'!$B$23+'Giả định'!$B$24</f>
        <v>33504201.6806723</v>
      </c>
      <c r="F95" s="25" t="n">
        <f aca="false">E95-D95</f>
        <v>-309702398.319328</v>
      </c>
      <c r="G95" s="25" t="n">
        <f aca="false">E95-C95</f>
        <v>-166097398.319328</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199638340</v>
      </c>
      <c r="D96" s="25" t="n">
        <f aca="false">('Chi phí'!$C$77+'Chi phí'!$D$77*B96+'Chi phí'!$E$77*A96+'Giả định'!$B$15*('Chi phí'!$F$77+'Chi phí'!$G$77*B96+'Chi phí'!$H$77*A96))*(1+'Giả định'!$B$16)</f>
        <v>343243340</v>
      </c>
      <c r="E96" s="25" t="n">
        <f aca="false">A96/'Giả định'!$B$19*'Giả định'!$B$20+A96*'Giả định'!$B$23+'Giả định'!$B$24</f>
        <v>33876470.5882353</v>
      </c>
      <c r="F96" s="25" t="n">
        <f aca="false">E96-D96</f>
        <v>-309366869.411765</v>
      </c>
      <c r="G96" s="25" t="n">
        <f aca="false">E96-C96</f>
        <v>-165761869.411765</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199675080</v>
      </c>
      <c r="D97" s="25" t="n">
        <f aca="false">('Chi phí'!$C$77+'Chi phí'!$D$77*B97+'Chi phí'!$E$77*A97+'Giả định'!$B$15*('Chi phí'!$F$77+'Chi phí'!$G$77*B97+'Chi phí'!$H$77*A97))*(1+'Giả định'!$B$16)</f>
        <v>343280080</v>
      </c>
      <c r="E97" s="25" t="n">
        <f aca="false">A97/'Giả định'!$B$19*'Giả định'!$B$20+A97*'Giả định'!$B$23+'Giả định'!$B$24</f>
        <v>34248739.4957983</v>
      </c>
      <c r="F97" s="25" t="n">
        <f aca="false">E97-D97</f>
        <v>-309031340.504202</v>
      </c>
      <c r="G97" s="25" t="n">
        <f aca="false">E97-C97</f>
        <v>-165426340.504202</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199711820</v>
      </c>
      <c r="D98" s="25" t="n">
        <f aca="false">('Chi phí'!$C$77+'Chi phí'!$D$77*B98+'Chi phí'!$E$77*A98+'Giả định'!$B$15*('Chi phí'!$F$77+'Chi phí'!$G$77*B98+'Chi phí'!$H$77*A98))*(1+'Giả định'!$B$16)</f>
        <v>343316820</v>
      </c>
      <c r="E98" s="25" t="n">
        <f aca="false">A98/'Giả định'!$B$19*'Giả định'!$B$20+A98*'Giả định'!$B$23+'Giả định'!$B$24</f>
        <v>34621008.4033614</v>
      </c>
      <c r="F98" s="25" t="n">
        <f aca="false">E98-D98</f>
        <v>-308695811.596639</v>
      </c>
      <c r="G98" s="25" t="n">
        <f aca="false">E98-C98</f>
        <v>-165090811.596639</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199748560</v>
      </c>
      <c r="D99" s="25" t="n">
        <f aca="false">('Chi phí'!$C$77+'Chi phí'!$D$77*B99+'Chi phí'!$E$77*A99+'Giả định'!$B$15*('Chi phí'!$F$77+'Chi phí'!$G$77*B99+'Chi phí'!$H$77*A99))*(1+'Giả định'!$B$16)</f>
        <v>343353560</v>
      </c>
      <c r="E99" s="25" t="n">
        <f aca="false">A99/'Giả định'!$B$19*'Giả định'!$B$20+A99*'Giả định'!$B$23+'Giả định'!$B$24</f>
        <v>34993277.3109244</v>
      </c>
      <c r="F99" s="25" t="n">
        <f aca="false">E99-D99</f>
        <v>-308360282.689076</v>
      </c>
      <c r="G99" s="25" t="n">
        <f aca="false">E99-C99</f>
        <v>-164755282.689076</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199785300</v>
      </c>
      <c r="D100" s="25" t="n">
        <f aca="false">('Chi phí'!$C$77+'Chi phí'!$D$77*B100+'Chi phí'!$E$77*A100+'Giả định'!$B$15*('Chi phí'!$F$77+'Chi phí'!$G$77*B100+'Chi phí'!$H$77*A100))*(1+'Giả định'!$B$16)</f>
        <v>343390300</v>
      </c>
      <c r="E100" s="25" t="n">
        <f aca="false">A100/'Giả định'!$B$19*'Giả định'!$B$20+A100*'Giả định'!$B$23+'Giả định'!$B$24</f>
        <v>35365546.2184874</v>
      </c>
      <c r="F100" s="25" t="n">
        <f aca="false">E100-D100</f>
        <v>-308024753.781513</v>
      </c>
      <c r="G100" s="25" t="n">
        <f aca="false">E100-C100</f>
        <v>-164419753.781513</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199822040</v>
      </c>
      <c r="D101" s="25" t="n">
        <f aca="false">('Chi phí'!$C$77+'Chi phí'!$D$77*B101+'Chi phí'!$E$77*A101+'Giả định'!$B$15*('Chi phí'!$F$77+'Chi phí'!$G$77*B101+'Chi phí'!$H$77*A101))*(1+'Giả định'!$B$16)</f>
        <v>343427040</v>
      </c>
      <c r="E101" s="25" t="n">
        <f aca="false">A101/'Giả định'!$B$19*'Giả định'!$B$20+A101*'Giả định'!$B$23+'Giả định'!$B$24</f>
        <v>35737815.1260504</v>
      </c>
      <c r="F101" s="25" t="n">
        <f aca="false">E101-D101</f>
        <v>-307689224.87395</v>
      </c>
      <c r="G101" s="25" t="n">
        <f aca="false">E101-C101</f>
        <v>-164084224.87395</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199858780</v>
      </c>
      <c r="D102" s="25" t="n">
        <f aca="false">('Chi phí'!$C$77+'Chi phí'!$D$77*B102+'Chi phí'!$E$77*A102+'Giả định'!$B$15*('Chi phí'!$F$77+'Chi phí'!$G$77*B102+'Chi phí'!$H$77*A102))*(1+'Giả định'!$B$16)</f>
        <v>343463780</v>
      </c>
      <c r="E102" s="25" t="n">
        <f aca="false">A102/'Giả định'!$B$19*'Giả định'!$B$20+A102*'Giả định'!$B$23+'Giả định'!$B$24</f>
        <v>36110084.0336135</v>
      </c>
      <c r="F102" s="25" t="n">
        <f aca="false">E102-D102</f>
        <v>-307353695.966387</v>
      </c>
      <c r="G102" s="25" t="n">
        <f aca="false">E102-C102</f>
        <v>-163748695.966387</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199895520</v>
      </c>
      <c r="D103" s="25" t="n">
        <f aca="false">('Chi phí'!$C$77+'Chi phí'!$D$77*B103+'Chi phí'!$E$77*A103+'Giả định'!$B$15*('Chi phí'!$F$77+'Chi phí'!$G$77*B103+'Chi phí'!$H$77*A103))*(1+'Giả định'!$B$16)</f>
        <v>343500520</v>
      </c>
      <c r="E103" s="25" t="n">
        <f aca="false">A103/'Giả định'!$B$19*'Giả định'!$B$20+A103*'Giả định'!$B$23+'Giả định'!$B$24</f>
        <v>36482352.9411765</v>
      </c>
      <c r="F103" s="25" t="n">
        <f aca="false">E103-D103</f>
        <v>-307018167.058824</v>
      </c>
      <c r="G103" s="25" t="n">
        <f aca="false">E103-C103</f>
        <v>-163413167.058824</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199932260</v>
      </c>
      <c r="D104" s="25" t="n">
        <f aca="false">('Chi phí'!$C$77+'Chi phí'!$D$77*B104+'Chi phí'!$E$77*A104+'Giả định'!$B$15*('Chi phí'!$F$77+'Chi phí'!$G$77*B104+'Chi phí'!$H$77*A104))*(1+'Giả định'!$B$16)</f>
        <v>343537260</v>
      </c>
      <c r="E104" s="25" t="n">
        <f aca="false">A104/'Giả định'!$B$19*'Giả định'!$B$20+A104*'Giả định'!$B$23+'Giả định'!$B$24</f>
        <v>36854621.8487395</v>
      </c>
      <c r="F104" s="25" t="n">
        <f aca="false">E104-D104</f>
        <v>-306682638.151261</v>
      </c>
      <c r="G104" s="25" t="n">
        <f aca="false">E104-C104</f>
        <v>-163077638.151261</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199969000</v>
      </c>
      <c r="D105" s="25" t="n">
        <f aca="false">('Chi phí'!$C$77+'Chi phí'!$D$77*B105+'Chi phí'!$E$77*A105+'Giả định'!$B$15*('Chi phí'!$F$77+'Chi phí'!$G$77*B105+'Chi phí'!$H$77*A105))*(1+'Giả định'!$B$16)</f>
        <v>343574000</v>
      </c>
      <c r="E105" s="25" t="n">
        <f aca="false">A105/'Giả định'!$B$19*'Giả định'!$B$20+A105*'Giả định'!$B$23+'Giả định'!$B$24</f>
        <v>37226890.7563025</v>
      </c>
      <c r="F105" s="25" t="n">
        <f aca="false">E105-D105</f>
        <v>-306347109.243697</v>
      </c>
      <c r="G105" s="25" t="n">
        <f aca="false">E105-C105</f>
        <v>-162742109.243698</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200005740</v>
      </c>
      <c r="D106" s="25" t="n">
        <f aca="false">('Chi phí'!$C$77+'Chi phí'!$D$77*B106+'Chi phí'!$E$77*A106+'Giả định'!$B$15*('Chi phí'!$F$77+'Chi phí'!$G$77*B106+'Chi phí'!$H$77*A106))*(1+'Giả định'!$B$16)</f>
        <v>343610740</v>
      </c>
      <c r="E106" s="25" t="n">
        <f aca="false">A106/'Giả định'!$B$19*'Giả định'!$B$20+A106*'Giả định'!$B$23+'Giả định'!$B$24</f>
        <v>37599159.6638656</v>
      </c>
      <c r="F106" s="25" t="n">
        <f aca="false">E106-D106</f>
        <v>-306011580.336134</v>
      </c>
      <c r="G106" s="25" t="n">
        <f aca="false">E106-C106</f>
        <v>-162406580.336135</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200042480</v>
      </c>
      <c r="D107" s="25" t="n">
        <f aca="false">('Chi phí'!$C$77+'Chi phí'!$D$77*B107+'Chi phí'!$E$77*A107+'Giả định'!$B$15*('Chi phí'!$F$77+'Chi phí'!$G$77*B107+'Chi phí'!$H$77*A107))*(1+'Giả định'!$B$16)</f>
        <v>343647480</v>
      </c>
      <c r="E107" s="25" t="n">
        <f aca="false">A107/'Giả định'!$B$19*'Giả định'!$B$20+A107*'Giả định'!$B$23+'Giả định'!$B$24</f>
        <v>37971428.5714286</v>
      </c>
      <c r="F107" s="25" t="n">
        <f aca="false">E107-D107</f>
        <v>-305676051.428571</v>
      </c>
      <c r="G107" s="25" t="n">
        <f aca="false">E107-C107</f>
        <v>-162071051.428571</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200079220</v>
      </c>
      <c r="D108" s="25" t="n">
        <f aca="false">('Chi phí'!$C$77+'Chi phí'!$D$77*B108+'Chi phí'!$E$77*A108+'Giả định'!$B$15*('Chi phí'!$F$77+'Chi phí'!$G$77*B108+'Chi phí'!$H$77*A108))*(1+'Giả định'!$B$16)</f>
        <v>343684220</v>
      </c>
      <c r="E108" s="25" t="n">
        <f aca="false">A108/'Giả định'!$B$19*'Giả định'!$B$20+A108*'Giả định'!$B$23+'Giả định'!$B$24</f>
        <v>38343697.4789916</v>
      </c>
      <c r="F108" s="25" t="n">
        <f aca="false">E108-D108</f>
        <v>-305340522.521008</v>
      </c>
      <c r="G108" s="25" t="n">
        <f aca="false">E108-C108</f>
        <v>-161735522.521008</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200115960</v>
      </c>
      <c r="D109" s="25" t="n">
        <f aca="false">('Chi phí'!$C$77+'Chi phí'!$D$77*B109+'Chi phí'!$E$77*A109+'Giả định'!$B$15*('Chi phí'!$F$77+'Chi phí'!$G$77*B109+'Chi phí'!$H$77*A109))*(1+'Giả định'!$B$16)</f>
        <v>343720960</v>
      </c>
      <c r="E109" s="25" t="n">
        <f aca="false">A109/'Giả định'!$B$19*'Giả định'!$B$20+A109*'Giả định'!$B$23+'Giả định'!$B$24</f>
        <v>38715966.3865546</v>
      </c>
      <c r="F109" s="25" t="n">
        <f aca="false">E109-D109</f>
        <v>-305004993.613445</v>
      </c>
      <c r="G109" s="25" t="n">
        <f aca="false">E109-C109</f>
        <v>-161399993.613445</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200152700</v>
      </c>
      <c r="D110" s="25" t="n">
        <f aca="false">('Chi phí'!$C$77+'Chi phí'!$D$77*B110+'Chi phí'!$E$77*A110+'Giả định'!$B$15*('Chi phí'!$F$77+'Chi phí'!$G$77*B110+'Chi phí'!$H$77*A110))*(1+'Giả định'!$B$16)</f>
        <v>343757700</v>
      </c>
      <c r="E110" s="25" t="n">
        <f aca="false">A110/'Giả định'!$B$19*'Giả định'!$B$20+A110*'Giả định'!$B$23+'Giả định'!$B$24</f>
        <v>39088235.2941176</v>
      </c>
      <c r="F110" s="25" t="n">
        <f aca="false">E110-D110</f>
        <v>-304669464.705882</v>
      </c>
      <c r="G110" s="25" t="n">
        <f aca="false">E110-C110</f>
        <v>-161064464.705882</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200189440</v>
      </c>
      <c r="D111" s="25" t="n">
        <f aca="false">('Chi phí'!$C$77+'Chi phí'!$D$77*B111+'Chi phí'!$E$77*A111+'Giả định'!$B$15*('Chi phí'!$F$77+'Chi phí'!$G$77*B111+'Chi phí'!$H$77*A111))*(1+'Giả định'!$B$16)</f>
        <v>343794440</v>
      </c>
      <c r="E111" s="25" t="n">
        <f aca="false">A111/'Giả định'!$B$19*'Giả định'!$B$20+A111*'Giả định'!$B$23+'Giả định'!$B$24</f>
        <v>39460504.2016807</v>
      </c>
      <c r="F111" s="25" t="n">
        <f aca="false">E111-D111</f>
        <v>-304333935.798319</v>
      </c>
      <c r="G111" s="25" t="n">
        <f aca="false">E111-C111</f>
        <v>-160728935.798319</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200226180</v>
      </c>
      <c r="D112" s="25" t="n">
        <f aca="false">('Chi phí'!$C$77+'Chi phí'!$D$77*B112+'Chi phí'!$E$77*A112+'Giả định'!$B$15*('Chi phí'!$F$77+'Chi phí'!$G$77*B112+'Chi phí'!$H$77*A112))*(1+'Giả định'!$B$16)</f>
        <v>343831180</v>
      </c>
      <c r="E112" s="25" t="n">
        <f aca="false">A112/'Giả định'!$B$19*'Giả định'!$B$20+A112*'Giả định'!$B$23+'Giả định'!$B$24</f>
        <v>39832773.1092437</v>
      </c>
      <c r="F112" s="25" t="n">
        <f aca="false">E112-D112</f>
        <v>-303998406.890756</v>
      </c>
      <c r="G112" s="25" t="n">
        <f aca="false">E112-C112</f>
        <v>-160393406.890756</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200262920</v>
      </c>
      <c r="D113" s="25" t="n">
        <f aca="false">('Chi phí'!$C$77+'Chi phí'!$D$77*B113+'Chi phí'!$E$77*A113+'Giả định'!$B$15*('Chi phí'!$F$77+'Chi phí'!$G$77*B113+'Chi phí'!$H$77*A113))*(1+'Giả định'!$B$16)</f>
        <v>343867920</v>
      </c>
      <c r="E113" s="25" t="n">
        <f aca="false">A113/'Giả định'!$B$19*'Giả định'!$B$20+A113*'Giả định'!$B$23+'Giả định'!$B$24</f>
        <v>40205042.0168067</v>
      </c>
      <c r="F113" s="25" t="n">
        <f aca="false">E113-D113</f>
        <v>-303662877.983193</v>
      </c>
      <c r="G113" s="25" t="n">
        <f aca="false">E113-C113</f>
        <v>-160057877.983193</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200299660</v>
      </c>
      <c r="D114" s="25" t="n">
        <f aca="false">('Chi phí'!$C$77+'Chi phí'!$D$77*B114+'Chi phí'!$E$77*A114+'Giả định'!$B$15*('Chi phí'!$F$77+'Chi phí'!$G$77*B114+'Chi phí'!$H$77*A114))*(1+'Giả định'!$B$16)</f>
        <v>343904660</v>
      </c>
      <c r="E114" s="25" t="n">
        <f aca="false">A114/'Giả định'!$B$19*'Giả định'!$B$20+A114*'Giả định'!$B$23+'Giả định'!$B$24</f>
        <v>40577310.9243698</v>
      </c>
      <c r="F114" s="25" t="n">
        <f aca="false">E114-D114</f>
        <v>-303327349.07563</v>
      </c>
      <c r="G114" s="25" t="n">
        <f aca="false">E114-C114</f>
        <v>-159722349.07563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200336400</v>
      </c>
      <c r="D115" s="25" t="n">
        <f aca="false">('Chi phí'!$C$77+'Chi phí'!$D$77*B115+'Chi phí'!$E$77*A115+'Giả định'!$B$15*('Chi phí'!$F$77+'Chi phí'!$G$77*B115+'Chi phí'!$H$77*A115))*(1+'Giả định'!$B$16)</f>
        <v>343941400</v>
      </c>
      <c r="E115" s="25" t="n">
        <f aca="false">A115/'Giả định'!$B$19*'Giả định'!$B$20+A115*'Giả định'!$B$23+'Giả định'!$B$24</f>
        <v>40949579.8319328</v>
      </c>
      <c r="F115" s="25" t="n">
        <f aca="false">E115-D115</f>
        <v>-302991820.168067</v>
      </c>
      <c r="G115" s="25" t="n">
        <f aca="false">E115-C115</f>
        <v>-159386820.168067</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200373140</v>
      </c>
      <c r="D116" s="25" t="n">
        <f aca="false">('Chi phí'!$C$77+'Chi phí'!$D$77*B116+'Chi phí'!$E$77*A116+'Giả định'!$B$15*('Chi phí'!$F$77+'Chi phí'!$G$77*B116+'Chi phí'!$H$77*A116))*(1+'Giả định'!$B$16)</f>
        <v>343978140</v>
      </c>
      <c r="E116" s="25" t="n">
        <f aca="false">A116/'Giả định'!$B$19*'Giả định'!$B$20+A116*'Giả định'!$B$23+'Giả định'!$B$24</f>
        <v>41321848.7394958</v>
      </c>
      <c r="F116" s="25" t="n">
        <f aca="false">E116-D116</f>
        <v>-302656291.260504</v>
      </c>
      <c r="G116" s="25" t="n">
        <f aca="false">E116-C116</f>
        <v>-159051291.260504</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200409880</v>
      </c>
      <c r="D117" s="25" t="n">
        <f aca="false">('Chi phí'!$C$77+'Chi phí'!$D$77*B117+'Chi phí'!$E$77*A117+'Giả định'!$B$15*('Chi phí'!$F$77+'Chi phí'!$G$77*B117+'Chi phí'!$H$77*A117))*(1+'Giả định'!$B$16)</f>
        <v>344014880</v>
      </c>
      <c r="E117" s="25" t="n">
        <f aca="false">A117/'Giả định'!$B$19*'Giả định'!$B$20+A117*'Giả định'!$B$23+'Giả định'!$B$24</f>
        <v>41694117.6470588</v>
      </c>
      <c r="F117" s="25" t="n">
        <f aca="false">E117-D117</f>
        <v>-302320762.352941</v>
      </c>
      <c r="G117" s="25" t="n">
        <f aca="false">E117-C117</f>
        <v>-158715762.352941</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200446620</v>
      </c>
      <c r="D118" s="25" t="n">
        <f aca="false">('Chi phí'!$C$77+'Chi phí'!$D$77*B118+'Chi phí'!$E$77*A118+'Giả định'!$B$15*('Chi phí'!$F$77+'Chi phí'!$G$77*B118+'Chi phí'!$H$77*A118))*(1+'Giả định'!$B$16)</f>
        <v>344051620</v>
      </c>
      <c r="E118" s="25" t="n">
        <f aca="false">A118/'Giả định'!$B$19*'Giả định'!$B$20+A118*'Giả định'!$B$23+'Giả định'!$B$24</f>
        <v>42066386.5546219</v>
      </c>
      <c r="F118" s="25" t="n">
        <f aca="false">E118-D118</f>
        <v>-301985233.445378</v>
      </c>
      <c r="G118" s="25" t="n">
        <f aca="false">E118-C118</f>
        <v>-158380233.445378</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200483360</v>
      </c>
      <c r="D119" s="25" t="n">
        <f aca="false">('Chi phí'!$C$77+'Chi phí'!$D$77*B119+'Chi phí'!$E$77*A119+'Giả định'!$B$15*('Chi phí'!$F$77+'Chi phí'!$G$77*B119+'Chi phí'!$H$77*A119))*(1+'Giả định'!$B$16)</f>
        <v>344088360</v>
      </c>
      <c r="E119" s="25" t="n">
        <f aca="false">A119/'Giả định'!$B$19*'Giả định'!$B$20+A119*'Giả định'!$B$23+'Giả định'!$B$24</f>
        <v>42438655.4621849</v>
      </c>
      <c r="F119" s="25" t="n">
        <f aca="false">E119-D119</f>
        <v>-301649704.537815</v>
      </c>
      <c r="G119" s="25" t="n">
        <f aca="false">E119-C119</f>
        <v>-158044704.537815</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200520100</v>
      </c>
      <c r="D120" s="25" t="n">
        <f aca="false">('Chi phí'!$C$77+'Chi phí'!$D$77*B120+'Chi phí'!$E$77*A120+'Giả định'!$B$15*('Chi phí'!$F$77+'Chi phí'!$G$77*B120+'Chi phí'!$H$77*A120))*(1+'Giả định'!$B$16)</f>
        <v>344125100</v>
      </c>
      <c r="E120" s="25" t="n">
        <f aca="false">A120/'Giả định'!$B$19*'Giả định'!$B$20+A120*'Giả định'!$B$23+'Giả định'!$B$24</f>
        <v>42810924.3697479</v>
      </c>
      <c r="F120" s="25" t="n">
        <f aca="false">E120-D120</f>
        <v>-301314175.630252</v>
      </c>
      <c r="G120" s="25" t="n">
        <f aca="false">E120-C120</f>
        <v>-157709175.630252</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200556840</v>
      </c>
      <c r="D121" s="25" t="n">
        <f aca="false">('Chi phí'!$C$77+'Chi phí'!$D$77*B121+'Chi phí'!$E$77*A121+'Giả định'!$B$15*('Chi phí'!$F$77+'Chi phí'!$G$77*B121+'Chi phí'!$H$77*A121))*(1+'Giả định'!$B$16)</f>
        <v>344161840</v>
      </c>
      <c r="E121" s="25" t="n">
        <f aca="false">A121/'Giả định'!$B$19*'Giả định'!$B$20+A121*'Giả định'!$B$23+'Giả định'!$B$24</f>
        <v>43183193.2773109</v>
      </c>
      <c r="F121" s="25" t="n">
        <f aca="false">E121-D121</f>
        <v>-300978646.722689</v>
      </c>
      <c r="G121" s="25" t="n">
        <f aca="false">E121-C121</f>
        <v>-157373646.722689</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200593580</v>
      </c>
      <c r="D122" s="25" t="n">
        <f aca="false">('Chi phí'!$C$77+'Chi phí'!$D$77*B122+'Chi phí'!$E$77*A122+'Giả định'!$B$15*('Chi phí'!$F$77+'Chi phí'!$G$77*B122+'Chi phí'!$H$77*A122))*(1+'Giả định'!$B$16)</f>
        <v>344198580</v>
      </c>
      <c r="E122" s="25" t="n">
        <f aca="false">A122/'Giả định'!$B$19*'Giả định'!$B$20+A122*'Giả định'!$B$23+'Giả định'!$B$24</f>
        <v>43555462.184874</v>
      </c>
      <c r="F122" s="25" t="n">
        <f aca="false">E122-D122</f>
        <v>-300643117.815126</v>
      </c>
      <c r="G122" s="25" t="n">
        <f aca="false">E122-C122</f>
        <v>-157038117.815126</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200630320</v>
      </c>
      <c r="D123" s="25" t="n">
        <f aca="false">('Chi phí'!$C$77+'Chi phí'!$D$77*B123+'Chi phí'!$E$77*A123+'Giả định'!$B$15*('Chi phí'!$F$77+'Chi phí'!$G$77*B123+'Chi phí'!$H$77*A123))*(1+'Giả định'!$B$16)</f>
        <v>344235320</v>
      </c>
      <c r="E123" s="25" t="n">
        <f aca="false">A123/'Giả định'!$B$19*'Giả định'!$B$20+A123*'Giả định'!$B$23+'Giả định'!$B$24</f>
        <v>43927731.092437</v>
      </c>
      <c r="F123" s="25" t="n">
        <f aca="false">E123-D123</f>
        <v>-300307588.907563</v>
      </c>
      <c r="G123" s="25" t="n">
        <f aca="false">E123-C123</f>
        <v>-156702588.907563</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200667060</v>
      </c>
      <c r="D124" s="25" t="n">
        <f aca="false">('Chi phí'!$C$77+'Chi phí'!$D$77*B124+'Chi phí'!$E$77*A124+'Giả định'!$B$15*('Chi phí'!$F$77+'Chi phí'!$G$77*B124+'Chi phí'!$H$77*A124))*(1+'Giả định'!$B$16)</f>
        <v>344272060</v>
      </c>
      <c r="E124" s="25" t="n">
        <f aca="false">A124/'Giả định'!$B$19*'Giả định'!$B$20+A124*'Giả định'!$B$23+'Giả định'!$B$24</f>
        <v>44300000</v>
      </c>
      <c r="F124" s="25" t="n">
        <f aca="false">E124-D124</f>
        <v>-299972060</v>
      </c>
      <c r="G124" s="25" t="n">
        <f aca="false">E124-C124</f>
        <v>-156367060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200703800</v>
      </c>
      <c r="D125" s="25" t="n">
        <f aca="false">('Chi phí'!$C$77+'Chi phí'!$D$77*B125+'Chi phí'!$E$77*A125+'Giả định'!$B$15*('Chi phí'!$F$77+'Chi phí'!$G$77*B125+'Chi phí'!$H$77*A125))*(1+'Giả định'!$B$16)</f>
        <v>344308800</v>
      </c>
      <c r="E125" s="25" t="n">
        <f aca="false">A125/'Giả định'!$B$19*'Giả định'!$B$20+A125*'Giả định'!$B$23+'Giả định'!$B$24</f>
        <v>44672268.907563</v>
      </c>
      <c r="F125" s="25" t="n">
        <f aca="false">E125-D125</f>
        <v>-299636531.092437</v>
      </c>
      <c r="G125" s="25" t="n">
        <f aca="false">E125-C125</f>
        <v>-156031531.092437</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200740540</v>
      </c>
      <c r="D126" s="25" t="n">
        <f aca="false">('Chi phí'!$C$77+'Chi phí'!$D$77*B126+'Chi phí'!$E$77*A126+'Giả định'!$B$15*('Chi phí'!$F$77+'Chi phí'!$G$77*B126+'Chi phí'!$H$77*A126))*(1+'Giả định'!$B$16)</f>
        <v>344345540</v>
      </c>
      <c r="E126" s="25" t="n">
        <f aca="false">A126/'Giả định'!$B$19*'Giả định'!$B$20+A126*'Giả định'!$B$23+'Giả định'!$B$24</f>
        <v>45044537.8151261</v>
      </c>
      <c r="F126" s="25" t="n">
        <f aca="false">E126-D126</f>
        <v>-299301002.184874</v>
      </c>
      <c r="G126" s="25" t="n">
        <f aca="false">E126-C126</f>
        <v>-155696002.184874</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200777280</v>
      </c>
      <c r="D127" s="25" t="n">
        <f aca="false">('Chi phí'!$C$77+'Chi phí'!$D$77*B127+'Chi phí'!$E$77*A127+'Giả định'!$B$15*('Chi phí'!$F$77+'Chi phí'!$G$77*B127+'Chi phí'!$H$77*A127))*(1+'Giả định'!$B$16)</f>
        <v>344382280</v>
      </c>
      <c r="E127" s="25" t="n">
        <f aca="false">A127/'Giả định'!$B$19*'Giả định'!$B$20+A127*'Giả định'!$B$23+'Giả định'!$B$24</f>
        <v>45416806.7226891</v>
      </c>
      <c r="F127" s="25" t="n">
        <f aca="false">E127-D127</f>
        <v>-298965473.277311</v>
      </c>
      <c r="G127" s="25" t="n">
        <f aca="false">E127-C127</f>
        <v>-155360473.277311</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200814020</v>
      </c>
      <c r="D128" s="25" t="n">
        <f aca="false">('Chi phí'!$C$77+'Chi phí'!$D$77*B128+'Chi phí'!$E$77*A128+'Giả định'!$B$15*('Chi phí'!$F$77+'Chi phí'!$G$77*B128+'Chi phí'!$H$77*A128))*(1+'Giả định'!$B$16)</f>
        <v>344419020</v>
      </c>
      <c r="E128" s="25" t="n">
        <f aca="false">A128/'Giả định'!$B$19*'Giả định'!$B$20+A128*'Giả định'!$B$23+'Giả định'!$B$24</f>
        <v>45789075.6302521</v>
      </c>
      <c r="F128" s="25" t="n">
        <f aca="false">E128-D128</f>
        <v>-298629944.369748</v>
      </c>
      <c r="G128" s="25" t="n">
        <f aca="false">E128-C128</f>
        <v>-155024944.369748</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200850760</v>
      </c>
      <c r="D129" s="25" t="n">
        <f aca="false">('Chi phí'!$C$77+'Chi phí'!$D$77*B129+'Chi phí'!$E$77*A129+'Giả định'!$B$15*('Chi phí'!$F$77+'Chi phí'!$G$77*B129+'Chi phí'!$H$77*A129))*(1+'Giả định'!$B$16)</f>
        <v>344455760</v>
      </c>
      <c r="E129" s="25" t="n">
        <f aca="false">A129/'Giả định'!$B$19*'Giả định'!$B$20+A129*'Giả định'!$B$23+'Giả định'!$B$24</f>
        <v>46161344.5378151</v>
      </c>
      <c r="F129" s="25" t="n">
        <f aca="false">E129-D129</f>
        <v>-298294415.462185</v>
      </c>
      <c r="G129" s="25" t="n">
        <f aca="false">E129-C129</f>
        <v>-154689415.462185</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200887500</v>
      </c>
      <c r="D130" s="25" t="n">
        <f aca="false">('Chi phí'!$C$77+'Chi phí'!$D$77*B130+'Chi phí'!$E$77*A130+'Giả định'!$B$15*('Chi phí'!$F$77+'Chi phí'!$G$77*B130+'Chi phí'!$H$77*A130))*(1+'Giả định'!$B$16)</f>
        <v>344492500</v>
      </c>
      <c r="E130" s="25" t="n">
        <f aca="false">A130/'Giả định'!$B$19*'Giả định'!$B$20+A130*'Giả định'!$B$23+'Giả định'!$B$24</f>
        <v>46533613.4453782</v>
      </c>
      <c r="F130" s="25" t="n">
        <f aca="false">E130-D130</f>
        <v>-297958886.554622</v>
      </c>
      <c r="G130" s="25" t="n">
        <f aca="false">E130-C130</f>
        <v>-154353886.554622</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200924240</v>
      </c>
      <c r="D131" s="25" t="n">
        <f aca="false">('Chi phí'!$C$77+'Chi phí'!$D$77*B131+'Chi phí'!$E$77*A131+'Giả định'!$B$15*('Chi phí'!$F$77+'Chi phí'!$G$77*B131+'Chi phí'!$H$77*A131))*(1+'Giả định'!$B$16)</f>
        <v>344529240</v>
      </c>
      <c r="E131" s="25" t="n">
        <f aca="false">A131/'Giả định'!$B$19*'Giả định'!$B$20+A131*'Giả định'!$B$23+'Giả định'!$B$24</f>
        <v>46905882.3529412</v>
      </c>
      <c r="F131" s="25" t="n">
        <f aca="false">E131-D131</f>
        <v>-297623357.647059</v>
      </c>
      <c r="G131" s="25" t="n">
        <f aca="false">E131-C131</f>
        <v>-154018357.647059</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200960980</v>
      </c>
      <c r="D132" s="25" t="n">
        <f aca="false">('Chi phí'!$C$77+'Chi phí'!$D$77*B132+'Chi phí'!$E$77*A132+'Giả định'!$B$15*('Chi phí'!$F$77+'Chi phí'!$G$77*B132+'Chi phí'!$H$77*A132))*(1+'Giả định'!$B$16)</f>
        <v>344565980</v>
      </c>
      <c r="E132" s="25" t="n">
        <f aca="false">A132/'Giả định'!$B$19*'Giả định'!$B$20+A132*'Giả định'!$B$23+'Giả định'!$B$24</f>
        <v>47278151.2605042</v>
      </c>
      <c r="F132" s="25" t="n">
        <f aca="false">E132-D132</f>
        <v>-297287828.739496</v>
      </c>
      <c r="G132" s="25" t="n">
        <f aca="false">E132-C132</f>
        <v>-153682828.739496</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200997720</v>
      </c>
      <c r="D133" s="25" t="n">
        <f aca="false">('Chi phí'!$C$77+'Chi phí'!$D$77*B133+'Chi phí'!$E$77*A133+'Giả định'!$B$15*('Chi phí'!$F$77+'Chi phí'!$G$77*B133+'Chi phí'!$H$77*A133))*(1+'Giả định'!$B$16)</f>
        <v>344602720</v>
      </c>
      <c r="E133" s="25" t="n">
        <f aca="false">A133/'Giả định'!$B$19*'Giả định'!$B$20+A133*'Giả định'!$B$23+'Giả định'!$B$24</f>
        <v>47650420.1680672</v>
      </c>
      <c r="F133" s="25" t="n">
        <f aca="false">E133-D133</f>
        <v>-296952299.831933</v>
      </c>
      <c r="G133" s="25" t="n">
        <f aca="false">E133-C133</f>
        <v>-153347299.831933</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201034460</v>
      </c>
      <c r="D134" s="25" t="n">
        <f aca="false">('Chi phí'!$C$77+'Chi phí'!$D$77*B134+'Chi phí'!$E$77*A134+'Giả định'!$B$15*('Chi phí'!$F$77+'Chi phí'!$G$77*B134+'Chi phí'!$H$77*A134))*(1+'Giả định'!$B$16)</f>
        <v>344639460</v>
      </c>
      <c r="E134" s="25" t="n">
        <f aca="false">A134/'Giả định'!$B$19*'Giả định'!$B$20+A134*'Giả định'!$B$23+'Giả định'!$B$24</f>
        <v>48022689.0756303</v>
      </c>
      <c r="F134" s="25" t="n">
        <f aca="false">E134-D134</f>
        <v>-296616770.92437</v>
      </c>
      <c r="G134" s="25" t="n">
        <f aca="false">E134-C134</f>
        <v>-153011770.92437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201071200</v>
      </c>
      <c r="D135" s="25" t="n">
        <f aca="false">('Chi phí'!$C$77+'Chi phí'!$D$77*B135+'Chi phí'!$E$77*A135+'Giả định'!$B$15*('Chi phí'!$F$77+'Chi phí'!$G$77*B135+'Chi phí'!$H$77*A135))*(1+'Giả định'!$B$16)</f>
        <v>344676200</v>
      </c>
      <c r="E135" s="25" t="n">
        <f aca="false">A135/'Giả định'!$B$19*'Giả định'!$B$20+A135*'Giả định'!$B$23+'Giả định'!$B$24</f>
        <v>48394957.9831933</v>
      </c>
      <c r="F135" s="25" t="n">
        <f aca="false">E135-D135</f>
        <v>-296281242.016807</v>
      </c>
      <c r="G135" s="25" t="n">
        <f aca="false">E135-C135</f>
        <v>-152676242.016807</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201107940</v>
      </c>
      <c r="D136" s="25" t="n">
        <f aca="false">('Chi phí'!$C$77+'Chi phí'!$D$77*B136+'Chi phí'!$E$77*A136+'Giả định'!$B$15*('Chi phí'!$F$77+'Chi phí'!$G$77*B136+'Chi phí'!$H$77*A136))*(1+'Giả định'!$B$16)</f>
        <v>344712940</v>
      </c>
      <c r="E136" s="25" t="n">
        <f aca="false">A136/'Giả định'!$B$19*'Giả định'!$B$20+A136*'Giả định'!$B$23+'Giả định'!$B$24</f>
        <v>48767226.8907563</v>
      </c>
      <c r="F136" s="25" t="n">
        <f aca="false">E136-D136</f>
        <v>-295945713.109244</v>
      </c>
      <c r="G136" s="25" t="n">
        <f aca="false">E136-C136</f>
        <v>-152340713.109244</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201144680</v>
      </c>
      <c r="D137" s="25" t="n">
        <f aca="false">('Chi phí'!$C$77+'Chi phí'!$D$77*B137+'Chi phí'!$E$77*A137+'Giả định'!$B$15*('Chi phí'!$F$77+'Chi phí'!$G$77*B137+'Chi phí'!$H$77*A137))*(1+'Giả định'!$B$16)</f>
        <v>344749680</v>
      </c>
      <c r="E137" s="25" t="n">
        <f aca="false">A137/'Giả định'!$B$19*'Giả định'!$B$20+A137*'Giả định'!$B$23+'Giả định'!$B$24</f>
        <v>49139495.7983193</v>
      </c>
      <c r="F137" s="25" t="n">
        <f aca="false">E137-D137</f>
        <v>-295610184.201681</v>
      </c>
      <c r="G137" s="25" t="n">
        <f aca="false">E137-C137</f>
        <v>-152005184.201681</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201181420</v>
      </c>
      <c r="D138" s="25" t="n">
        <f aca="false">('Chi phí'!$C$77+'Chi phí'!$D$77*B138+'Chi phí'!$E$77*A138+'Giả định'!$B$15*('Chi phí'!$F$77+'Chi phí'!$G$77*B138+'Chi phí'!$H$77*A138))*(1+'Giả định'!$B$16)</f>
        <v>344786420</v>
      </c>
      <c r="E138" s="25" t="n">
        <f aca="false">A138/'Giả định'!$B$19*'Giả định'!$B$20+A138*'Giả định'!$B$23+'Giả định'!$B$24</f>
        <v>49511764.7058824</v>
      </c>
      <c r="F138" s="25" t="n">
        <f aca="false">E138-D138</f>
        <v>-295274655.294118</v>
      </c>
      <c r="G138" s="25" t="n">
        <f aca="false">E138-C138</f>
        <v>-151669655.294118</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201218160</v>
      </c>
      <c r="D139" s="25" t="n">
        <f aca="false">('Chi phí'!$C$77+'Chi phí'!$D$77*B139+'Chi phí'!$E$77*A139+'Giả định'!$B$15*('Chi phí'!$F$77+'Chi phí'!$G$77*B139+'Chi phí'!$H$77*A139))*(1+'Giả định'!$B$16)</f>
        <v>344823160</v>
      </c>
      <c r="E139" s="25" t="n">
        <f aca="false">A139/'Giả định'!$B$19*'Giả định'!$B$20+A139*'Giả định'!$B$23+'Giả định'!$B$24</f>
        <v>49884033.6134454</v>
      </c>
      <c r="F139" s="25" t="n">
        <f aca="false">E139-D139</f>
        <v>-294939126.386555</v>
      </c>
      <c r="G139" s="25" t="n">
        <f aca="false">E139-C139</f>
        <v>-151334126.386555</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201254900</v>
      </c>
      <c r="D140" s="25" t="n">
        <f aca="false">('Chi phí'!$C$77+'Chi phí'!$D$77*B140+'Chi phí'!$E$77*A140+'Giả định'!$B$15*('Chi phí'!$F$77+'Chi phí'!$G$77*B140+'Chi phí'!$H$77*A140))*(1+'Giả định'!$B$16)</f>
        <v>344859900</v>
      </c>
      <c r="E140" s="25" t="n">
        <f aca="false">A140/'Giả định'!$B$19*'Giả định'!$B$20+A140*'Giả định'!$B$23+'Giả định'!$B$24</f>
        <v>50256302.5210084</v>
      </c>
      <c r="F140" s="25" t="n">
        <f aca="false">E140-D140</f>
        <v>-294603597.478992</v>
      </c>
      <c r="G140" s="25" t="n">
        <f aca="false">E140-C140</f>
        <v>-150998597.478992</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201291640</v>
      </c>
      <c r="D141" s="25" t="n">
        <f aca="false">('Chi phí'!$C$77+'Chi phí'!$D$77*B141+'Chi phí'!$E$77*A141+'Giả định'!$B$15*('Chi phí'!$F$77+'Chi phí'!$G$77*B141+'Chi phí'!$H$77*A141))*(1+'Giả định'!$B$16)</f>
        <v>344896640</v>
      </c>
      <c r="E141" s="25" t="n">
        <f aca="false">A141/'Giả định'!$B$19*'Giả định'!$B$20+A141*'Giả định'!$B$23+'Giả định'!$B$24</f>
        <v>50628571.4285714</v>
      </c>
      <c r="F141" s="25" t="n">
        <f aca="false">E141-D141</f>
        <v>-294268068.571429</v>
      </c>
      <c r="G141" s="25" t="n">
        <f aca="false">E141-C141</f>
        <v>-150663068.571429</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201328380</v>
      </c>
      <c r="D142" s="25" t="n">
        <f aca="false">('Chi phí'!$C$77+'Chi phí'!$D$77*B142+'Chi phí'!$E$77*A142+'Giả định'!$B$15*('Chi phí'!$F$77+'Chi phí'!$G$77*B142+'Chi phí'!$H$77*A142))*(1+'Giả định'!$B$16)</f>
        <v>344933380</v>
      </c>
      <c r="E142" s="25" t="n">
        <f aca="false">A142/'Giả định'!$B$19*'Giả định'!$B$20+A142*'Giả định'!$B$23+'Giả định'!$B$24</f>
        <v>51000840.3361345</v>
      </c>
      <c r="F142" s="25" t="n">
        <f aca="false">E142-D142</f>
        <v>-293932539.663866</v>
      </c>
      <c r="G142" s="25" t="n">
        <f aca="false">E142-C142</f>
        <v>-150327539.663866</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201365120</v>
      </c>
      <c r="D143" s="25" t="n">
        <f aca="false">('Chi phí'!$C$77+'Chi phí'!$D$77*B143+'Chi phí'!$E$77*A143+'Giả định'!$B$15*('Chi phí'!$F$77+'Chi phí'!$G$77*B143+'Chi phí'!$H$77*A143))*(1+'Giả định'!$B$16)</f>
        <v>344970120</v>
      </c>
      <c r="E143" s="25" t="n">
        <f aca="false">A143/'Giả định'!$B$19*'Giả định'!$B$20+A143*'Giả định'!$B$23+'Giả định'!$B$24</f>
        <v>51373109.2436975</v>
      </c>
      <c r="F143" s="25" t="n">
        <f aca="false">E143-D143</f>
        <v>-293597010.756303</v>
      </c>
      <c r="G143" s="25" t="n">
        <f aca="false">E143-C143</f>
        <v>-149992010.756303</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201401860</v>
      </c>
      <c r="D144" s="25" t="n">
        <f aca="false">('Chi phí'!$C$77+'Chi phí'!$D$77*B144+'Chi phí'!$E$77*A144+'Giả định'!$B$15*('Chi phí'!$F$77+'Chi phí'!$G$77*B144+'Chi phí'!$H$77*A144))*(1+'Giả định'!$B$16)</f>
        <v>345006860</v>
      </c>
      <c r="E144" s="25" t="n">
        <f aca="false">A144/'Giả định'!$B$19*'Giả định'!$B$20+A144*'Giả định'!$B$23+'Giả định'!$B$24</f>
        <v>51745378.1512605</v>
      </c>
      <c r="F144" s="25" t="n">
        <f aca="false">E144-D144</f>
        <v>-293261481.84874</v>
      </c>
      <c r="G144" s="25" t="n">
        <f aca="false">E144-C144</f>
        <v>-149656481.84874</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201438600</v>
      </c>
      <c r="D145" s="25" t="n">
        <f aca="false">('Chi phí'!$C$77+'Chi phí'!$D$77*B145+'Chi phí'!$E$77*A145+'Giả định'!$B$15*('Chi phí'!$F$77+'Chi phí'!$G$77*B145+'Chi phí'!$H$77*A145))*(1+'Giả định'!$B$16)</f>
        <v>345043600</v>
      </c>
      <c r="E145" s="25" t="n">
        <f aca="false">A145/'Giả định'!$B$19*'Giả định'!$B$20+A145*'Giả định'!$B$23+'Giả định'!$B$24</f>
        <v>52117647.0588235</v>
      </c>
      <c r="F145" s="25" t="n">
        <f aca="false">E145-D145</f>
        <v>-292925952.941177</v>
      </c>
      <c r="G145" s="25" t="n">
        <f aca="false">E145-C145</f>
        <v>-149320952.941177</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210649340</v>
      </c>
      <c r="D146" s="25" t="n">
        <f aca="false">('Chi phí'!$C$77+'Chi phí'!$D$77*B146+'Chi phí'!$E$77*A146+'Giả định'!$B$15*('Chi phí'!$F$77+'Chi phí'!$G$77*B146+'Chi phí'!$H$77*A146))*(1+'Giả định'!$B$16)</f>
        <v>354254340</v>
      </c>
      <c r="E146" s="25" t="n">
        <f aca="false">A146/'Giả định'!$B$19*'Giả định'!$B$20+A146*'Giả định'!$B$23+'Giả định'!$B$24</f>
        <v>52489915.9663866</v>
      </c>
      <c r="F146" s="25" t="n">
        <f aca="false">E146-D146</f>
        <v>-301764424.033613</v>
      </c>
      <c r="G146" s="25" t="n">
        <f aca="false">E146-C146</f>
        <v>-158159424.033613</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210686080</v>
      </c>
      <c r="D147" s="25" t="n">
        <f aca="false">('Chi phí'!$C$77+'Chi phí'!$D$77*B147+'Chi phí'!$E$77*A147+'Giả định'!$B$15*('Chi phí'!$F$77+'Chi phí'!$G$77*B147+'Chi phí'!$H$77*A147))*(1+'Giả định'!$B$16)</f>
        <v>354291080</v>
      </c>
      <c r="E147" s="25" t="n">
        <f aca="false">A147/'Giả định'!$B$19*'Giả định'!$B$20+A147*'Giả định'!$B$23+'Giả định'!$B$24</f>
        <v>52862184.8739496</v>
      </c>
      <c r="F147" s="25" t="n">
        <f aca="false">E147-D147</f>
        <v>-301428895.12605</v>
      </c>
      <c r="G147" s="25" t="n">
        <f aca="false">E147-C147</f>
        <v>-157823895.12605</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210722820</v>
      </c>
      <c r="D148" s="25" t="n">
        <f aca="false">('Chi phí'!$C$77+'Chi phí'!$D$77*B148+'Chi phí'!$E$77*A148+'Giả định'!$B$15*('Chi phí'!$F$77+'Chi phí'!$G$77*B148+'Chi phí'!$H$77*A148))*(1+'Giả định'!$B$16)</f>
        <v>354327820</v>
      </c>
      <c r="E148" s="25" t="n">
        <f aca="false">A148/'Giả định'!$B$19*'Giả định'!$B$20+A148*'Giả định'!$B$23+'Giả định'!$B$24</f>
        <v>53234453.7815126</v>
      </c>
      <c r="F148" s="25" t="n">
        <f aca="false">E148-D148</f>
        <v>-301093366.218487</v>
      </c>
      <c r="G148" s="25" t="n">
        <f aca="false">E148-C148</f>
        <v>-157488366.218487</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210759560</v>
      </c>
      <c r="D149" s="25" t="n">
        <f aca="false">('Chi phí'!$C$77+'Chi phí'!$D$77*B149+'Chi phí'!$E$77*A149+'Giả định'!$B$15*('Chi phí'!$F$77+'Chi phí'!$G$77*B149+'Chi phí'!$H$77*A149))*(1+'Giả định'!$B$16)</f>
        <v>354364560</v>
      </c>
      <c r="E149" s="25" t="n">
        <f aca="false">A149/'Giả định'!$B$19*'Giả định'!$B$20+A149*'Giả định'!$B$23+'Giả định'!$B$24</f>
        <v>53606722.6890756</v>
      </c>
      <c r="F149" s="25" t="n">
        <f aca="false">E149-D149</f>
        <v>-300757837.310924</v>
      </c>
      <c r="G149" s="25" t="n">
        <f aca="false">E149-C149</f>
        <v>-157152837.310924</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210796300</v>
      </c>
      <c r="D150" s="25" t="n">
        <f aca="false">('Chi phí'!$C$77+'Chi phí'!$D$77*B150+'Chi phí'!$E$77*A150+'Giả định'!$B$15*('Chi phí'!$F$77+'Chi phí'!$G$77*B150+'Chi phí'!$H$77*A150))*(1+'Giả định'!$B$16)</f>
        <v>354401300</v>
      </c>
      <c r="E150" s="25" t="n">
        <f aca="false">A150/'Giả định'!$B$19*'Giả định'!$B$20+A150*'Giả định'!$B$23+'Giả định'!$B$24</f>
        <v>53978991.5966387</v>
      </c>
      <c r="F150" s="25" t="n">
        <f aca="false">E150-D150</f>
        <v>-300422308.403361</v>
      </c>
      <c r="G150" s="25" t="n">
        <f aca="false">E150-C150</f>
        <v>-156817308.403361</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210833040</v>
      </c>
      <c r="D151" s="25" t="n">
        <f aca="false">('Chi phí'!$C$77+'Chi phí'!$D$77*B151+'Chi phí'!$E$77*A151+'Giả định'!$B$15*('Chi phí'!$F$77+'Chi phí'!$G$77*B151+'Chi phí'!$H$77*A151))*(1+'Giả định'!$B$16)</f>
        <v>354438040</v>
      </c>
      <c r="E151" s="25" t="n">
        <f aca="false">A151/'Giả định'!$B$19*'Giả định'!$B$20+A151*'Giả định'!$B$23+'Giả định'!$B$24</f>
        <v>54351260.5042017</v>
      </c>
      <c r="F151" s="25" t="n">
        <f aca="false">E151-D151</f>
        <v>-300086779.495798</v>
      </c>
      <c r="G151" s="25" t="n">
        <f aca="false">E151-C151</f>
        <v>-156481779.495798</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210869780</v>
      </c>
      <c r="D152" s="25" t="n">
        <f aca="false">('Chi phí'!$C$77+'Chi phí'!$D$77*B152+'Chi phí'!$E$77*A152+'Giả định'!$B$15*('Chi phí'!$F$77+'Chi phí'!$G$77*B152+'Chi phí'!$H$77*A152))*(1+'Giả định'!$B$16)</f>
        <v>354474780</v>
      </c>
      <c r="E152" s="25" t="n">
        <f aca="false">A152/'Giả định'!$B$19*'Giả định'!$B$20+A152*'Giả định'!$B$23+'Giả định'!$B$24</f>
        <v>54723529.4117647</v>
      </c>
      <c r="F152" s="25" t="n">
        <f aca="false">E152-D152</f>
        <v>-299751250.588235</v>
      </c>
      <c r="G152" s="25" t="n">
        <f aca="false">E152-C152</f>
        <v>-156146250.588235</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210906520</v>
      </c>
      <c r="D153" s="25" t="n">
        <f aca="false">('Chi phí'!$C$77+'Chi phí'!$D$77*B153+'Chi phí'!$E$77*A153+'Giả định'!$B$15*('Chi phí'!$F$77+'Chi phí'!$G$77*B153+'Chi phí'!$H$77*A153))*(1+'Giả định'!$B$16)</f>
        <v>354511520</v>
      </c>
      <c r="E153" s="25" t="n">
        <f aca="false">A153/'Giả định'!$B$19*'Giả định'!$B$20+A153*'Giả định'!$B$23+'Giả định'!$B$24</f>
        <v>55095798.3193277</v>
      </c>
      <c r="F153" s="25" t="n">
        <f aca="false">E153-D153</f>
        <v>-299415721.680672</v>
      </c>
      <c r="G153" s="25" t="n">
        <f aca="false">E153-C153</f>
        <v>-155810721.680672</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210943260</v>
      </c>
      <c r="D154" s="25" t="n">
        <f aca="false">('Chi phí'!$C$77+'Chi phí'!$D$77*B154+'Chi phí'!$E$77*A154+'Giả định'!$B$15*('Chi phí'!$F$77+'Chi phí'!$G$77*B154+'Chi phí'!$H$77*A154))*(1+'Giả định'!$B$16)</f>
        <v>354548260</v>
      </c>
      <c r="E154" s="25" t="n">
        <f aca="false">A154/'Giả định'!$B$19*'Giả định'!$B$20+A154*'Giả định'!$B$23+'Giả định'!$B$24</f>
        <v>55468067.2268908</v>
      </c>
      <c r="F154" s="25" t="n">
        <f aca="false">E154-D154</f>
        <v>-299080192.773109</v>
      </c>
      <c r="G154" s="25" t="n">
        <f aca="false">E154-C154</f>
        <v>-155475192.773109</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210980000</v>
      </c>
      <c r="D155" s="25" t="n">
        <f aca="false">('Chi phí'!$C$77+'Chi phí'!$D$77*B155+'Chi phí'!$E$77*A155+'Giả định'!$B$15*('Chi phí'!$F$77+'Chi phí'!$G$77*B155+'Chi phí'!$H$77*A155))*(1+'Giả định'!$B$16)</f>
        <v>354585000</v>
      </c>
      <c r="E155" s="25" t="n">
        <f aca="false">A155/'Giả định'!$B$19*'Giả định'!$B$20+A155*'Giả định'!$B$23+'Giả định'!$B$24</f>
        <v>55840336.1344538</v>
      </c>
      <c r="F155" s="25" t="n">
        <f aca="false">E155-D155</f>
        <v>-298744663.865546</v>
      </c>
      <c r="G155" s="25" t="n">
        <f aca="false">E155-C155</f>
        <v>-155139663.865546</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220190740</v>
      </c>
      <c r="D156" s="25" t="n">
        <f aca="false">('Chi phí'!$C$77+'Chi phí'!$D$77*B156+'Chi phí'!$E$77*A156+'Giả định'!$B$15*('Chi phí'!$F$77+'Chi phí'!$G$77*B156+'Chi phí'!$H$77*A156))*(1+'Giả định'!$B$16)</f>
        <v>363795740</v>
      </c>
      <c r="E156" s="25" t="n">
        <f aca="false">A156/'Giả định'!$B$19*'Giả định'!$B$20+A156*'Giả định'!$B$23+'Giả định'!$B$24</f>
        <v>56212605.0420168</v>
      </c>
      <c r="F156" s="25" t="n">
        <f aca="false">E156-D156</f>
        <v>-307583134.957983</v>
      </c>
      <c r="G156" s="25" t="n">
        <f aca="false">E156-C156</f>
        <v>-163978134.957983</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220227480</v>
      </c>
      <c r="D157" s="25" t="n">
        <f aca="false">('Chi phí'!$C$77+'Chi phí'!$D$77*B157+'Chi phí'!$E$77*A157+'Giả định'!$B$15*('Chi phí'!$F$77+'Chi phí'!$G$77*B157+'Chi phí'!$H$77*A157))*(1+'Giả định'!$B$16)</f>
        <v>363832480</v>
      </c>
      <c r="E157" s="25" t="n">
        <f aca="false">A157/'Giả định'!$B$19*'Giả định'!$B$20+A157*'Giả định'!$B$23+'Giả định'!$B$24</f>
        <v>56584873.9495798</v>
      </c>
      <c r="F157" s="25" t="n">
        <f aca="false">E157-D157</f>
        <v>-307247606.05042</v>
      </c>
      <c r="G157" s="25" t="n">
        <f aca="false">E157-C157</f>
        <v>-163642606.05042</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220264220</v>
      </c>
      <c r="D158" s="25" t="n">
        <f aca="false">('Chi phí'!$C$77+'Chi phí'!$D$77*B158+'Chi phí'!$E$77*A158+'Giả định'!$B$15*('Chi phí'!$F$77+'Chi phí'!$G$77*B158+'Chi phí'!$H$77*A158))*(1+'Giả định'!$B$16)</f>
        <v>363869220</v>
      </c>
      <c r="E158" s="25" t="n">
        <f aca="false">A158/'Giả định'!$B$19*'Giả định'!$B$20+A158*'Giả định'!$B$23+'Giả định'!$B$24</f>
        <v>56957142.8571429</v>
      </c>
      <c r="F158" s="25" t="n">
        <f aca="false">E158-D158</f>
        <v>-306912077.142857</v>
      </c>
      <c r="G158" s="25" t="n">
        <f aca="false">E158-C158</f>
        <v>-163307077.142857</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220300960</v>
      </c>
      <c r="D159" s="25" t="n">
        <f aca="false">('Chi phí'!$C$77+'Chi phí'!$D$77*B159+'Chi phí'!$E$77*A159+'Giả định'!$B$15*('Chi phí'!$F$77+'Chi phí'!$G$77*B159+'Chi phí'!$H$77*A159))*(1+'Giả định'!$B$16)</f>
        <v>363905960</v>
      </c>
      <c r="E159" s="25" t="n">
        <f aca="false">A159/'Giả định'!$B$19*'Giả định'!$B$20+A159*'Giả định'!$B$23+'Giả định'!$B$24</f>
        <v>57329411.7647059</v>
      </c>
      <c r="F159" s="25" t="n">
        <f aca="false">E159-D159</f>
        <v>-306576548.235294</v>
      </c>
      <c r="G159" s="25" t="n">
        <f aca="false">E159-C159</f>
        <v>-162971548.235294</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220337700</v>
      </c>
      <c r="D160" s="25" t="n">
        <f aca="false">('Chi phí'!$C$77+'Chi phí'!$D$77*B160+'Chi phí'!$E$77*A160+'Giả định'!$B$15*('Chi phí'!$F$77+'Chi phí'!$G$77*B160+'Chi phí'!$H$77*A160))*(1+'Giả định'!$B$16)</f>
        <v>363942700</v>
      </c>
      <c r="E160" s="25" t="n">
        <f aca="false">A160/'Giả định'!$B$19*'Giả định'!$B$20+A160*'Giả định'!$B$23+'Giả định'!$B$24</f>
        <v>57701680.6722689</v>
      </c>
      <c r="F160" s="25" t="n">
        <f aca="false">E160-D160</f>
        <v>-306241019.327731</v>
      </c>
      <c r="G160" s="25" t="n">
        <f aca="false">E160-C160</f>
        <v>-162636019.327731</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220374440</v>
      </c>
      <c r="D161" s="25" t="n">
        <f aca="false">('Chi phí'!$C$77+'Chi phí'!$D$77*B161+'Chi phí'!$E$77*A161+'Giả định'!$B$15*('Chi phí'!$F$77+'Chi phí'!$G$77*B161+'Chi phí'!$H$77*A161))*(1+'Giả định'!$B$16)</f>
        <v>363979440</v>
      </c>
      <c r="E161" s="25" t="n">
        <f aca="false">A161/'Giả định'!$B$19*'Giả định'!$B$20+A161*'Giả định'!$B$23+'Giả định'!$B$24</f>
        <v>58073949.5798319</v>
      </c>
      <c r="F161" s="25" t="n">
        <f aca="false">E161-D161</f>
        <v>-305905490.420168</v>
      </c>
      <c r="G161" s="25" t="n">
        <f aca="false">E161-C161</f>
        <v>-162300490.420168</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220411180</v>
      </c>
      <c r="D162" s="25" t="n">
        <f aca="false">('Chi phí'!$C$77+'Chi phí'!$D$77*B162+'Chi phí'!$E$77*A162+'Giả định'!$B$15*('Chi phí'!$F$77+'Chi phí'!$G$77*B162+'Chi phí'!$H$77*A162))*(1+'Giả định'!$B$16)</f>
        <v>364016180</v>
      </c>
      <c r="E162" s="25" t="n">
        <f aca="false">A162/'Giả định'!$B$19*'Giả định'!$B$20+A162*'Giả định'!$B$23+'Giả định'!$B$24</f>
        <v>58446218.487395</v>
      </c>
      <c r="F162" s="25" t="n">
        <f aca="false">E162-D162</f>
        <v>-305569961.512605</v>
      </c>
      <c r="G162" s="25" t="n">
        <f aca="false">E162-C162</f>
        <v>-161964961.512605</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220447920</v>
      </c>
      <c r="D163" s="25" t="n">
        <f aca="false">('Chi phí'!$C$77+'Chi phí'!$D$77*B163+'Chi phí'!$E$77*A163+'Giả định'!$B$15*('Chi phí'!$F$77+'Chi phí'!$G$77*B163+'Chi phí'!$H$77*A163))*(1+'Giả định'!$B$16)</f>
        <v>364052920</v>
      </c>
      <c r="E163" s="25" t="n">
        <f aca="false">A163/'Giả định'!$B$19*'Giả định'!$B$20+A163*'Giả định'!$B$23+'Giả định'!$B$24</f>
        <v>58818487.394958</v>
      </c>
      <c r="F163" s="25" t="n">
        <f aca="false">E163-D163</f>
        <v>-305234432.605042</v>
      </c>
      <c r="G163" s="25" t="n">
        <f aca="false">E163-C163</f>
        <v>-161629432.605042</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220484660</v>
      </c>
      <c r="D164" s="25" t="n">
        <f aca="false">('Chi phí'!$C$77+'Chi phí'!$D$77*B164+'Chi phí'!$E$77*A164+'Giả định'!$B$15*('Chi phí'!$F$77+'Chi phí'!$G$77*B164+'Chi phí'!$H$77*A164))*(1+'Giả định'!$B$16)</f>
        <v>364089660</v>
      </c>
      <c r="E164" s="25" t="n">
        <f aca="false">A164/'Giả định'!$B$19*'Giả định'!$B$20+A164*'Giả định'!$B$23+'Giả định'!$B$24</f>
        <v>59190756.302521</v>
      </c>
      <c r="F164" s="25" t="n">
        <f aca="false">E164-D164</f>
        <v>-304898903.697479</v>
      </c>
      <c r="G164" s="25" t="n">
        <f aca="false">E164-C164</f>
        <v>-161293903.697479</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220521400</v>
      </c>
      <c r="D165" s="25" t="n">
        <f aca="false">('Chi phí'!$C$77+'Chi phí'!$D$77*B165+'Chi phí'!$E$77*A165+'Giả định'!$B$15*('Chi phí'!$F$77+'Chi phí'!$G$77*B165+'Chi phí'!$H$77*A165))*(1+'Giả định'!$B$16)</f>
        <v>364126400</v>
      </c>
      <c r="E165" s="25" t="n">
        <f aca="false">A165/'Giả định'!$B$19*'Giả định'!$B$20+A165*'Giả định'!$B$23+'Giả định'!$B$24</f>
        <v>59563025.210084</v>
      </c>
      <c r="F165" s="25" t="n">
        <f aca="false">E165-D165</f>
        <v>-304563374.789916</v>
      </c>
      <c r="G165" s="25" t="n">
        <f aca="false">E165-C165</f>
        <v>-160958374.789916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229732140</v>
      </c>
      <c r="D166" s="25" t="n">
        <f aca="false">('Chi phí'!$C$77+'Chi phí'!$D$77*B166+'Chi phí'!$E$77*A166+'Giả định'!$B$15*('Chi phí'!$F$77+'Chi phí'!$G$77*B166+'Chi phí'!$H$77*A166))*(1+'Giả định'!$B$16)</f>
        <v>373337140</v>
      </c>
      <c r="E166" s="25" t="n">
        <f aca="false">A166/'Giả định'!$B$19*'Giả định'!$B$20+A166*'Giả định'!$B$23+'Giả định'!$B$24</f>
        <v>59935294.1176471</v>
      </c>
      <c r="F166" s="25" t="n">
        <f aca="false">E166-D166</f>
        <v>-313401845.882353</v>
      </c>
      <c r="G166" s="25" t="n">
        <f aca="false">E166-C166</f>
        <v>-169796845.882353</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229768880</v>
      </c>
      <c r="D167" s="25" t="n">
        <f aca="false">('Chi phí'!$C$77+'Chi phí'!$D$77*B167+'Chi phí'!$E$77*A167+'Giả định'!$B$15*('Chi phí'!$F$77+'Chi phí'!$G$77*B167+'Chi phí'!$H$77*A167))*(1+'Giả định'!$B$16)</f>
        <v>373373880</v>
      </c>
      <c r="E167" s="25" t="n">
        <f aca="false">A167/'Giả định'!$B$19*'Giả định'!$B$20+A167*'Giả định'!$B$23+'Giả định'!$B$24</f>
        <v>60307563.0252101</v>
      </c>
      <c r="F167" s="25" t="n">
        <f aca="false">E167-D167</f>
        <v>-313066316.97479</v>
      </c>
      <c r="G167" s="25" t="n">
        <f aca="false">E167-C167</f>
        <v>-169461316.97479</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229805620</v>
      </c>
      <c r="D168" s="25" t="n">
        <f aca="false">('Chi phí'!$C$77+'Chi phí'!$D$77*B168+'Chi phí'!$E$77*A168+'Giả định'!$B$15*('Chi phí'!$F$77+'Chi phí'!$G$77*B168+'Chi phí'!$H$77*A168))*(1+'Giả định'!$B$16)</f>
        <v>373410620</v>
      </c>
      <c r="E168" s="25" t="n">
        <f aca="false">A168/'Giả định'!$B$19*'Giả định'!$B$20+A168*'Giả định'!$B$23+'Giả định'!$B$24</f>
        <v>60679831.9327731</v>
      </c>
      <c r="F168" s="25" t="n">
        <f aca="false">E168-D168</f>
        <v>-312730788.067227</v>
      </c>
      <c r="G168" s="25" t="n">
        <f aca="false">E168-C168</f>
        <v>-169125788.067227</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229842360</v>
      </c>
      <c r="D169" s="25" t="n">
        <f aca="false">('Chi phí'!$C$77+'Chi phí'!$D$77*B169+'Chi phí'!$E$77*A169+'Giả định'!$B$15*('Chi phí'!$F$77+'Chi phí'!$G$77*B169+'Chi phí'!$H$77*A169))*(1+'Giả định'!$B$16)</f>
        <v>373447360</v>
      </c>
      <c r="E169" s="25" t="n">
        <f aca="false">A169/'Giả định'!$B$19*'Giả định'!$B$20+A169*'Giả định'!$B$23+'Giả định'!$B$24</f>
        <v>61052100.8403361</v>
      </c>
      <c r="F169" s="25" t="n">
        <f aca="false">E169-D169</f>
        <v>-312395259.159664</v>
      </c>
      <c r="G169" s="25" t="n">
        <f aca="false">E169-C169</f>
        <v>-168790259.159664</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229879100</v>
      </c>
      <c r="D170" s="25" t="n">
        <f aca="false">('Chi phí'!$C$77+'Chi phí'!$D$77*B170+'Chi phí'!$E$77*A170+'Giả định'!$B$15*('Chi phí'!$F$77+'Chi phí'!$G$77*B170+'Chi phí'!$H$77*A170))*(1+'Giả định'!$B$16)</f>
        <v>373484100</v>
      </c>
      <c r="E170" s="25" t="n">
        <f aca="false">A170/'Giả định'!$B$19*'Giả định'!$B$20+A170*'Giả định'!$B$23+'Giả định'!$B$24</f>
        <v>61424369.7478992</v>
      </c>
      <c r="F170" s="25" t="n">
        <f aca="false">E170-D170</f>
        <v>-312059730.252101</v>
      </c>
      <c r="G170" s="25" t="n">
        <f aca="false">E170-C170</f>
        <v>-168454730.252101</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229915840</v>
      </c>
      <c r="D171" s="25" t="n">
        <f aca="false">('Chi phí'!$C$77+'Chi phí'!$D$77*B171+'Chi phí'!$E$77*A171+'Giả định'!$B$15*('Chi phí'!$F$77+'Chi phí'!$G$77*B171+'Chi phí'!$H$77*A171))*(1+'Giả định'!$B$16)</f>
        <v>373520840</v>
      </c>
      <c r="E171" s="25" t="n">
        <f aca="false">A171/'Giả định'!$B$19*'Giả định'!$B$20+A171*'Giả định'!$B$23+'Giả định'!$B$24</f>
        <v>61796638.6554622</v>
      </c>
      <c r="F171" s="25" t="n">
        <f aca="false">E171-D171</f>
        <v>-311724201.344538</v>
      </c>
      <c r="G171" s="25" t="n">
        <f aca="false">E171-C171</f>
        <v>-168119201.344538</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229952580</v>
      </c>
      <c r="D172" s="25" t="n">
        <f aca="false">('Chi phí'!$C$77+'Chi phí'!$D$77*B172+'Chi phí'!$E$77*A172+'Giả định'!$B$15*('Chi phí'!$F$77+'Chi phí'!$G$77*B172+'Chi phí'!$H$77*A172))*(1+'Giả định'!$B$16)</f>
        <v>373557580</v>
      </c>
      <c r="E172" s="25" t="n">
        <f aca="false">A172/'Giả định'!$B$19*'Giả định'!$B$20+A172*'Giả định'!$B$23+'Giả định'!$B$24</f>
        <v>62168907.5630252</v>
      </c>
      <c r="F172" s="25" t="n">
        <f aca="false">E172-D172</f>
        <v>-311388672.436975</v>
      </c>
      <c r="G172" s="25" t="n">
        <f aca="false">E172-C172</f>
        <v>-167783672.436975</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229989320</v>
      </c>
      <c r="D173" s="25" t="n">
        <f aca="false">('Chi phí'!$C$77+'Chi phí'!$D$77*B173+'Chi phí'!$E$77*A173+'Giả định'!$B$15*('Chi phí'!$F$77+'Chi phí'!$G$77*B173+'Chi phí'!$H$77*A173))*(1+'Giả định'!$B$16)</f>
        <v>373594320</v>
      </c>
      <c r="E173" s="25" t="n">
        <f aca="false">A173/'Giả định'!$B$19*'Giả định'!$B$20+A173*'Giả định'!$B$23+'Giả định'!$B$24</f>
        <v>62541176.4705882</v>
      </c>
      <c r="F173" s="25" t="n">
        <f aca="false">E173-D173</f>
        <v>-311053143.529412</v>
      </c>
      <c r="G173" s="25" t="n">
        <f aca="false">E173-C173</f>
        <v>-167448143.529412</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230026060</v>
      </c>
      <c r="D174" s="25" t="n">
        <f aca="false">('Chi phí'!$C$77+'Chi phí'!$D$77*B174+'Chi phí'!$E$77*A174+'Giả định'!$B$15*('Chi phí'!$F$77+'Chi phí'!$G$77*B174+'Chi phí'!$H$77*A174))*(1+'Giả định'!$B$16)</f>
        <v>373631060</v>
      </c>
      <c r="E174" s="25" t="n">
        <f aca="false">A174/'Giả định'!$B$19*'Giả định'!$B$20+A174*'Giả định'!$B$23+'Giả định'!$B$24</f>
        <v>62913445.3781513</v>
      </c>
      <c r="F174" s="25" t="n">
        <f aca="false">E174-D174</f>
        <v>-310717614.621849</v>
      </c>
      <c r="G174" s="25" t="n">
        <f aca="false">E174-C174</f>
        <v>-167112614.621849</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230062800</v>
      </c>
      <c r="D175" s="25" t="n">
        <f aca="false">('Chi phí'!$C$77+'Chi phí'!$D$77*B175+'Chi phí'!$E$77*A175+'Giả định'!$B$15*('Chi phí'!$F$77+'Chi phí'!$G$77*B175+'Chi phí'!$H$77*A175))*(1+'Giả định'!$B$16)</f>
        <v>373667800</v>
      </c>
      <c r="E175" s="25" t="n">
        <f aca="false">A175/'Giả định'!$B$19*'Giả định'!$B$20+A175*'Giả định'!$B$23+'Giả định'!$B$24</f>
        <v>63285714.2857143</v>
      </c>
      <c r="F175" s="25" t="n">
        <f aca="false">E175-D175</f>
        <v>-310382085.714286</v>
      </c>
      <c r="G175" s="25" t="n">
        <f aca="false">E175-C175</f>
        <v>-166777085.714286</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239273540</v>
      </c>
      <c r="D176" s="25" t="n">
        <f aca="false">('Chi phí'!$C$77+'Chi phí'!$D$77*B176+'Chi phí'!$E$77*A176+'Giả định'!$B$15*('Chi phí'!$F$77+'Chi phí'!$G$77*B176+'Chi phí'!$H$77*A176))*(1+'Giả định'!$B$16)</f>
        <v>382878540</v>
      </c>
      <c r="E176" s="25" t="n">
        <f aca="false">A176/'Giả định'!$B$19*'Giả định'!$B$20+A176*'Giả định'!$B$23+'Giả định'!$B$24</f>
        <v>63657983.1932773</v>
      </c>
      <c r="F176" s="25" t="n">
        <f aca="false">E176-D176</f>
        <v>-319220556.806723</v>
      </c>
      <c r="G176" s="25" t="n">
        <f aca="false">E176-C176</f>
        <v>-175615556.806723</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239310280</v>
      </c>
      <c r="D177" s="25" t="n">
        <f aca="false">('Chi phí'!$C$77+'Chi phí'!$D$77*B177+'Chi phí'!$E$77*A177+'Giả định'!$B$15*('Chi phí'!$F$77+'Chi phí'!$G$77*B177+'Chi phí'!$H$77*A177))*(1+'Giả định'!$B$16)</f>
        <v>382915280</v>
      </c>
      <c r="E177" s="25" t="n">
        <f aca="false">A177/'Giả định'!$B$19*'Giả định'!$B$20+A177*'Giả định'!$B$23+'Giả định'!$B$24</f>
        <v>64030252.1008403</v>
      </c>
      <c r="F177" s="25" t="n">
        <f aca="false">E177-D177</f>
        <v>-318885027.89916</v>
      </c>
      <c r="G177" s="25" t="n">
        <f aca="false">E177-C177</f>
        <v>-175280027.89916</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239347020</v>
      </c>
      <c r="D178" s="25" t="n">
        <f aca="false">('Chi phí'!$C$77+'Chi phí'!$D$77*B178+'Chi phí'!$E$77*A178+'Giả định'!$B$15*('Chi phí'!$F$77+'Chi phí'!$G$77*B178+'Chi phí'!$H$77*A178))*(1+'Giả định'!$B$16)</f>
        <v>382952020</v>
      </c>
      <c r="E178" s="25" t="n">
        <f aca="false">A178/'Giả định'!$B$19*'Giả định'!$B$20+A178*'Giả định'!$B$23+'Giả định'!$B$24</f>
        <v>64402521.0084034</v>
      </c>
      <c r="F178" s="25" t="n">
        <f aca="false">E178-D178</f>
        <v>-318549498.991597</v>
      </c>
      <c r="G178" s="25" t="n">
        <f aca="false">E178-C178</f>
        <v>-174944498.991597</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239383760</v>
      </c>
      <c r="D179" s="25" t="n">
        <f aca="false">('Chi phí'!$C$77+'Chi phí'!$D$77*B179+'Chi phí'!$E$77*A179+'Giả định'!$B$15*('Chi phí'!$F$77+'Chi phí'!$G$77*B179+'Chi phí'!$H$77*A179))*(1+'Giả định'!$B$16)</f>
        <v>382988760</v>
      </c>
      <c r="E179" s="25" t="n">
        <f aca="false">A179/'Giả định'!$B$19*'Giả định'!$B$20+A179*'Giả định'!$B$23+'Giả định'!$B$24</f>
        <v>64774789.9159664</v>
      </c>
      <c r="F179" s="25" t="n">
        <f aca="false">E179-D179</f>
        <v>-318213970.084034</v>
      </c>
      <c r="G179" s="25" t="n">
        <f aca="false">E179-C179</f>
        <v>-174608970.084034</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239420500</v>
      </c>
      <c r="D180" s="25" t="n">
        <f aca="false">('Chi phí'!$C$77+'Chi phí'!$D$77*B180+'Chi phí'!$E$77*A180+'Giả định'!$B$15*('Chi phí'!$F$77+'Chi phí'!$G$77*B180+'Chi phí'!$H$77*A180))*(1+'Giả định'!$B$16)</f>
        <v>383025500</v>
      </c>
      <c r="E180" s="25" t="n">
        <f aca="false">A180/'Giả định'!$B$19*'Giả định'!$B$20+A180*'Giả định'!$B$23+'Giả định'!$B$24</f>
        <v>65147058.8235294</v>
      </c>
      <c r="F180" s="25" t="n">
        <f aca="false">E180-D180</f>
        <v>-317878441.176471</v>
      </c>
      <c r="G180" s="25" t="n">
        <f aca="false">E180-C180</f>
        <v>-174273441.176471</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239457240</v>
      </c>
      <c r="D181" s="25" t="n">
        <f aca="false">('Chi phí'!$C$77+'Chi phí'!$D$77*B181+'Chi phí'!$E$77*A181+'Giả định'!$B$15*('Chi phí'!$F$77+'Chi phí'!$G$77*B181+'Chi phí'!$H$77*A181))*(1+'Giả định'!$B$16)</f>
        <v>383062240</v>
      </c>
      <c r="E181" s="25" t="n">
        <f aca="false">A181/'Giả định'!$B$19*'Giả định'!$B$20+A181*'Giả định'!$B$23+'Giả định'!$B$24</f>
        <v>65519327.7310924</v>
      </c>
      <c r="F181" s="25" t="n">
        <f aca="false">E181-D181</f>
        <v>-317542912.268908</v>
      </c>
      <c r="G181" s="25" t="n">
        <f aca="false">E181-C181</f>
        <v>-173937912.268908</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239493980</v>
      </c>
      <c r="D182" s="25" t="n">
        <f aca="false">('Chi phí'!$C$77+'Chi phí'!$D$77*B182+'Chi phí'!$E$77*A182+'Giả định'!$B$15*('Chi phí'!$F$77+'Chi phí'!$G$77*B182+'Chi phí'!$H$77*A182))*(1+'Giả định'!$B$16)</f>
        <v>383098980</v>
      </c>
      <c r="E182" s="25" t="n">
        <f aca="false">A182/'Giả định'!$B$19*'Giả định'!$B$20+A182*'Giả định'!$B$23+'Giả định'!$B$24</f>
        <v>65891596.6386555</v>
      </c>
      <c r="F182" s="25" t="n">
        <f aca="false">E182-D182</f>
        <v>-317207383.361345</v>
      </c>
      <c r="G182" s="25" t="n">
        <f aca="false">E182-C182</f>
        <v>-173602383.361345</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239530720</v>
      </c>
      <c r="D183" s="25" t="n">
        <f aca="false">('Chi phí'!$C$77+'Chi phí'!$D$77*B183+'Chi phí'!$E$77*A183+'Giả định'!$B$15*('Chi phí'!$F$77+'Chi phí'!$G$77*B183+'Chi phí'!$H$77*A183))*(1+'Giả định'!$B$16)</f>
        <v>383135720</v>
      </c>
      <c r="E183" s="25" t="n">
        <f aca="false">A183/'Giả định'!$B$19*'Giả định'!$B$20+A183*'Giả định'!$B$23+'Giả định'!$B$24</f>
        <v>66263865.5462185</v>
      </c>
      <c r="F183" s="25" t="n">
        <f aca="false">E183-D183</f>
        <v>-316871854.453782</v>
      </c>
      <c r="G183" s="25" t="n">
        <f aca="false">E183-C183</f>
        <v>-173266854.453782</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239567460</v>
      </c>
      <c r="D184" s="25" t="n">
        <f aca="false">('Chi phí'!$C$77+'Chi phí'!$D$77*B184+'Chi phí'!$E$77*A184+'Giả định'!$B$15*('Chi phí'!$F$77+'Chi phí'!$G$77*B184+'Chi phí'!$H$77*A184))*(1+'Giả định'!$B$16)</f>
        <v>383172460</v>
      </c>
      <c r="E184" s="25" t="n">
        <f aca="false">A184/'Giả định'!$B$19*'Giả định'!$B$20+A184*'Giả định'!$B$23+'Giả định'!$B$24</f>
        <v>66636134.4537815</v>
      </c>
      <c r="F184" s="25" t="n">
        <f aca="false">E184-D184</f>
        <v>-316536325.546219</v>
      </c>
      <c r="G184" s="25" t="n">
        <f aca="false">E184-C184</f>
        <v>-172931325.546219</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239604200</v>
      </c>
      <c r="D185" s="25" t="n">
        <f aca="false">('Chi phí'!$C$77+'Chi phí'!$D$77*B185+'Chi phí'!$E$77*A185+'Giả định'!$B$15*('Chi phí'!$F$77+'Chi phí'!$G$77*B185+'Chi phí'!$H$77*A185))*(1+'Giả định'!$B$16)</f>
        <v>383209200</v>
      </c>
      <c r="E185" s="25" t="n">
        <f aca="false">A185/'Giả định'!$B$19*'Giả định'!$B$20+A185*'Giả định'!$B$23+'Giả định'!$B$24</f>
        <v>67008403.3613445</v>
      </c>
      <c r="F185" s="25" t="n">
        <f aca="false">E185-D185</f>
        <v>-316200796.638656</v>
      </c>
      <c r="G185" s="25" t="n">
        <f aca="false">E185-C185</f>
        <v>-172595796.638655</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248814940</v>
      </c>
      <c r="D186" s="25" t="n">
        <f aca="false">('Chi phí'!$C$77+'Chi phí'!$D$77*B186+'Chi phí'!$E$77*A186+'Giả định'!$B$15*('Chi phí'!$F$77+'Chi phí'!$G$77*B186+'Chi phí'!$H$77*A186))*(1+'Giả định'!$B$16)</f>
        <v>392419940</v>
      </c>
      <c r="E186" s="25" t="n">
        <f aca="false">A186/'Giả định'!$B$19*'Giả định'!$B$20+A186*'Giả định'!$B$23+'Giả định'!$B$24</f>
        <v>67380672.2689076</v>
      </c>
      <c r="F186" s="25" t="n">
        <f aca="false">E186-D186</f>
        <v>-325039267.731092</v>
      </c>
      <c r="G186" s="25" t="n">
        <f aca="false">E186-C186</f>
        <v>-181434267.731092</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248851680</v>
      </c>
      <c r="D187" s="25" t="n">
        <f aca="false">('Chi phí'!$C$77+'Chi phí'!$D$77*B187+'Chi phí'!$E$77*A187+'Giả định'!$B$15*('Chi phí'!$F$77+'Chi phí'!$G$77*B187+'Chi phí'!$H$77*A187))*(1+'Giả định'!$B$16)</f>
        <v>392456680</v>
      </c>
      <c r="E187" s="25" t="n">
        <f aca="false">A187/'Giả định'!$B$19*'Giả định'!$B$20+A187*'Giả định'!$B$23+'Giả định'!$B$24</f>
        <v>67752941.1764706</v>
      </c>
      <c r="F187" s="25" t="n">
        <f aca="false">E187-D187</f>
        <v>-324703738.82353</v>
      </c>
      <c r="G187" s="25" t="n">
        <f aca="false">E187-C187</f>
        <v>-181098738.823529</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248888420</v>
      </c>
      <c r="D188" s="25" t="n">
        <f aca="false">('Chi phí'!$C$77+'Chi phí'!$D$77*B188+'Chi phí'!$E$77*A188+'Giả định'!$B$15*('Chi phí'!$F$77+'Chi phí'!$G$77*B188+'Chi phí'!$H$77*A188))*(1+'Giả định'!$B$16)</f>
        <v>392493420</v>
      </c>
      <c r="E188" s="25" t="n">
        <f aca="false">A188/'Giả định'!$B$19*'Giả định'!$B$20+A188*'Giả định'!$B$23+'Giả định'!$B$24</f>
        <v>68125210.0840336</v>
      </c>
      <c r="F188" s="25" t="n">
        <f aca="false">E188-D188</f>
        <v>-324368209.915966</v>
      </c>
      <c r="G188" s="25" t="n">
        <f aca="false">E188-C188</f>
        <v>-180763209.915966</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248925160</v>
      </c>
      <c r="D189" s="25" t="n">
        <f aca="false">('Chi phí'!$C$77+'Chi phí'!$D$77*B189+'Chi phí'!$E$77*A189+'Giả định'!$B$15*('Chi phí'!$F$77+'Chi phí'!$G$77*B189+'Chi phí'!$H$77*A189))*(1+'Giả định'!$B$16)</f>
        <v>392530160</v>
      </c>
      <c r="E189" s="25" t="n">
        <f aca="false">A189/'Giả định'!$B$19*'Giả định'!$B$20+A189*'Giả định'!$B$23+'Giả định'!$B$24</f>
        <v>68497478.9915967</v>
      </c>
      <c r="F189" s="25" t="n">
        <f aca="false">E189-D189</f>
        <v>-324032681.008403</v>
      </c>
      <c r="G189" s="25" t="n">
        <f aca="false">E189-C189</f>
        <v>-180427681.008403</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248961900</v>
      </c>
      <c r="D190" s="25" t="n">
        <f aca="false">('Chi phí'!$C$77+'Chi phí'!$D$77*B190+'Chi phí'!$E$77*A190+'Giả định'!$B$15*('Chi phí'!$F$77+'Chi phí'!$G$77*B190+'Chi phí'!$H$77*A190))*(1+'Giả định'!$B$16)</f>
        <v>392566900</v>
      </c>
      <c r="E190" s="25" t="n">
        <f aca="false">A190/'Giả định'!$B$19*'Giả định'!$B$20+A190*'Giả định'!$B$23+'Giả định'!$B$24</f>
        <v>68869747.8991597</v>
      </c>
      <c r="F190" s="25" t="n">
        <f aca="false">E190-D190</f>
        <v>-323697152.10084</v>
      </c>
      <c r="G190" s="25" t="n">
        <f aca="false">E190-C190</f>
        <v>-180092152.10084</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248998640</v>
      </c>
      <c r="D191" s="25" t="n">
        <f aca="false">('Chi phí'!$C$77+'Chi phí'!$D$77*B191+'Chi phí'!$E$77*A191+'Giả định'!$B$15*('Chi phí'!$F$77+'Chi phí'!$G$77*B191+'Chi phí'!$H$77*A191))*(1+'Giả định'!$B$16)</f>
        <v>392603640</v>
      </c>
      <c r="E191" s="25" t="n">
        <f aca="false">A191/'Giả định'!$B$19*'Giả định'!$B$20+A191*'Giả định'!$B$23+'Giả định'!$B$24</f>
        <v>69242016.8067227</v>
      </c>
      <c r="F191" s="25" t="n">
        <f aca="false">E191-D191</f>
        <v>-323361623.193277</v>
      </c>
      <c r="G191" s="25" t="n">
        <f aca="false">E191-C191</f>
        <v>-179756623.193277</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249035380</v>
      </c>
      <c r="D192" s="25" t="n">
        <f aca="false">('Chi phí'!$C$77+'Chi phí'!$D$77*B192+'Chi phí'!$E$77*A192+'Giả định'!$B$15*('Chi phí'!$F$77+'Chi phí'!$G$77*B192+'Chi phí'!$H$77*A192))*(1+'Giả định'!$B$16)</f>
        <v>392640380</v>
      </c>
      <c r="E192" s="25" t="n">
        <f aca="false">A192/'Giả định'!$B$19*'Giả định'!$B$20+A192*'Giả định'!$B$23+'Giả định'!$B$24</f>
        <v>69614285.7142857</v>
      </c>
      <c r="F192" s="25" t="n">
        <f aca="false">E192-D192</f>
        <v>-323026094.285714</v>
      </c>
      <c r="G192" s="25" t="n">
        <f aca="false">E192-C192</f>
        <v>-179421094.285714</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249072120</v>
      </c>
      <c r="D193" s="25" t="n">
        <f aca="false">('Chi phí'!$C$77+'Chi phí'!$D$77*B193+'Chi phí'!$E$77*A193+'Giả định'!$B$15*('Chi phí'!$F$77+'Chi phí'!$G$77*B193+'Chi phí'!$H$77*A193))*(1+'Giả định'!$B$16)</f>
        <v>392677120</v>
      </c>
      <c r="E193" s="25" t="n">
        <f aca="false">A193/'Giả định'!$B$19*'Giả định'!$B$20+A193*'Giả định'!$B$23+'Giả định'!$B$24</f>
        <v>69986554.6218488</v>
      </c>
      <c r="F193" s="25" t="n">
        <f aca="false">E193-D193</f>
        <v>-322690565.378151</v>
      </c>
      <c r="G193" s="25" t="n">
        <f aca="false">E193-C193</f>
        <v>-179085565.378151</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249108860</v>
      </c>
      <c r="D194" s="25" t="n">
        <f aca="false">('Chi phí'!$C$77+'Chi phí'!$D$77*B194+'Chi phí'!$E$77*A194+'Giả định'!$B$15*('Chi phí'!$F$77+'Chi phí'!$G$77*B194+'Chi phí'!$H$77*A194))*(1+'Giả định'!$B$16)</f>
        <v>392713860</v>
      </c>
      <c r="E194" s="25" t="n">
        <f aca="false">A194/'Giả định'!$B$19*'Giả định'!$B$20+A194*'Giả định'!$B$23+'Giả định'!$B$24</f>
        <v>70358823.5294118</v>
      </c>
      <c r="F194" s="25" t="n">
        <f aca="false">E194-D194</f>
        <v>-322355036.470588</v>
      </c>
      <c r="G194" s="25" t="n">
        <f aca="false">E194-C194</f>
        <v>-178750036.470588</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249145600</v>
      </c>
      <c r="D195" s="25" t="n">
        <f aca="false">('Chi phí'!$C$77+'Chi phí'!$D$77*B195+'Chi phí'!$E$77*A195+'Giả định'!$B$15*('Chi phí'!$F$77+'Chi phí'!$G$77*B195+'Chi phí'!$H$77*A195))*(1+'Giả định'!$B$16)</f>
        <v>392750600</v>
      </c>
      <c r="E195" s="25" t="n">
        <f aca="false">A195/'Giả định'!$B$19*'Giả định'!$B$20+A195*'Giả định'!$B$23+'Giả định'!$B$24</f>
        <v>70731092.4369748</v>
      </c>
      <c r="F195" s="25" t="n">
        <f aca="false">E195-D195</f>
        <v>-322019507.563025</v>
      </c>
      <c r="G195" s="25" t="n">
        <f aca="false">E195-C195</f>
        <v>-178414507.563025</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258356340</v>
      </c>
      <c r="D196" s="25" t="n">
        <f aca="false">('Chi phí'!$C$77+'Chi phí'!$D$77*B196+'Chi phí'!$E$77*A196+'Giả định'!$B$15*('Chi phí'!$F$77+'Chi phí'!$G$77*B196+'Chi phí'!$H$77*A196))*(1+'Giả định'!$B$16)</f>
        <v>401961340</v>
      </c>
      <c r="E196" s="25" t="n">
        <f aca="false">A196/'Giả định'!$B$19*'Giả định'!$B$20+A196*'Giả định'!$B$23+'Giả định'!$B$24</f>
        <v>71103361.3445378</v>
      </c>
      <c r="F196" s="25" t="n">
        <f aca="false">E196-D196</f>
        <v>-330857978.655462</v>
      </c>
      <c r="G196" s="25" t="n">
        <f aca="false">E196-C196</f>
        <v>-187252978.655462</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258393080</v>
      </c>
      <c r="D197" s="25" t="n">
        <f aca="false">('Chi phí'!$C$77+'Chi phí'!$D$77*B197+'Chi phí'!$E$77*A197+'Giả định'!$B$15*('Chi phí'!$F$77+'Chi phí'!$G$77*B197+'Chi phí'!$H$77*A197))*(1+'Giả định'!$B$16)</f>
        <v>401998080</v>
      </c>
      <c r="E197" s="25" t="n">
        <f aca="false">A197/'Giả định'!$B$19*'Giả định'!$B$20+A197*'Giả định'!$B$23+'Giả định'!$B$24</f>
        <v>71475630.2521008</v>
      </c>
      <c r="F197" s="25" t="n">
        <f aca="false">E197-D197</f>
        <v>-330522449.747899</v>
      </c>
      <c r="G197" s="25" t="n">
        <f aca="false">E197-C197</f>
        <v>-186917449.747899</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258429820</v>
      </c>
      <c r="D198" s="25" t="n">
        <f aca="false">('Chi phí'!$C$77+'Chi phí'!$D$77*B198+'Chi phí'!$E$77*A198+'Giả định'!$B$15*('Chi phí'!$F$77+'Chi phí'!$G$77*B198+'Chi phí'!$H$77*A198))*(1+'Giả định'!$B$16)</f>
        <v>402034820</v>
      </c>
      <c r="E198" s="25" t="n">
        <f aca="false">A198/'Giả định'!$B$19*'Giả định'!$B$20+A198*'Giả định'!$B$23+'Giả định'!$B$24</f>
        <v>71847899.1596639</v>
      </c>
      <c r="F198" s="25" t="n">
        <f aca="false">E198-D198</f>
        <v>-330186920.840336</v>
      </c>
      <c r="G198" s="25" t="n">
        <f aca="false">E198-C198</f>
        <v>-186581920.840336</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258466560</v>
      </c>
      <c r="D199" s="25" t="n">
        <f aca="false">('Chi phí'!$C$77+'Chi phí'!$D$77*B199+'Chi phí'!$E$77*A199+'Giả định'!$B$15*('Chi phí'!$F$77+'Chi phí'!$G$77*B199+'Chi phí'!$H$77*A199))*(1+'Giả định'!$B$16)</f>
        <v>402071560</v>
      </c>
      <c r="E199" s="25" t="n">
        <f aca="false">A199/'Giả định'!$B$19*'Giả định'!$B$20+A199*'Giả định'!$B$23+'Giả định'!$B$24</f>
        <v>72220168.0672269</v>
      </c>
      <c r="F199" s="25" t="n">
        <f aca="false">E199-D199</f>
        <v>-329851391.932773</v>
      </c>
      <c r="G199" s="25" t="n">
        <f aca="false">E199-C199</f>
        <v>-186246391.932773</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258503300</v>
      </c>
      <c r="D200" s="25" t="n">
        <f aca="false">('Chi phí'!$C$77+'Chi phí'!$D$77*B200+'Chi phí'!$E$77*A200+'Giả định'!$B$15*('Chi phí'!$F$77+'Chi phí'!$G$77*B200+'Chi phí'!$H$77*A200))*(1+'Giả định'!$B$16)</f>
        <v>402108300</v>
      </c>
      <c r="E200" s="25" t="n">
        <f aca="false">A200/'Giả định'!$B$19*'Giả định'!$B$20+A200*'Giả định'!$B$23+'Giả định'!$B$24</f>
        <v>72592436.9747899</v>
      </c>
      <c r="F200" s="25" t="n">
        <f aca="false">E200-D200</f>
        <v>-329515863.02521</v>
      </c>
      <c r="G200" s="25" t="n">
        <f aca="false">E200-C200</f>
        <v>-185910863.02521</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258540040</v>
      </c>
      <c r="D201" s="25" t="n">
        <f aca="false">('Chi phí'!$C$77+'Chi phí'!$D$77*B201+'Chi phí'!$E$77*A201+'Giả định'!$B$15*('Chi phí'!$F$77+'Chi phí'!$G$77*B201+'Chi phí'!$H$77*A201))*(1+'Giả định'!$B$16)</f>
        <v>402145040</v>
      </c>
      <c r="E201" s="25" t="n">
        <f aca="false">A201/'Giả định'!$B$19*'Giả định'!$B$20+A201*'Giả định'!$B$23+'Giả định'!$B$24</f>
        <v>72964705.882353</v>
      </c>
      <c r="F201" s="25" t="n">
        <f aca="false">E201-D201</f>
        <v>-329180334.117647</v>
      </c>
      <c r="G201" s="25" t="n">
        <f aca="false">E201-C201</f>
        <v>-185575334.117647</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258576780</v>
      </c>
      <c r="D202" s="25" t="n">
        <f aca="false">('Chi phí'!$C$77+'Chi phí'!$D$77*B202+'Chi phí'!$E$77*A202+'Giả định'!$B$15*('Chi phí'!$F$77+'Chi phí'!$G$77*B202+'Chi phí'!$H$77*A202))*(1+'Giả định'!$B$16)</f>
        <v>402181780</v>
      </c>
      <c r="E202" s="25" t="n">
        <f aca="false">A202/'Giả định'!$B$19*'Giả định'!$B$20+A202*'Giả định'!$B$23+'Giả định'!$B$24</f>
        <v>73336974.789916</v>
      </c>
      <c r="F202" s="25" t="n">
        <f aca="false">E202-D202</f>
        <v>-328844805.210084</v>
      </c>
      <c r="G202" s="25" t="n">
        <f aca="false">E202-C202</f>
        <v>-185239805.210084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258613520</v>
      </c>
      <c r="D203" s="25" t="n">
        <f aca="false">('Chi phí'!$C$77+'Chi phí'!$D$77*B203+'Chi phí'!$E$77*A203+'Giả định'!$B$15*('Chi phí'!$F$77+'Chi phí'!$G$77*B203+'Chi phí'!$H$77*A203))*(1+'Giả định'!$B$16)</f>
        <v>402218520</v>
      </c>
      <c r="E203" s="25" t="n">
        <f aca="false">A203/'Giả định'!$B$19*'Giả định'!$B$20+A203*'Giả định'!$B$23+'Giả định'!$B$24</f>
        <v>73709243.697479</v>
      </c>
      <c r="F203" s="25" t="n">
        <f aca="false">E203-D203</f>
        <v>-328509276.302521</v>
      </c>
      <c r="G203" s="25" t="n">
        <f aca="false">E203-C203</f>
        <v>-184904276.302521</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258650260</v>
      </c>
      <c r="D204" s="25" t="n">
        <f aca="false">('Chi phí'!$C$77+'Chi phí'!$D$77*B204+'Chi phí'!$E$77*A204+'Giả định'!$B$15*('Chi phí'!$F$77+'Chi phí'!$G$77*B204+'Chi phí'!$H$77*A204))*(1+'Giả định'!$B$16)</f>
        <v>402255260</v>
      </c>
      <c r="E204" s="25" t="n">
        <f aca="false">A204/'Giả định'!$B$19*'Giả định'!$B$20+A204*'Giả định'!$B$23+'Giả định'!$B$24</f>
        <v>74081512.605042</v>
      </c>
      <c r="F204" s="25" t="n">
        <f aca="false">E204-D204</f>
        <v>-328173747.394958</v>
      </c>
      <c r="G204" s="25" t="n">
        <f aca="false">E204-C204</f>
        <v>-184568747.394958</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258687000</v>
      </c>
      <c r="D205" s="25" t="n">
        <f aca="false">('Chi phí'!$C$77+'Chi phí'!$D$77*B205+'Chi phí'!$E$77*A205+'Giả định'!$B$15*('Chi phí'!$F$77+'Chi phí'!$G$77*B205+'Chi phí'!$H$77*A205))*(1+'Giả định'!$B$16)</f>
        <v>402292000</v>
      </c>
      <c r="E205" s="25" t="n">
        <f aca="false">A205/'Giả định'!$B$19*'Giả định'!$B$20+A205*'Giả định'!$B$23+'Giả định'!$B$24</f>
        <v>74453781.512605</v>
      </c>
      <c r="F205" s="25" t="n">
        <f aca="false">E205-D205</f>
        <v>-327838218.487395</v>
      </c>
      <c r="G205" s="25" t="n">
        <f aca="false">E205-C205</f>
        <v>-184233218.487395</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267897740</v>
      </c>
      <c r="D206" s="25" t="n">
        <f aca="false">('Chi phí'!$C$77+'Chi phí'!$D$77*B206+'Chi phí'!$E$77*A206+'Giả định'!$B$15*('Chi phí'!$F$77+'Chi phí'!$G$77*B206+'Chi phí'!$H$77*A206))*(1+'Giả định'!$B$16)</f>
        <v>411502740</v>
      </c>
      <c r="E206" s="25" t="n">
        <f aca="false">A206/'Giả định'!$B$19*'Giả định'!$B$20+A206*'Giả định'!$B$23+'Giả định'!$B$24</f>
        <v>74826050.4201681</v>
      </c>
      <c r="F206" s="25" t="n">
        <f aca="false">E206-D206</f>
        <v>-336676689.579832</v>
      </c>
      <c r="G206" s="25" t="n">
        <f aca="false">E206-C206</f>
        <v>-193071689.579832</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267934480</v>
      </c>
      <c r="D207" s="25" t="n">
        <f aca="false">('Chi phí'!$C$77+'Chi phí'!$D$77*B207+'Chi phí'!$E$77*A207+'Giả định'!$B$15*('Chi phí'!$F$77+'Chi phí'!$G$77*B207+'Chi phí'!$H$77*A207))*(1+'Giả định'!$B$16)</f>
        <v>411539480</v>
      </c>
      <c r="E207" s="25" t="n">
        <f aca="false">A207/'Giả định'!$B$19*'Giả định'!$B$20+A207*'Giả định'!$B$23+'Giả định'!$B$24</f>
        <v>75198319.3277311</v>
      </c>
      <c r="F207" s="25" t="n">
        <f aca="false">E207-D207</f>
        <v>-336341160.672269</v>
      </c>
      <c r="G207" s="25" t="n">
        <f aca="false">E207-C207</f>
        <v>-192736160.672269</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267971220</v>
      </c>
      <c r="D208" s="25" t="n">
        <f aca="false">('Chi phí'!$C$77+'Chi phí'!$D$77*B208+'Chi phí'!$E$77*A208+'Giả định'!$B$15*('Chi phí'!$F$77+'Chi phí'!$G$77*B208+'Chi phí'!$H$77*A208))*(1+'Giả định'!$B$16)</f>
        <v>411576220</v>
      </c>
      <c r="E208" s="25" t="n">
        <f aca="false">A208/'Giả định'!$B$19*'Giả định'!$B$20+A208*'Giả định'!$B$23+'Giả định'!$B$24</f>
        <v>75570588.2352941</v>
      </c>
      <c r="F208" s="25" t="n">
        <f aca="false">E208-D208</f>
        <v>-336005631.764706</v>
      </c>
      <c r="G208" s="25" t="n">
        <f aca="false">E208-C208</f>
        <v>-192400631.764706</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268007960</v>
      </c>
      <c r="D209" s="25" t="n">
        <f aca="false">('Chi phí'!$C$77+'Chi phí'!$D$77*B209+'Chi phí'!$E$77*A209+'Giả định'!$B$15*('Chi phí'!$F$77+'Chi phí'!$G$77*B209+'Chi phí'!$H$77*A209))*(1+'Giả định'!$B$16)</f>
        <v>411612960</v>
      </c>
      <c r="E209" s="25" t="n">
        <f aca="false">A209/'Giả định'!$B$19*'Giả định'!$B$20+A209*'Giả định'!$B$23+'Giả định'!$B$24</f>
        <v>75942857.1428572</v>
      </c>
      <c r="F209" s="25" t="n">
        <f aca="false">E209-D209</f>
        <v>-335670102.857143</v>
      </c>
      <c r="G209" s="25" t="n">
        <f aca="false">E209-C209</f>
        <v>-192065102.857143</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268044700</v>
      </c>
      <c r="D210" s="25" t="n">
        <f aca="false">('Chi phí'!$C$77+'Chi phí'!$D$77*B210+'Chi phí'!$E$77*A210+'Giả định'!$B$15*('Chi phí'!$F$77+'Chi phí'!$G$77*B210+'Chi phí'!$H$77*A210))*(1+'Giả định'!$B$16)</f>
        <v>411649700</v>
      </c>
      <c r="E210" s="25" t="n">
        <f aca="false">A210/'Giả định'!$B$19*'Giả định'!$B$20+A210*'Giả định'!$B$23+'Giả định'!$B$24</f>
        <v>76315126.0504202</v>
      </c>
      <c r="F210" s="25" t="n">
        <f aca="false">E210-D210</f>
        <v>-335334573.94958</v>
      </c>
      <c r="G210" s="25" t="n">
        <f aca="false">E210-C210</f>
        <v>-191729573.94958</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268081440</v>
      </c>
      <c r="D211" s="25" t="n">
        <f aca="false">('Chi phí'!$C$77+'Chi phí'!$D$77*B211+'Chi phí'!$E$77*A211+'Giả định'!$B$15*('Chi phí'!$F$77+'Chi phí'!$G$77*B211+'Chi phí'!$H$77*A211))*(1+'Giả định'!$B$16)</f>
        <v>411686440</v>
      </c>
      <c r="E211" s="25" t="n">
        <f aca="false">A211/'Giả định'!$B$19*'Giả định'!$B$20+A211*'Giả định'!$B$23+'Giả định'!$B$24</f>
        <v>76687394.9579832</v>
      </c>
      <c r="F211" s="25" t="n">
        <f aca="false">E211-D211</f>
        <v>-334999045.042017</v>
      </c>
      <c r="G211" s="25" t="n">
        <f aca="false">E211-C211</f>
        <v>-191394045.042017</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268118180</v>
      </c>
      <c r="D212" s="25" t="n">
        <f aca="false">('Chi phí'!$C$77+'Chi phí'!$D$77*B212+'Chi phí'!$E$77*A212+'Giả định'!$B$15*('Chi phí'!$F$77+'Chi phí'!$G$77*B212+'Chi phí'!$H$77*A212))*(1+'Giả định'!$B$16)</f>
        <v>411723180</v>
      </c>
      <c r="E212" s="25" t="n">
        <f aca="false">A212/'Giả định'!$B$19*'Giả định'!$B$20+A212*'Giả định'!$B$23+'Giả định'!$B$24</f>
        <v>77059663.8655462</v>
      </c>
      <c r="F212" s="25" t="n">
        <f aca="false">E212-D212</f>
        <v>-334663516.134454</v>
      </c>
      <c r="G212" s="25" t="n">
        <f aca="false">E212-C212</f>
        <v>-191058516.134454</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268154920</v>
      </c>
      <c r="D213" s="25" t="n">
        <f aca="false">('Chi phí'!$C$77+'Chi phí'!$D$77*B213+'Chi phí'!$E$77*A213+'Giả định'!$B$15*('Chi phí'!$F$77+'Chi phí'!$G$77*B213+'Chi phí'!$H$77*A213))*(1+'Giả định'!$B$16)</f>
        <v>411759920</v>
      </c>
      <c r="E213" s="25" t="n">
        <f aca="false">A213/'Giả định'!$B$19*'Giả định'!$B$20+A213*'Giả định'!$B$23+'Giả định'!$B$24</f>
        <v>77431932.7731093</v>
      </c>
      <c r="F213" s="25" t="n">
        <f aca="false">E213-D213</f>
        <v>-334327987.226891</v>
      </c>
      <c r="G213" s="25" t="n">
        <f aca="false">E213-C213</f>
        <v>-190722987.226891</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268191660</v>
      </c>
      <c r="D214" s="25" t="n">
        <f aca="false">('Chi phí'!$C$77+'Chi phí'!$D$77*B214+'Chi phí'!$E$77*A214+'Giả định'!$B$15*('Chi phí'!$F$77+'Chi phí'!$G$77*B214+'Chi phí'!$H$77*A214))*(1+'Giả định'!$B$16)</f>
        <v>411796660</v>
      </c>
      <c r="E214" s="25" t="n">
        <f aca="false">A214/'Giả định'!$B$19*'Giả định'!$B$20+A214*'Giả định'!$B$23+'Giả định'!$B$24</f>
        <v>77804201.6806723</v>
      </c>
      <c r="F214" s="25" t="n">
        <f aca="false">E214-D214</f>
        <v>-333992458.319328</v>
      </c>
      <c r="G214" s="25" t="n">
        <f aca="false">E214-C214</f>
        <v>-190387458.319328</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268228400</v>
      </c>
      <c r="D215" s="25" t="n">
        <f aca="false">('Chi phí'!$C$77+'Chi phí'!$D$77*B215+'Chi phí'!$E$77*A215+'Giả định'!$B$15*('Chi phí'!$F$77+'Chi phí'!$G$77*B215+'Chi phí'!$H$77*A215))*(1+'Giả định'!$B$16)</f>
        <v>411833400</v>
      </c>
      <c r="E215" s="25" t="n">
        <f aca="false">A215/'Giả định'!$B$19*'Giả định'!$B$20+A215*'Giả định'!$B$23+'Giả định'!$B$24</f>
        <v>78176470.5882353</v>
      </c>
      <c r="F215" s="25" t="n">
        <f aca="false">E215-D215</f>
        <v>-333656929.411765</v>
      </c>
      <c r="G215" s="25" t="n">
        <f aca="false">E215-C215</f>
        <v>-190051929.411765</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277439140</v>
      </c>
      <c r="D216" s="25" t="n">
        <f aca="false">('Chi phí'!$C$77+'Chi phí'!$D$77*B216+'Chi phí'!$E$77*A216+'Giả định'!$B$15*('Chi phí'!$F$77+'Chi phí'!$G$77*B216+'Chi phí'!$H$77*A216))*(1+'Giả định'!$B$16)</f>
        <v>421044140</v>
      </c>
      <c r="E216" s="25" t="n">
        <f aca="false">A216/'Giả định'!$B$19*'Giả định'!$B$20+A216*'Giả định'!$B$23+'Giả định'!$B$24</f>
        <v>78548739.4957983</v>
      </c>
      <c r="F216" s="25" t="n">
        <f aca="false">E216-D216</f>
        <v>-342495400.504202</v>
      </c>
      <c r="G216" s="25" t="n">
        <f aca="false">E216-C216</f>
        <v>-198890400.504202</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277475880</v>
      </c>
      <c r="D217" s="25" t="n">
        <f aca="false">('Chi phí'!$C$77+'Chi phí'!$D$77*B217+'Chi phí'!$E$77*A217+'Giả định'!$B$15*('Chi phí'!$F$77+'Chi phí'!$G$77*B217+'Chi phí'!$H$77*A217))*(1+'Giả định'!$B$16)</f>
        <v>421080880</v>
      </c>
      <c r="E217" s="25" t="n">
        <f aca="false">A217/'Giả định'!$B$19*'Giả định'!$B$20+A217*'Giả định'!$B$23+'Giả định'!$B$24</f>
        <v>78921008.4033614</v>
      </c>
      <c r="F217" s="25" t="n">
        <f aca="false">E217-D217</f>
        <v>-342159871.596639</v>
      </c>
      <c r="G217" s="25" t="n">
        <f aca="false">E217-C217</f>
        <v>-198554871.596639</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277512620</v>
      </c>
      <c r="D218" s="25" t="n">
        <f aca="false">('Chi phí'!$C$77+'Chi phí'!$D$77*B218+'Chi phí'!$E$77*A218+'Giả định'!$B$15*('Chi phí'!$F$77+'Chi phí'!$G$77*B218+'Chi phí'!$H$77*A218))*(1+'Giả định'!$B$16)</f>
        <v>421117620</v>
      </c>
      <c r="E218" s="25" t="n">
        <f aca="false">A218/'Giả định'!$B$19*'Giả định'!$B$20+A218*'Giả định'!$B$23+'Giả định'!$B$24</f>
        <v>79293277.3109244</v>
      </c>
      <c r="F218" s="25" t="n">
        <f aca="false">E218-D218</f>
        <v>-341824342.689076</v>
      </c>
      <c r="G218" s="25" t="n">
        <f aca="false">E218-C218</f>
        <v>-198219342.689076</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277549360</v>
      </c>
      <c r="D219" s="25" t="n">
        <f aca="false">('Chi phí'!$C$77+'Chi phí'!$D$77*B219+'Chi phí'!$E$77*A219+'Giả định'!$B$15*('Chi phí'!$F$77+'Chi phí'!$G$77*B219+'Chi phí'!$H$77*A219))*(1+'Giả định'!$B$16)</f>
        <v>421154360</v>
      </c>
      <c r="E219" s="25" t="n">
        <f aca="false">A219/'Giả định'!$B$19*'Giả định'!$B$20+A219*'Giả định'!$B$23+'Giả định'!$B$24</f>
        <v>79665546.2184874</v>
      </c>
      <c r="F219" s="25" t="n">
        <f aca="false">E219-D219</f>
        <v>-341488813.781513</v>
      </c>
      <c r="G219" s="25" t="n">
        <f aca="false">E219-C219</f>
        <v>-197883813.781513</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277586100</v>
      </c>
      <c r="D220" s="25" t="n">
        <f aca="false">('Chi phí'!$C$77+'Chi phí'!$D$77*B220+'Chi phí'!$E$77*A220+'Giả định'!$B$15*('Chi phí'!$F$77+'Chi phí'!$G$77*B220+'Chi phí'!$H$77*A220))*(1+'Giả định'!$B$16)</f>
        <v>421191100</v>
      </c>
      <c r="E220" s="25" t="n">
        <f aca="false">A220/'Giả định'!$B$19*'Giả định'!$B$20+A220*'Giả định'!$B$23+'Giả định'!$B$24</f>
        <v>80037815.1260504</v>
      </c>
      <c r="F220" s="25" t="n">
        <f aca="false">E220-D220</f>
        <v>-341153284.87395</v>
      </c>
      <c r="G220" s="25" t="n">
        <f aca="false">E220-C220</f>
        <v>-197548284.87395</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277622840</v>
      </c>
      <c r="D221" s="25" t="n">
        <f aca="false">('Chi phí'!$C$77+'Chi phí'!$D$77*B221+'Chi phí'!$E$77*A221+'Giả định'!$B$15*('Chi phí'!$F$77+'Chi phí'!$G$77*B221+'Chi phí'!$H$77*A221))*(1+'Giả định'!$B$16)</f>
        <v>421227840</v>
      </c>
      <c r="E221" s="25" t="n">
        <f aca="false">A221/'Giả định'!$B$19*'Giả định'!$B$20+A221*'Giả định'!$B$23+'Giả định'!$B$24</f>
        <v>80410084.0336135</v>
      </c>
      <c r="F221" s="25" t="n">
        <f aca="false">E221-D221</f>
        <v>-340817755.966387</v>
      </c>
      <c r="G221" s="25" t="n">
        <f aca="false">E221-C221</f>
        <v>-197212755.966387</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277659580</v>
      </c>
      <c r="D222" s="25" t="n">
        <f aca="false">('Chi phí'!$C$77+'Chi phí'!$D$77*B222+'Chi phí'!$E$77*A222+'Giả định'!$B$15*('Chi phí'!$F$77+'Chi phí'!$G$77*B222+'Chi phí'!$H$77*A222))*(1+'Giả định'!$B$16)</f>
        <v>421264580</v>
      </c>
      <c r="E222" s="25" t="n">
        <f aca="false">A222/'Giả định'!$B$19*'Giả định'!$B$20+A222*'Giả định'!$B$23+'Giả định'!$B$24</f>
        <v>80782352.9411765</v>
      </c>
      <c r="F222" s="25" t="n">
        <f aca="false">E222-D222</f>
        <v>-340482227.058824</v>
      </c>
      <c r="G222" s="25" t="n">
        <f aca="false">E222-C222</f>
        <v>-196877227.058824</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277696320</v>
      </c>
      <c r="D223" s="25" t="n">
        <f aca="false">('Chi phí'!$C$77+'Chi phí'!$D$77*B223+'Chi phí'!$E$77*A223+'Giả định'!$B$15*('Chi phí'!$F$77+'Chi phí'!$G$77*B223+'Chi phí'!$H$77*A223))*(1+'Giả định'!$B$16)</f>
        <v>421301320</v>
      </c>
      <c r="E223" s="25" t="n">
        <f aca="false">A223/'Giả định'!$B$19*'Giả định'!$B$20+A223*'Giả định'!$B$23+'Giả định'!$B$24</f>
        <v>81154621.8487395</v>
      </c>
      <c r="F223" s="25" t="n">
        <f aca="false">E223-D223</f>
        <v>-340146698.151261</v>
      </c>
      <c r="G223" s="25" t="n">
        <f aca="false">E223-C223</f>
        <v>-196541698.151261</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277733060</v>
      </c>
      <c r="D224" s="25" t="n">
        <f aca="false">('Chi phí'!$C$77+'Chi phí'!$D$77*B224+'Chi phí'!$E$77*A224+'Giả định'!$B$15*('Chi phí'!$F$77+'Chi phí'!$G$77*B224+'Chi phí'!$H$77*A224))*(1+'Giả định'!$B$16)</f>
        <v>421338060</v>
      </c>
      <c r="E224" s="25" t="n">
        <f aca="false">A224/'Giả định'!$B$19*'Giả định'!$B$20+A224*'Giả định'!$B$23+'Giả định'!$B$24</f>
        <v>81526890.7563025</v>
      </c>
      <c r="F224" s="25" t="n">
        <f aca="false">E224-D224</f>
        <v>-339811169.243698</v>
      </c>
      <c r="G224" s="25" t="n">
        <f aca="false">E224-C224</f>
        <v>-196206169.243697</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277769800</v>
      </c>
      <c r="D225" s="25" t="n">
        <f aca="false">('Chi phí'!$C$77+'Chi phí'!$D$77*B225+'Chi phí'!$E$77*A225+'Giả định'!$B$15*('Chi phí'!$F$77+'Chi phí'!$G$77*B225+'Chi phí'!$H$77*A225))*(1+'Giả định'!$B$16)</f>
        <v>421374800</v>
      </c>
      <c r="E225" s="25" t="n">
        <f aca="false">A225/'Giả định'!$B$19*'Giả định'!$B$20+A225*'Giả định'!$B$23+'Giả định'!$B$24</f>
        <v>81899159.6638655</v>
      </c>
      <c r="F225" s="25" t="n">
        <f aca="false">E225-D225</f>
        <v>-339475640.336135</v>
      </c>
      <c r="G225" s="25" t="n">
        <f aca="false">E225-C225</f>
        <v>-195870640.336134</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286980540</v>
      </c>
      <c r="D226" s="25" t="n">
        <f aca="false">('Chi phí'!$C$77+'Chi phí'!$D$77*B226+'Chi phí'!$E$77*A226+'Giả định'!$B$15*('Chi phí'!$F$77+'Chi phí'!$G$77*B226+'Chi phí'!$H$77*A226))*(1+'Giả định'!$B$16)</f>
        <v>430585540</v>
      </c>
      <c r="E226" s="25" t="n">
        <f aca="false">A226/'Giả định'!$B$19*'Giả định'!$B$20+A226*'Giả định'!$B$23+'Giả định'!$B$24</f>
        <v>82271428.5714286</v>
      </c>
      <c r="F226" s="25" t="n">
        <f aca="false">E226-D226</f>
        <v>-348314111.428571</v>
      </c>
      <c r="G226" s="25" t="n">
        <f aca="false">E226-C226</f>
        <v>-204709111.428571</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287017280</v>
      </c>
      <c r="D227" s="25" t="n">
        <f aca="false">('Chi phí'!$C$77+'Chi phí'!$D$77*B227+'Chi phí'!$E$77*A227+'Giả định'!$B$15*('Chi phí'!$F$77+'Chi phí'!$G$77*B227+'Chi phí'!$H$77*A227))*(1+'Giả định'!$B$16)</f>
        <v>430622280</v>
      </c>
      <c r="E227" s="25" t="n">
        <f aca="false">A227/'Giả định'!$B$19*'Giả định'!$B$20+A227*'Giả định'!$B$23+'Giả định'!$B$24</f>
        <v>82643697.4789916</v>
      </c>
      <c r="F227" s="25" t="n">
        <f aca="false">E227-D227</f>
        <v>-347978582.521008</v>
      </c>
      <c r="G227" s="25" t="n">
        <f aca="false">E227-C227</f>
        <v>-204373582.521008</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287054020</v>
      </c>
      <c r="D228" s="25" t="n">
        <f aca="false">('Chi phí'!$C$77+'Chi phí'!$D$77*B228+'Chi phí'!$E$77*A228+'Giả định'!$B$15*('Chi phí'!$F$77+'Chi phí'!$G$77*B228+'Chi phí'!$H$77*A228))*(1+'Giả định'!$B$16)</f>
        <v>430659020</v>
      </c>
      <c r="E228" s="25" t="n">
        <f aca="false">A228/'Giả định'!$B$19*'Giả định'!$B$20+A228*'Giả định'!$B$23+'Giả định'!$B$24</f>
        <v>83015966.3865546</v>
      </c>
      <c r="F228" s="25" t="n">
        <f aca="false">E228-D228</f>
        <v>-347643053.613445</v>
      </c>
      <c r="G228" s="25" t="n">
        <f aca="false">E228-C228</f>
        <v>-204038053.613445</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287090760</v>
      </c>
      <c r="D229" s="25" t="n">
        <f aca="false">('Chi phí'!$C$77+'Chi phí'!$D$77*B229+'Chi phí'!$E$77*A229+'Giả định'!$B$15*('Chi phí'!$F$77+'Chi phí'!$G$77*B229+'Chi phí'!$H$77*A229))*(1+'Giả định'!$B$16)</f>
        <v>430695760</v>
      </c>
      <c r="E229" s="25" t="n">
        <f aca="false">A229/'Giả định'!$B$19*'Giả định'!$B$20+A229*'Giả định'!$B$23+'Giả định'!$B$24</f>
        <v>83388235.2941176</v>
      </c>
      <c r="F229" s="25" t="n">
        <f aca="false">E229-D229</f>
        <v>-347307524.705882</v>
      </c>
      <c r="G229" s="25" t="n">
        <f aca="false">E229-C229</f>
        <v>-203702524.705882</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287127500</v>
      </c>
      <c r="D230" s="25" t="n">
        <f aca="false">('Chi phí'!$C$77+'Chi phí'!$D$77*B230+'Chi phí'!$E$77*A230+'Giả định'!$B$15*('Chi phí'!$F$77+'Chi phí'!$G$77*B230+'Chi phí'!$H$77*A230))*(1+'Giả định'!$B$16)</f>
        <v>430732500</v>
      </c>
      <c r="E230" s="25" t="n">
        <f aca="false">A230/'Giả định'!$B$19*'Giả định'!$B$20+A230*'Giả định'!$B$23+'Giả định'!$B$24</f>
        <v>83760504.2016807</v>
      </c>
      <c r="F230" s="25" t="n">
        <f aca="false">E230-D230</f>
        <v>-346971995.798319</v>
      </c>
      <c r="G230" s="25" t="n">
        <f aca="false">E230-C230</f>
        <v>-203366995.798319</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287164240</v>
      </c>
      <c r="D231" s="25" t="n">
        <f aca="false">('Chi phí'!$C$77+'Chi phí'!$D$77*B231+'Chi phí'!$E$77*A231+'Giả định'!$B$15*('Chi phí'!$F$77+'Chi phí'!$G$77*B231+'Chi phí'!$H$77*A231))*(1+'Giả định'!$B$16)</f>
        <v>430769240</v>
      </c>
      <c r="E231" s="25" t="n">
        <f aca="false">A231/'Giả định'!$B$19*'Giả định'!$B$20+A231*'Giả định'!$B$23+'Giả định'!$B$24</f>
        <v>84132773.1092437</v>
      </c>
      <c r="F231" s="25" t="n">
        <f aca="false">E231-D231</f>
        <v>-346636466.890756</v>
      </c>
      <c r="G231" s="25" t="n">
        <f aca="false">E231-C231</f>
        <v>-203031466.890756</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287200980</v>
      </c>
      <c r="D232" s="25" t="n">
        <f aca="false">('Chi phí'!$C$77+'Chi phí'!$D$77*B232+'Chi phí'!$E$77*A232+'Giả định'!$B$15*('Chi phí'!$F$77+'Chi phí'!$G$77*B232+'Chi phí'!$H$77*A232))*(1+'Giả định'!$B$16)</f>
        <v>430805980</v>
      </c>
      <c r="E232" s="25" t="n">
        <f aca="false">A232/'Giả định'!$B$19*'Giả định'!$B$20+A232*'Giả định'!$B$23+'Giả định'!$B$24</f>
        <v>84505042.0168067</v>
      </c>
      <c r="F232" s="25" t="n">
        <f aca="false">E232-D232</f>
        <v>-346300937.983193</v>
      </c>
      <c r="G232" s="25" t="n">
        <f aca="false">E232-C232</f>
        <v>-202695937.983193</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287237720</v>
      </c>
      <c r="D233" s="25" t="n">
        <f aca="false">('Chi phí'!$C$77+'Chi phí'!$D$77*B233+'Chi phí'!$E$77*A233+'Giả định'!$B$15*('Chi phí'!$F$77+'Chi phí'!$G$77*B233+'Chi phí'!$H$77*A233))*(1+'Giả định'!$B$16)</f>
        <v>430842720</v>
      </c>
      <c r="E233" s="25" t="n">
        <f aca="false">A233/'Giả định'!$B$19*'Giả định'!$B$20+A233*'Giả định'!$B$23+'Giả định'!$B$24</f>
        <v>84877310.9243698</v>
      </c>
      <c r="F233" s="25" t="n">
        <f aca="false">E233-D233</f>
        <v>-345965409.07563</v>
      </c>
      <c r="G233" s="25" t="n">
        <f aca="false">E233-C233</f>
        <v>-202360409.07563</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287274460</v>
      </c>
      <c r="D234" s="25" t="n">
        <f aca="false">('Chi phí'!$C$77+'Chi phí'!$D$77*B234+'Chi phí'!$E$77*A234+'Giả định'!$B$15*('Chi phí'!$F$77+'Chi phí'!$G$77*B234+'Chi phí'!$H$77*A234))*(1+'Giả định'!$B$16)</f>
        <v>430879460</v>
      </c>
      <c r="E234" s="25" t="n">
        <f aca="false">A234/'Giả định'!$B$19*'Giả định'!$B$20+A234*'Giả định'!$B$23+'Giả định'!$B$24</f>
        <v>85249579.8319328</v>
      </c>
      <c r="F234" s="25" t="n">
        <f aca="false">E234-D234</f>
        <v>-345629880.168067</v>
      </c>
      <c r="G234" s="25" t="n">
        <f aca="false">E234-C234</f>
        <v>-202024880.168067</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287311200</v>
      </c>
      <c r="D235" s="25" t="n">
        <f aca="false">('Chi phí'!$C$77+'Chi phí'!$D$77*B235+'Chi phí'!$E$77*A235+'Giả định'!$B$15*('Chi phí'!$F$77+'Chi phí'!$G$77*B235+'Chi phí'!$H$77*A235))*(1+'Giả định'!$B$16)</f>
        <v>430916200</v>
      </c>
      <c r="E235" s="25" t="n">
        <f aca="false">A235/'Giả định'!$B$19*'Giả định'!$B$20+A235*'Giả định'!$B$23+'Giả định'!$B$24</f>
        <v>85621848.7394958</v>
      </c>
      <c r="F235" s="25" t="n">
        <f aca="false">E235-D235</f>
        <v>-345294351.260504</v>
      </c>
      <c r="G235" s="25" t="n">
        <f aca="false">E235-C235</f>
        <v>-201689351.260504</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296521940</v>
      </c>
      <c r="D236" s="25" t="n">
        <f aca="false">('Chi phí'!$C$77+'Chi phí'!$D$77*B236+'Chi phí'!$E$77*A236+'Giả định'!$B$15*('Chi phí'!$F$77+'Chi phí'!$G$77*B236+'Chi phí'!$H$77*A236))*(1+'Giả định'!$B$16)</f>
        <v>440126940</v>
      </c>
      <c r="E236" s="25" t="n">
        <f aca="false">A236/'Giả định'!$B$19*'Giả định'!$B$20+A236*'Giả định'!$B$23+'Giả định'!$B$24</f>
        <v>85994117.6470588</v>
      </c>
      <c r="F236" s="25" t="n">
        <f aca="false">E236-D236</f>
        <v>-354132822.352941</v>
      </c>
      <c r="G236" s="25" t="n">
        <f aca="false">E236-C236</f>
        <v>-210527822.352941</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296558680</v>
      </c>
      <c r="D237" s="25" t="n">
        <f aca="false">('Chi phí'!$C$77+'Chi phí'!$D$77*B237+'Chi phí'!$E$77*A237+'Giả định'!$B$15*('Chi phí'!$F$77+'Chi phí'!$G$77*B237+'Chi phí'!$H$77*A237))*(1+'Giả định'!$B$16)</f>
        <v>440163680</v>
      </c>
      <c r="E237" s="25" t="n">
        <f aca="false">A237/'Giả định'!$B$19*'Giả định'!$B$20+A237*'Giả định'!$B$23+'Giả định'!$B$24</f>
        <v>86366386.5546219</v>
      </c>
      <c r="F237" s="25" t="n">
        <f aca="false">E237-D237</f>
        <v>-353797293.445378</v>
      </c>
      <c r="G237" s="25" t="n">
        <f aca="false">E237-C237</f>
        <v>-210192293.445378</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296595420</v>
      </c>
      <c r="D238" s="25" t="n">
        <f aca="false">('Chi phí'!$C$77+'Chi phí'!$D$77*B238+'Chi phí'!$E$77*A238+'Giả định'!$B$15*('Chi phí'!$F$77+'Chi phí'!$G$77*B238+'Chi phí'!$H$77*A238))*(1+'Giả định'!$B$16)</f>
        <v>440200420</v>
      </c>
      <c r="E238" s="25" t="n">
        <f aca="false">A238/'Giả định'!$B$19*'Giả định'!$B$20+A238*'Giả định'!$B$23+'Giả định'!$B$24</f>
        <v>86738655.4621849</v>
      </c>
      <c r="F238" s="25" t="n">
        <f aca="false">E238-D238</f>
        <v>-353461764.537815</v>
      </c>
      <c r="G238" s="25" t="n">
        <f aca="false">E238-C238</f>
        <v>-209856764.537815</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296632160</v>
      </c>
      <c r="D239" s="25" t="n">
        <f aca="false">('Chi phí'!$C$77+'Chi phí'!$D$77*B239+'Chi phí'!$E$77*A239+'Giả định'!$B$15*('Chi phí'!$F$77+'Chi phí'!$G$77*B239+'Chi phí'!$H$77*A239))*(1+'Giả định'!$B$16)</f>
        <v>440237160</v>
      </c>
      <c r="E239" s="25" t="n">
        <f aca="false">A239/'Giả định'!$B$19*'Giả định'!$B$20+A239*'Giả định'!$B$23+'Giả định'!$B$24</f>
        <v>87110924.3697479</v>
      </c>
      <c r="F239" s="25" t="n">
        <f aca="false">E239-D239</f>
        <v>-353126235.630252</v>
      </c>
      <c r="G239" s="25" t="n">
        <f aca="false">E239-C239</f>
        <v>-209521235.630252</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296668900</v>
      </c>
      <c r="D240" s="25" t="n">
        <f aca="false">('Chi phí'!$C$77+'Chi phí'!$D$77*B240+'Chi phí'!$E$77*A240+'Giả định'!$B$15*('Chi phí'!$F$77+'Chi phí'!$G$77*B240+'Chi phí'!$H$77*A240))*(1+'Giả định'!$B$16)</f>
        <v>440273900</v>
      </c>
      <c r="E240" s="25" t="n">
        <f aca="false">A240/'Giả định'!$B$19*'Giả định'!$B$20+A240*'Giả định'!$B$23+'Giả định'!$B$24</f>
        <v>87483193.2773109</v>
      </c>
      <c r="F240" s="25" t="n">
        <f aca="false">E240-D240</f>
        <v>-352790706.722689</v>
      </c>
      <c r="G240" s="25" t="n">
        <f aca="false">E240-C240</f>
        <v>-209185706.722689</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296705640</v>
      </c>
      <c r="D241" s="25" t="n">
        <f aca="false">('Chi phí'!$C$77+'Chi phí'!$D$77*B241+'Chi phí'!$E$77*A241+'Giả định'!$B$15*('Chi phí'!$F$77+'Chi phí'!$G$77*B241+'Chi phí'!$H$77*A241))*(1+'Giả định'!$B$16)</f>
        <v>440310640</v>
      </c>
      <c r="E241" s="25" t="n">
        <f aca="false">A241/'Giả định'!$B$19*'Giả định'!$B$20+A241*'Giả định'!$B$23+'Giả định'!$B$24</f>
        <v>87855462.184874</v>
      </c>
      <c r="F241" s="25" t="n">
        <f aca="false">E241-D241</f>
        <v>-352455177.815126</v>
      </c>
      <c r="G241" s="25" t="n">
        <f aca="false">E241-C241</f>
        <v>-208850177.815126</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296742380</v>
      </c>
      <c r="D242" s="25" t="n">
        <f aca="false">('Chi phí'!$C$77+'Chi phí'!$D$77*B242+'Chi phí'!$E$77*A242+'Giả định'!$B$15*('Chi phí'!$F$77+'Chi phí'!$G$77*B242+'Chi phí'!$H$77*A242))*(1+'Giả định'!$B$16)</f>
        <v>440347380</v>
      </c>
      <c r="E242" s="25" t="n">
        <f aca="false">A242/'Giả định'!$B$19*'Giả định'!$B$20+A242*'Giả định'!$B$23+'Giả định'!$B$24</f>
        <v>88227731.092437</v>
      </c>
      <c r="F242" s="25" t="n">
        <f aca="false">E242-D242</f>
        <v>-352119648.907563</v>
      </c>
      <c r="G242" s="25" t="n">
        <f aca="false">E242-C242</f>
        <v>-208514648.907563</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296779120</v>
      </c>
      <c r="D243" s="25" t="n">
        <f aca="false">('Chi phí'!$C$77+'Chi phí'!$D$77*B243+'Chi phí'!$E$77*A243+'Giả định'!$B$15*('Chi phí'!$F$77+'Chi phí'!$G$77*B243+'Chi phí'!$H$77*A243))*(1+'Giả định'!$B$16)</f>
        <v>440384120</v>
      </c>
      <c r="E243" s="25" t="n">
        <f aca="false">A243/'Giả định'!$B$19*'Giả định'!$B$20+A243*'Giả định'!$B$23+'Giả định'!$B$24</f>
        <v>88600000</v>
      </c>
      <c r="F243" s="25" t="n">
        <f aca="false">E243-D243</f>
        <v>-351784120</v>
      </c>
      <c r="G243" s="25" t="n">
        <f aca="false">E243-C243</f>
        <v>-208179120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296815860</v>
      </c>
      <c r="D244" s="25" t="n">
        <f aca="false">('Chi phí'!$C$77+'Chi phí'!$D$77*B244+'Chi phí'!$E$77*A244+'Giả định'!$B$15*('Chi phí'!$F$77+'Chi phí'!$G$77*B244+'Chi phí'!$H$77*A244))*(1+'Giả định'!$B$16)</f>
        <v>440420860</v>
      </c>
      <c r="E244" s="25" t="n">
        <f aca="false">A244/'Giả định'!$B$19*'Giả định'!$B$20+A244*'Giả định'!$B$23+'Giả định'!$B$24</f>
        <v>88972268.907563</v>
      </c>
      <c r="F244" s="25" t="n">
        <f aca="false">E244-D244</f>
        <v>-351448591.092437</v>
      </c>
      <c r="G244" s="25" t="n">
        <f aca="false">E244-C244</f>
        <v>-207843591.092437</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296852600</v>
      </c>
      <c r="D245" s="25" t="n">
        <f aca="false">('Chi phí'!$C$77+'Chi phí'!$D$77*B245+'Chi phí'!$E$77*A245+'Giả định'!$B$15*('Chi phí'!$F$77+'Chi phí'!$G$77*B245+'Chi phí'!$H$77*A245))*(1+'Giả định'!$B$16)</f>
        <v>440457600</v>
      </c>
      <c r="E245" s="25" t="n">
        <f aca="false">A245/'Giả định'!$B$19*'Giả định'!$B$20+A245*'Giả định'!$B$23+'Giả định'!$B$24</f>
        <v>89344537.8151261</v>
      </c>
      <c r="F245" s="25" t="n">
        <f aca="false">E245-D245</f>
        <v>-351113062.184874</v>
      </c>
      <c r="G245" s="25" t="n">
        <f aca="false">E245-C245</f>
        <v>-207508062.184874</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306063340</v>
      </c>
      <c r="D246" s="25" t="n">
        <f aca="false">('Chi phí'!$C$77+'Chi phí'!$D$77*B246+'Chi phí'!$E$77*A246+'Giả định'!$B$15*('Chi phí'!$F$77+'Chi phí'!$G$77*B246+'Chi phí'!$H$77*A246))*(1+'Giả định'!$B$16)</f>
        <v>449668340</v>
      </c>
      <c r="E246" s="25" t="n">
        <f aca="false">A246/'Giả định'!$B$19*'Giả định'!$B$20+A246*'Giả định'!$B$23+'Giả định'!$B$24</f>
        <v>89716806.7226891</v>
      </c>
      <c r="F246" s="25" t="n">
        <f aca="false">E246-D246</f>
        <v>-359951533.277311</v>
      </c>
      <c r="G246" s="25" t="n">
        <f aca="false">E246-C246</f>
        <v>-216346533.277311</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306100080</v>
      </c>
      <c r="D247" s="25" t="n">
        <f aca="false">('Chi phí'!$C$77+'Chi phí'!$D$77*B247+'Chi phí'!$E$77*A247+'Giả định'!$B$15*('Chi phí'!$F$77+'Chi phí'!$G$77*B247+'Chi phí'!$H$77*A247))*(1+'Giả định'!$B$16)</f>
        <v>449705080</v>
      </c>
      <c r="E247" s="25" t="n">
        <f aca="false">A247/'Giả định'!$B$19*'Giả định'!$B$20+A247*'Giả định'!$B$23+'Giả định'!$B$24</f>
        <v>90089075.6302521</v>
      </c>
      <c r="F247" s="25" t="n">
        <f aca="false">E247-D247</f>
        <v>-359616004.369748</v>
      </c>
      <c r="G247" s="25" t="n">
        <f aca="false">E247-C247</f>
        <v>-216011004.369748</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306136820</v>
      </c>
      <c r="D248" s="25" t="n">
        <f aca="false">('Chi phí'!$C$77+'Chi phí'!$D$77*B248+'Chi phí'!$E$77*A248+'Giả định'!$B$15*('Chi phí'!$F$77+'Chi phí'!$G$77*B248+'Chi phí'!$H$77*A248))*(1+'Giả định'!$B$16)</f>
        <v>449741820</v>
      </c>
      <c r="E248" s="25" t="n">
        <f aca="false">A248/'Giả định'!$B$19*'Giả định'!$B$20+A248*'Giả định'!$B$23+'Giả định'!$B$24</f>
        <v>90461344.5378151</v>
      </c>
      <c r="F248" s="25" t="n">
        <f aca="false">E248-D248</f>
        <v>-359280475.462185</v>
      </c>
      <c r="G248" s="25" t="n">
        <f aca="false">E248-C248</f>
        <v>-215675475.462185</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306173560</v>
      </c>
      <c r="D249" s="25" t="n">
        <f aca="false">('Chi phí'!$C$77+'Chi phí'!$D$77*B249+'Chi phí'!$E$77*A249+'Giả định'!$B$15*('Chi phí'!$F$77+'Chi phí'!$G$77*B249+'Chi phí'!$H$77*A249))*(1+'Giả định'!$B$16)</f>
        <v>449778560</v>
      </c>
      <c r="E249" s="25" t="n">
        <f aca="false">A249/'Giả định'!$B$19*'Giả định'!$B$20+A249*'Giả định'!$B$23+'Giả định'!$B$24</f>
        <v>90833613.4453782</v>
      </c>
      <c r="F249" s="25" t="n">
        <f aca="false">E249-D249</f>
        <v>-358944946.554622</v>
      </c>
      <c r="G249" s="25" t="n">
        <f aca="false">E249-C249</f>
        <v>-215339946.554622</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306210300</v>
      </c>
      <c r="D250" s="25" t="n">
        <f aca="false">('Chi phí'!$C$77+'Chi phí'!$D$77*B250+'Chi phí'!$E$77*A250+'Giả định'!$B$15*('Chi phí'!$F$77+'Chi phí'!$G$77*B250+'Chi phí'!$H$77*A250))*(1+'Giả định'!$B$16)</f>
        <v>449815300</v>
      </c>
      <c r="E250" s="25" t="n">
        <f aca="false">A250/'Giả định'!$B$19*'Giả định'!$B$20+A250*'Giả định'!$B$23+'Giả định'!$B$24</f>
        <v>91205882.3529412</v>
      </c>
      <c r="F250" s="25" t="n">
        <f aca="false">E250-D250</f>
        <v>-358609417.647059</v>
      </c>
      <c r="G250" s="25" t="n">
        <f aca="false">E250-C250</f>
        <v>-215004417.647059</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306247040</v>
      </c>
      <c r="D251" s="25" t="n">
        <f aca="false">('Chi phí'!$C$77+'Chi phí'!$D$77*B251+'Chi phí'!$E$77*A251+'Giả định'!$B$15*('Chi phí'!$F$77+'Chi phí'!$G$77*B251+'Chi phí'!$H$77*A251))*(1+'Giả định'!$B$16)</f>
        <v>449852040</v>
      </c>
      <c r="E251" s="25" t="n">
        <f aca="false">A251/'Giả định'!$B$19*'Giả định'!$B$20+A251*'Giả định'!$B$23+'Giả định'!$B$24</f>
        <v>91578151.2605042</v>
      </c>
      <c r="F251" s="25" t="n">
        <f aca="false">E251-D251</f>
        <v>-358273888.739496</v>
      </c>
      <c r="G251" s="25" t="n">
        <f aca="false">E251-C251</f>
        <v>-214668888.739496</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306283780</v>
      </c>
      <c r="D252" s="25" t="n">
        <f aca="false">('Chi phí'!$C$77+'Chi phí'!$D$77*B252+'Chi phí'!$E$77*A252+'Giả định'!$B$15*('Chi phí'!$F$77+'Chi phí'!$G$77*B252+'Chi phí'!$H$77*A252))*(1+'Giả định'!$B$16)</f>
        <v>449888780</v>
      </c>
      <c r="E252" s="25" t="n">
        <f aca="false">A252/'Giả định'!$B$19*'Giả định'!$B$20+A252*'Giả định'!$B$23+'Giả định'!$B$24</f>
        <v>91950420.1680672</v>
      </c>
      <c r="F252" s="25" t="n">
        <f aca="false">E252-D252</f>
        <v>-357938359.831933</v>
      </c>
      <c r="G252" s="25" t="n">
        <f aca="false">E252-C252</f>
        <v>-214333359.831933</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306320520</v>
      </c>
      <c r="D253" s="25" t="n">
        <f aca="false">('Chi phí'!$C$77+'Chi phí'!$D$77*B253+'Chi phí'!$E$77*A253+'Giả định'!$B$15*('Chi phí'!$F$77+'Chi phí'!$G$77*B253+'Chi phí'!$H$77*A253))*(1+'Giả định'!$B$16)</f>
        <v>449925520</v>
      </c>
      <c r="E253" s="25" t="n">
        <f aca="false">A253/'Giả định'!$B$19*'Giả định'!$B$20+A253*'Giả định'!$B$23+'Giả định'!$B$24</f>
        <v>92322689.0756303</v>
      </c>
      <c r="F253" s="25" t="n">
        <f aca="false">E253-D253</f>
        <v>-357602830.92437</v>
      </c>
      <c r="G253" s="25" t="n">
        <f aca="false">E253-C253</f>
        <v>-213997830.92437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306357260</v>
      </c>
      <c r="D254" s="25" t="n">
        <f aca="false">('Chi phí'!$C$77+'Chi phí'!$D$77*B254+'Chi phí'!$E$77*A254+'Giả định'!$B$15*('Chi phí'!$F$77+'Chi phí'!$G$77*B254+'Chi phí'!$H$77*A254))*(1+'Giả định'!$B$16)</f>
        <v>449962260</v>
      </c>
      <c r="E254" s="25" t="n">
        <f aca="false">A254/'Giả định'!$B$19*'Giả định'!$B$20+A254*'Giả định'!$B$23+'Giả định'!$B$24</f>
        <v>92694957.9831933</v>
      </c>
      <c r="F254" s="25" t="n">
        <f aca="false">E254-D254</f>
        <v>-357267302.016807</v>
      </c>
      <c r="G254" s="25" t="n">
        <f aca="false">E254-C254</f>
        <v>-213662302.016807</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306394000</v>
      </c>
      <c r="D255" s="25" t="n">
        <f aca="false">('Chi phí'!$C$77+'Chi phí'!$D$77*B255+'Chi phí'!$E$77*A255+'Giả định'!$B$15*('Chi phí'!$F$77+'Chi phí'!$G$77*B255+'Chi phí'!$H$77*A255))*(1+'Giả định'!$B$16)</f>
        <v>449999000</v>
      </c>
      <c r="E255" s="25" t="n">
        <f aca="false">A255/'Giả định'!$B$19*'Giả định'!$B$20+A255*'Giả định'!$B$23+'Giả định'!$B$24</f>
        <v>93067226.8907563</v>
      </c>
      <c r="F255" s="25" t="n">
        <f aca="false">E255-D255</f>
        <v>-356931773.109244</v>
      </c>
      <c r="G255" s="25" t="n">
        <f aca="false">E255-C255</f>
        <v>-213326773.109244</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315604740</v>
      </c>
      <c r="D256" s="25" t="n">
        <f aca="false">('Chi phí'!$C$77+'Chi phí'!$D$77*B256+'Chi phí'!$E$77*A256+'Giả định'!$B$15*('Chi phí'!$F$77+'Chi phí'!$G$77*B256+'Chi phí'!$H$77*A256))*(1+'Giả định'!$B$16)</f>
        <v>459209740</v>
      </c>
      <c r="E256" s="25" t="n">
        <f aca="false">A256/'Giả định'!$B$19*'Giả định'!$B$20+A256*'Giả định'!$B$23+'Giả định'!$B$24</f>
        <v>93439495.7983193</v>
      </c>
      <c r="F256" s="25" t="n">
        <f aca="false">E256-D256</f>
        <v>-365770244.201681</v>
      </c>
      <c r="G256" s="25" t="n">
        <f aca="false">E256-C256</f>
        <v>-222165244.201681</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315641480</v>
      </c>
      <c r="D257" s="25" t="n">
        <f aca="false">('Chi phí'!$C$77+'Chi phí'!$D$77*B257+'Chi phí'!$E$77*A257+'Giả định'!$B$15*('Chi phí'!$F$77+'Chi phí'!$G$77*B257+'Chi phí'!$H$77*A257))*(1+'Giả định'!$B$16)</f>
        <v>459246480</v>
      </c>
      <c r="E257" s="25" t="n">
        <f aca="false">A257/'Giả định'!$B$19*'Giả định'!$B$20+A257*'Giả định'!$B$23+'Giả định'!$B$24</f>
        <v>93811764.7058824</v>
      </c>
      <c r="F257" s="25" t="n">
        <f aca="false">E257-D257</f>
        <v>-365434715.294118</v>
      </c>
      <c r="G257" s="25" t="n">
        <f aca="false">E257-C257</f>
        <v>-221829715.294118</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315678220</v>
      </c>
      <c r="D258" s="25" t="n">
        <f aca="false">('Chi phí'!$C$77+'Chi phí'!$D$77*B258+'Chi phí'!$E$77*A258+'Giả định'!$B$15*('Chi phí'!$F$77+'Chi phí'!$G$77*B258+'Chi phí'!$H$77*A258))*(1+'Giả định'!$B$16)</f>
        <v>459283220</v>
      </c>
      <c r="E258" s="25" t="n">
        <f aca="false">A258/'Giả định'!$B$19*'Giả định'!$B$20+A258*'Giả định'!$B$23+'Giả định'!$B$24</f>
        <v>94184033.6134454</v>
      </c>
      <c r="F258" s="25" t="n">
        <f aca="false">E258-D258</f>
        <v>-365099186.386555</v>
      </c>
      <c r="G258" s="25" t="n">
        <f aca="false">E258-C258</f>
        <v>-221494186.386555</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315714960</v>
      </c>
      <c r="D259" s="25" t="n">
        <f aca="false">('Chi phí'!$C$77+'Chi phí'!$D$77*B259+'Chi phí'!$E$77*A259+'Giả định'!$B$15*('Chi phí'!$F$77+'Chi phí'!$G$77*B259+'Chi phí'!$H$77*A259))*(1+'Giả định'!$B$16)</f>
        <v>459319960</v>
      </c>
      <c r="E259" s="25" t="n">
        <f aca="false">A259/'Giả định'!$B$19*'Giả định'!$B$20+A259*'Giả định'!$B$23+'Giả định'!$B$24</f>
        <v>94556302.5210084</v>
      </c>
      <c r="F259" s="25" t="n">
        <f aca="false">E259-D259</f>
        <v>-364763657.478992</v>
      </c>
      <c r="G259" s="25" t="n">
        <f aca="false">E259-C259</f>
        <v>-221158657.478992</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315751700</v>
      </c>
      <c r="D260" s="25" t="n">
        <f aca="false">('Chi phí'!$C$77+'Chi phí'!$D$77*B260+'Chi phí'!$E$77*A260+'Giả định'!$B$15*('Chi phí'!$F$77+'Chi phí'!$G$77*B260+'Chi phí'!$H$77*A260))*(1+'Giả định'!$B$16)</f>
        <v>459356700</v>
      </c>
      <c r="E260" s="25" t="n">
        <f aca="false">A260/'Giả định'!$B$19*'Giả định'!$B$20+A260*'Giả định'!$B$23+'Giả định'!$B$24</f>
        <v>94928571.4285714</v>
      </c>
      <c r="F260" s="25" t="n">
        <f aca="false">E260-D260</f>
        <v>-364428128.571429</v>
      </c>
      <c r="G260" s="25" t="n">
        <f aca="false">E260-C260</f>
        <v>-220823128.571429</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315788440</v>
      </c>
      <c r="D261" s="25" t="n">
        <f aca="false">('Chi phí'!$C$77+'Chi phí'!$D$77*B261+'Chi phí'!$E$77*A261+'Giả định'!$B$15*('Chi phí'!$F$77+'Chi phí'!$G$77*B261+'Chi phí'!$H$77*A261))*(1+'Giả định'!$B$16)</f>
        <v>459393440</v>
      </c>
      <c r="E261" s="25" t="n">
        <f aca="false">A261/'Giả định'!$B$19*'Giả định'!$B$20+A261*'Giả định'!$B$23+'Giả định'!$B$24</f>
        <v>95300840.3361345</v>
      </c>
      <c r="F261" s="25" t="n">
        <f aca="false">E261-D261</f>
        <v>-364092599.663866</v>
      </c>
      <c r="G261" s="25" t="n">
        <f aca="false">E261-C261</f>
        <v>-220487599.663866</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315825180</v>
      </c>
      <c r="D262" s="25" t="n">
        <f aca="false">('Chi phí'!$C$77+'Chi phí'!$D$77*B262+'Chi phí'!$E$77*A262+'Giả định'!$B$15*('Chi phí'!$F$77+'Chi phí'!$G$77*B262+'Chi phí'!$H$77*A262))*(1+'Giả định'!$B$16)</f>
        <v>459430180</v>
      </c>
      <c r="E262" s="25" t="n">
        <f aca="false">A262/'Giả định'!$B$19*'Giả định'!$B$20+A262*'Giả định'!$B$23+'Giả định'!$B$24</f>
        <v>95673109.2436975</v>
      </c>
      <c r="F262" s="25" t="n">
        <f aca="false">E262-D262</f>
        <v>-363757070.756303</v>
      </c>
      <c r="G262" s="25" t="n">
        <f aca="false">E262-C262</f>
        <v>-220152070.756303</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315861920</v>
      </c>
      <c r="D263" s="25" t="n">
        <f aca="false">('Chi phí'!$C$77+'Chi phí'!$D$77*B263+'Chi phí'!$E$77*A263+'Giả định'!$B$15*('Chi phí'!$F$77+'Chi phí'!$G$77*B263+'Chi phí'!$H$77*A263))*(1+'Giả định'!$B$16)</f>
        <v>459466920</v>
      </c>
      <c r="E263" s="25" t="n">
        <f aca="false">A263/'Giả định'!$B$19*'Giả định'!$B$20+A263*'Giả định'!$B$23+'Giả định'!$B$24</f>
        <v>96045378.1512605</v>
      </c>
      <c r="F263" s="25" t="n">
        <f aca="false">E263-D263</f>
        <v>-363421541.84874</v>
      </c>
      <c r="G263" s="25" t="n">
        <f aca="false">E263-C263</f>
        <v>-219816541.84874</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315898660</v>
      </c>
      <c r="D264" s="25" t="n">
        <f aca="false">('Chi phí'!$C$77+'Chi phí'!$D$77*B264+'Chi phí'!$E$77*A264+'Giả định'!$B$15*('Chi phí'!$F$77+'Chi phí'!$G$77*B264+'Chi phí'!$H$77*A264))*(1+'Giả định'!$B$16)</f>
        <v>459503660</v>
      </c>
      <c r="E264" s="25" t="n">
        <f aca="false">A264/'Giả định'!$B$19*'Giả định'!$B$20+A264*'Giả định'!$B$23+'Giả định'!$B$24</f>
        <v>96417647.0588235</v>
      </c>
      <c r="F264" s="25" t="n">
        <f aca="false">E264-D264</f>
        <v>-363086012.941177</v>
      </c>
      <c r="G264" s="25" t="n">
        <f aca="false">E264-C264</f>
        <v>-219481012.941176</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315935400</v>
      </c>
      <c r="D265" s="25" t="n">
        <f aca="false">('Chi phí'!$C$77+'Chi phí'!$D$77*B265+'Chi phí'!$E$77*A265+'Giả định'!$B$15*('Chi phí'!$F$77+'Chi phí'!$G$77*B265+'Chi phí'!$H$77*A265))*(1+'Giả định'!$B$16)</f>
        <v>459540400</v>
      </c>
      <c r="E265" s="25" t="n">
        <f aca="false">A265/'Giả định'!$B$19*'Giả định'!$B$20+A265*'Giả định'!$B$23+'Giả định'!$B$24</f>
        <v>96789915.9663866</v>
      </c>
      <c r="F265" s="25" t="n">
        <f aca="false">E265-D265</f>
        <v>-362750484.033614</v>
      </c>
      <c r="G265" s="25" t="n">
        <f aca="false">E265-C265</f>
        <v>-219145484.033613</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325146140</v>
      </c>
      <c r="D266" s="25" t="n">
        <f aca="false">('Chi phí'!$C$77+'Chi phí'!$D$77*B266+'Chi phí'!$E$77*A266+'Giả định'!$B$15*('Chi phí'!$F$77+'Chi phí'!$G$77*B266+'Chi phí'!$H$77*A266))*(1+'Giả định'!$B$16)</f>
        <v>468751140</v>
      </c>
      <c r="E266" s="25" t="n">
        <f aca="false">A266/'Giả định'!$B$19*'Giả định'!$B$20+A266*'Giả định'!$B$23+'Giả định'!$B$24</f>
        <v>97162184.8739496</v>
      </c>
      <c r="F266" s="25" t="n">
        <f aca="false">E266-D266</f>
        <v>-371588955.126051</v>
      </c>
      <c r="G266" s="25" t="n">
        <f aca="false">E266-C266</f>
        <v>-227983955.12605</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325182880</v>
      </c>
      <c r="D267" s="25" t="n">
        <f aca="false">('Chi phí'!$C$77+'Chi phí'!$D$77*B267+'Chi phí'!$E$77*A267+'Giả định'!$B$15*('Chi phí'!$F$77+'Chi phí'!$G$77*B267+'Chi phí'!$H$77*A267))*(1+'Giả định'!$B$16)</f>
        <v>468787880</v>
      </c>
      <c r="E267" s="25" t="n">
        <f aca="false">A267/'Giả định'!$B$19*'Giả định'!$B$20+A267*'Giả định'!$B$23+'Giả định'!$B$24</f>
        <v>97534453.7815126</v>
      </c>
      <c r="F267" s="25" t="n">
        <f aca="false">E267-D267</f>
        <v>-371253426.218487</v>
      </c>
      <c r="G267" s="25" t="n">
        <f aca="false">E267-C267</f>
        <v>-227648426.218487</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325219620</v>
      </c>
      <c r="D268" s="25" t="n">
        <f aca="false">('Chi phí'!$C$77+'Chi phí'!$D$77*B268+'Chi phí'!$E$77*A268+'Giả định'!$B$15*('Chi phí'!$F$77+'Chi phí'!$G$77*B268+'Chi phí'!$H$77*A268))*(1+'Giả định'!$B$16)</f>
        <v>468824620</v>
      </c>
      <c r="E268" s="25" t="n">
        <f aca="false">A268/'Giả định'!$B$19*'Giả định'!$B$20+A268*'Giả định'!$B$23+'Giả định'!$B$24</f>
        <v>97906722.6890756</v>
      </c>
      <c r="F268" s="25" t="n">
        <f aca="false">E268-D268</f>
        <v>-370917897.310924</v>
      </c>
      <c r="G268" s="25" t="n">
        <f aca="false">E268-C268</f>
        <v>-227312897.310924</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325256360</v>
      </c>
      <c r="D269" s="25" t="n">
        <f aca="false">('Chi phí'!$C$77+'Chi phí'!$D$77*B269+'Chi phí'!$E$77*A269+'Giả định'!$B$15*('Chi phí'!$F$77+'Chi phí'!$G$77*B269+'Chi phí'!$H$77*A269))*(1+'Giả định'!$B$16)</f>
        <v>468861360</v>
      </c>
      <c r="E269" s="25" t="n">
        <f aca="false">A269/'Giả định'!$B$19*'Giả định'!$B$20+A269*'Giả định'!$B$23+'Giả định'!$B$24</f>
        <v>98278991.5966387</v>
      </c>
      <c r="F269" s="25" t="n">
        <f aca="false">E269-D269</f>
        <v>-370582368.403361</v>
      </c>
      <c r="G269" s="25" t="n">
        <f aca="false">E269-C269</f>
        <v>-226977368.403361</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325293100</v>
      </c>
      <c r="D270" s="25" t="n">
        <f aca="false">('Chi phí'!$C$77+'Chi phí'!$D$77*B270+'Chi phí'!$E$77*A270+'Giả định'!$B$15*('Chi phí'!$F$77+'Chi phí'!$G$77*B270+'Chi phí'!$H$77*A270))*(1+'Giả định'!$B$16)</f>
        <v>468898100</v>
      </c>
      <c r="E270" s="25" t="n">
        <f aca="false">A270/'Giả định'!$B$19*'Giả định'!$B$20+A270*'Giả định'!$B$23+'Giả định'!$B$24</f>
        <v>98651260.5042017</v>
      </c>
      <c r="F270" s="25" t="n">
        <f aca="false">E270-D270</f>
        <v>-370246839.495798</v>
      </c>
      <c r="G270" s="25" t="n">
        <f aca="false">E270-C270</f>
        <v>-226641839.495798</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325329840</v>
      </c>
      <c r="D271" s="25" t="n">
        <f aca="false">('Chi phí'!$C$77+'Chi phí'!$D$77*B271+'Chi phí'!$E$77*A271+'Giả định'!$B$15*('Chi phí'!$F$77+'Chi phí'!$G$77*B271+'Chi phí'!$H$77*A271))*(1+'Giả định'!$B$16)</f>
        <v>468934840</v>
      </c>
      <c r="E271" s="25" t="n">
        <f aca="false">A271/'Giả định'!$B$19*'Giả định'!$B$20+A271*'Giả định'!$B$23+'Giả định'!$B$24</f>
        <v>99023529.4117647</v>
      </c>
      <c r="F271" s="25" t="n">
        <f aca="false">E271-D271</f>
        <v>-369911310.588235</v>
      </c>
      <c r="G271" s="25" t="n">
        <f aca="false">E271-C271</f>
        <v>-226306310.588235</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325366580</v>
      </c>
      <c r="D272" s="25" t="n">
        <f aca="false">('Chi phí'!$C$77+'Chi phí'!$D$77*B272+'Chi phí'!$E$77*A272+'Giả định'!$B$15*('Chi phí'!$F$77+'Chi phí'!$G$77*B272+'Chi phí'!$H$77*A272))*(1+'Giả định'!$B$16)</f>
        <v>468971580</v>
      </c>
      <c r="E272" s="25" t="n">
        <f aca="false">A272/'Giả định'!$B$19*'Giả định'!$B$20+A272*'Giả định'!$B$23+'Giả định'!$B$24</f>
        <v>99395798.3193277</v>
      </c>
      <c r="F272" s="25" t="n">
        <f aca="false">E272-D272</f>
        <v>-369575781.680672</v>
      </c>
      <c r="G272" s="25" t="n">
        <f aca="false">E272-C272</f>
        <v>-225970781.680672</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325403320</v>
      </c>
      <c r="D273" s="25" t="n">
        <f aca="false">('Chi phí'!$C$77+'Chi phí'!$D$77*B273+'Chi phí'!$E$77*A273+'Giả định'!$B$15*('Chi phí'!$F$77+'Chi phí'!$G$77*B273+'Chi phí'!$H$77*A273))*(1+'Giả định'!$B$16)</f>
        <v>469008320</v>
      </c>
      <c r="E273" s="25" t="n">
        <f aca="false">A273/'Giả định'!$B$19*'Giả định'!$B$20+A273*'Giả định'!$B$23+'Giả định'!$B$24</f>
        <v>99768067.2268908</v>
      </c>
      <c r="F273" s="25" t="n">
        <f aca="false">E273-D273</f>
        <v>-369240252.773109</v>
      </c>
      <c r="G273" s="25" t="n">
        <f aca="false">E273-C273</f>
        <v>-225635252.773109</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325440060</v>
      </c>
      <c r="D274" s="25" t="n">
        <f aca="false">('Chi phí'!$C$77+'Chi phí'!$D$77*B274+'Chi phí'!$E$77*A274+'Giả định'!$B$15*('Chi phí'!$F$77+'Chi phí'!$G$77*B274+'Chi phí'!$H$77*A274))*(1+'Giả định'!$B$16)</f>
        <v>469045060</v>
      </c>
      <c r="E274" s="25" t="n">
        <f aca="false">A274/'Giả định'!$B$19*'Giả định'!$B$20+A274*'Giả định'!$B$23+'Giả định'!$B$24</f>
        <v>100140336.134454</v>
      </c>
      <c r="F274" s="25" t="n">
        <f aca="false">E274-D274</f>
        <v>-368904723.865546</v>
      </c>
      <c r="G274" s="25" t="n">
        <f aca="false">E274-C274</f>
        <v>-225299723.865546</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325476800</v>
      </c>
      <c r="D275" s="25" t="n">
        <f aca="false">('Chi phí'!$C$77+'Chi phí'!$D$77*B275+'Chi phí'!$E$77*A275+'Giả định'!$B$15*('Chi phí'!$F$77+'Chi phí'!$G$77*B275+'Chi phí'!$H$77*A275))*(1+'Giả định'!$B$16)</f>
        <v>469081800</v>
      </c>
      <c r="E275" s="25" t="n">
        <f aca="false">A275/'Giả định'!$B$19*'Giả định'!$B$20+A275*'Giả định'!$B$23+'Giả định'!$B$24</f>
        <v>100512605.042017</v>
      </c>
      <c r="F275" s="25" t="n">
        <f aca="false">E275-D275</f>
        <v>-368569194.957983</v>
      </c>
      <c r="G275" s="25" t="n">
        <f aca="false">E275-C275</f>
        <v>-224964194.957983</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334687540</v>
      </c>
      <c r="D276" s="25" t="n">
        <f aca="false">('Chi phí'!$C$77+'Chi phí'!$D$77*B276+'Chi phí'!$E$77*A276+'Giả định'!$B$15*('Chi phí'!$F$77+'Chi phí'!$G$77*B276+'Chi phí'!$H$77*A276))*(1+'Giả định'!$B$16)</f>
        <v>478292540</v>
      </c>
      <c r="E276" s="25" t="n">
        <f aca="false">A276/'Giả định'!$B$19*'Giả định'!$B$20+A276*'Giả định'!$B$23+'Giả định'!$B$24</f>
        <v>100884873.94958</v>
      </c>
      <c r="F276" s="25" t="n">
        <f aca="false">E276-D276</f>
        <v>-377407666.05042</v>
      </c>
      <c r="G276" s="25" t="n">
        <f aca="false">E276-C276</f>
        <v>-233802666.05042</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334724280</v>
      </c>
      <c r="D277" s="25" t="n">
        <f aca="false">('Chi phí'!$C$77+'Chi phí'!$D$77*B277+'Chi phí'!$E$77*A277+'Giả định'!$B$15*('Chi phí'!$F$77+'Chi phí'!$G$77*B277+'Chi phí'!$H$77*A277))*(1+'Giả định'!$B$16)</f>
        <v>478329280</v>
      </c>
      <c r="E277" s="25" t="n">
        <f aca="false">A277/'Giả định'!$B$19*'Giả định'!$B$20+A277*'Giả định'!$B$23+'Giả định'!$B$24</f>
        <v>101257142.857143</v>
      </c>
      <c r="F277" s="25" t="n">
        <f aca="false">E277-D277</f>
        <v>-377072137.142857</v>
      </c>
      <c r="G277" s="25" t="n">
        <f aca="false">E277-C277</f>
        <v>-233467137.142857</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334761020</v>
      </c>
      <c r="D278" s="25" t="n">
        <f aca="false">('Chi phí'!$C$77+'Chi phí'!$D$77*B278+'Chi phí'!$E$77*A278+'Giả định'!$B$15*('Chi phí'!$F$77+'Chi phí'!$G$77*B278+'Chi phí'!$H$77*A278))*(1+'Giả định'!$B$16)</f>
        <v>478366020</v>
      </c>
      <c r="E278" s="25" t="n">
        <f aca="false">A278/'Giả định'!$B$19*'Giả định'!$B$20+A278*'Giả định'!$B$23+'Giả định'!$B$24</f>
        <v>101629411.764706</v>
      </c>
      <c r="F278" s="25" t="n">
        <f aca="false">E278-D278</f>
        <v>-376736608.235294</v>
      </c>
      <c r="G278" s="25" t="n">
        <f aca="false">E278-C278</f>
        <v>-233131608.235294</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334797760</v>
      </c>
      <c r="D279" s="25" t="n">
        <f aca="false">('Chi phí'!$C$77+'Chi phí'!$D$77*B279+'Chi phí'!$E$77*A279+'Giả định'!$B$15*('Chi phí'!$F$77+'Chi phí'!$G$77*B279+'Chi phí'!$H$77*A279))*(1+'Giả định'!$B$16)</f>
        <v>478402760</v>
      </c>
      <c r="E279" s="25" t="n">
        <f aca="false">A279/'Giả định'!$B$19*'Giả định'!$B$20+A279*'Giả định'!$B$23+'Giả định'!$B$24</f>
        <v>102001680.672269</v>
      </c>
      <c r="F279" s="25" t="n">
        <f aca="false">E279-D279</f>
        <v>-376401079.327731</v>
      </c>
      <c r="G279" s="25" t="n">
        <f aca="false">E279-C279</f>
        <v>-232796079.327731</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334834500</v>
      </c>
      <c r="D280" s="25" t="n">
        <f aca="false">('Chi phí'!$C$77+'Chi phí'!$D$77*B280+'Chi phí'!$E$77*A280+'Giả định'!$B$15*('Chi phí'!$F$77+'Chi phí'!$G$77*B280+'Chi phí'!$H$77*A280))*(1+'Giả định'!$B$16)</f>
        <v>478439500</v>
      </c>
      <c r="E280" s="25" t="n">
        <f aca="false">A280/'Giả định'!$B$19*'Giả định'!$B$20+A280*'Giả định'!$B$23+'Giả định'!$B$24</f>
        <v>102373949.579832</v>
      </c>
      <c r="F280" s="25" t="n">
        <f aca="false">E280-D280</f>
        <v>-376065550.420168</v>
      </c>
      <c r="G280" s="25" t="n">
        <f aca="false">E280-C280</f>
        <v>-232460550.420168</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334871240</v>
      </c>
      <c r="D281" s="25" t="n">
        <f aca="false">('Chi phí'!$C$77+'Chi phí'!$D$77*B281+'Chi phí'!$E$77*A281+'Giả định'!$B$15*('Chi phí'!$F$77+'Chi phí'!$G$77*B281+'Chi phí'!$H$77*A281))*(1+'Giả định'!$B$16)</f>
        <v>478476240</v>
      </c>
      <c r="E281" s="25" t="n">
        <f aca="false">A281/'Giả định'!$B$19*'Giả định'!$B$20+A281*'Giả định'!$B$23+'Giả định'!$B$24</f>
        <v>102746218.487395</v>
      </c>
      <c r="F281" s="25" t="n">
        <f aca="false">E281-D281</f>
        <v>-375730021.512605</v>
      </c>
      <c r="G281" s="25" t="n">
        <f aca="false">E281-C281</f>
        <v>-232125021.512605</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334907980</v>
      </c>
      <c r="D282" s="25" t="n">
        <f aca="false">('Chi phí'!$C$77+'Chi phí'!$D$77*B282+'Chi phí'!$E$77*A282+'Giả định'!$B$15*('Chi phí'!$F$77+'Chi phí'!$G$77*B282+'Chi phí'!$H$77*A282))*(1+'Giả định'!$B$16)</f>
        <v>478512980</v>
      </c>
      <c r="E282" s="25" t="n">
        <f aca="false">A282/'Giả định'!$B$19*'Giả định'!$B$20+A282*'Giả định'!$B$23+'Giả định'!$B$24</f>
        <v>103118487.394958</v>
      </c>
      <c r="F282" s="25" t="n">
        <f aca="false">E282-D282</f>
        <v>-375394492.605042</v>
      </c>
      <c r="G282" s="25" t="n">
        <f aca="false">E282-C282</f>
        <v>-231789492.605042</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334944720</v>
      </c>
      <c r="D283" s="25" t="n">
        <f aca="false">('Chi phí'!$C$77+'Chi phí'!$D$77*B283+'Chi phí'!$E$77*A283+'Giả định'!$B$15*('Chi phí'!$F$77+'Chi phí'!$G$77*B283+'Chi phí'!$H$77*A283))*(1+'Giả định'!$B$16)</f>
        <v>478549720</v>
      </c>
      <c r="E283" s="25" t="n">
        <f aca="false">A283/'Giả định'!$B$19*'Giả định'!$B$20+A283*'Giả định'!$B$23+'Giả định'!$B$24</f>
        <v>103490756.302521</v>
      </c>
      <c r="F283" s="25" t="n">
        <f aca="false">E283-D283</f>
        <v>-375058963.697479</v>
      </c>
      <c r="G283" s="25" t="n">
        <f aca="false">E283-C283</f>
        <v>-231453963.697479</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334981460</v>
      </c>
      <c r="D284" s="25" t="n">
        <f aca="false">('Chi phí'!$C$77+'Chi phí'!$D$77*B284+'Chi phí'!$E$77*A284+'Giả định'!$B$15*('Chi phí'!$F$77+'Chi phí'!$G$77*B284+'Chi phí'!$H$77*A284))*(1+'Giả định'!$B$16)</f>
        <v>478586460</v>
      </c>
      <c r="E284" s="25" t="n">
        <f aca="false">A284/'Giả định'!$B$19*'Giả định'!$B$20+A284*'Giả định'!$B$23+'Giả định'!$B$24</f>
        <v>103863025.210084</v>
      </c>
      <c r="F284" s="25" t="n">
        <f aca="false">E284-D284</f>
        <v>-374723434.789916</v>
      </c>
      <c r="G284" s="25" t="n">
        <f aca="false">E284-C284</f>
        <v>-231118434.789916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335018200</v>
      </c>
      <c r="D285" s="25" t="n">
        <f aca="false">('Chi phí'!$C$77+'Chi phí'!$D$77*B285+'Chi phí'!$E$77*A285+'Giả định'!$B$15*('Chi phí'!$F$77+'Chi phí'!$G$77*B285+'Chi phí'!$H$77*A285))*(1+'Giả định'!$B$16)</f>
        <v>478623200</v>
      </c>
      <c r="E285" s="25" t="n">
        <f aca="false">A285/'Giả định'!$B$19*'Giả định'!$B$20+A285*'Giả định'!$B$23+'Giả định'!$B$24</f>
        <v>104235294.117647</v>
      </c>
      <c r="F285" s="25" t="n">
        <f aca="false">E285-D285</f>
        <v>-374387905.882353</v>
      </c>
      <c r="G285" s="25" t="n">
        <f aca="false">E285-C285</f>
        <v>-230782905.882353</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344228940</v>
      </c>
      <c r="D286" s="25" t="n">
        <f aca="false">('Chi phí'!$C$77+'Chi phí'!$D$77*B286+'Chi phí'!$E$77*A286+'Giả định'!$B$15*('Chi phí'!$F$77+'Chi phí'!$G$77*B286+'Chi phí'!$H$77*A286))*(1+'Giả định'!$B$16)</f>
        <v>487833940</v>
      </c>
      <c r="E286" s="25" t="n">
        <f aca="false">A286/'Giả định'!$B$19*'Giả định'!$B$20+A286*'Giả định'!$B$23+'Giả định'!$B$24</f>
        <v>104607563.02521</v>
      </c>
      <c r="F286" s="25" t="n">
        <f aca="false">E286-D286</f>
        <v>-383226376.97479</v>
      </c>
      <c r="G286" s="25" t="n">
        <f aca="false">E286-C286</f>
        <v>-239621376.97479</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344265680</v>
      </c>
      <c r="D287" s="25" t="n">
        <f aca="false">('Chi phí'!$C$77+'Chi phí'!$D$77*B287+'Chi phí'!$E$77*A287+'Giả định'!$B$15*('Chi phí'!$F$77+'Chi phí'!$G$77*B287+'Chi phí'!$H$77*A287))*(1+'Giả định'!$B$16)</f>
        <v>487870680</v>
      </c>
      <c r="E287" s="25" t="n">
        <f aca="false">A287/'Giả định'!$B$19*'Giả định'!$B$20+A287*'Giả định'!$B$23+'Giả định'!$B$24</f>
        <v>104979831.932773</v>
      </c>
      <c r="F287" s="25" t="n">
        <f aca="false">E287-D287</f>
        <v>-382890848.067227</v>
      </c>
      <c r="G287" s="25" t="n">
        <f aca="false">E287-C287</f>
        <v>-239285848.067227</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344302420</v>
      </c>
      <c r="D288" s="25" t="n">
        <f aca="false">('Chi phí'!$C$77+'Chi phí'!$D$77*B288+'Chi phí'!$E$77*A288+'Giả định'!$B$15*('Chi phí'!$F$77+'Chi phí'!$G$77*B288+'Chi phí'!$H$77*A288))*(1+'Giả định'!$B$16)</f>
        <v>487907420</v>
      </c>
      <c r="E288" s="25" t="n">
        <f aca="false">A288/'Giả định'!$B$19*'Giả định'!$B$20+A288*'Giả định'!$B$23+'Giả định'!$B$24</f>
        <v>105352100.840336</v>
      </c>
      <c r="F288" s="25" t="n">
        <f aca="false">E288-D288</f>
        <v>-382555319.159664</v>
      </c>
      <c r="G288" s="25" t="n">
        <f aca="false">E288-C288</f>
        <v>-238950319.159664</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344339160</v>
      </c>
      <c r="D289" s="25" t="n">
        <f aca="false">('Chi phí'!$C$77+'Chi phí'!$D$77*B289+'Chi phí'!$E$77*A289+'Giả định'!$B$15*('Chi phí'!$F$77+'Chi phí'!$G$77*B289+'Chi phí'!$H$77*A289))*(1+'Giả định'!$B$16)</f>
        <v>487944160</v>
      </c>
      <c r="E289" s="25" t="n">
        <f aca="false">A289/'Giả định'!$B$19*'Giả định'!$B$20+A289*'Giả định'!$B$23+'Giả định'!$B$24</f>
        <v>105724369.747899</v>
      </c>
      <c r="F289" s="25" t="n">
        <f aca="false">E289-D289</f>
        <v>-382219790.252101</v>
      </c>
      <c r="G289" s="25" t="n">
        <f aca="false">E289-C289</f>
        <v>-238614790.252101</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344375900</v>
      </c>
      <c r="D290" s="25" t="n">
        <f aca="false">('Chi phí'!$C$77+'Chi phí'!$D$77*B290+'Chi phí'!$E$77*A290+'Giả định'!$B$15*('Chi phí'!$F$77+'Chi phí'!$G$77*B290+'Chi phí'!$H$77*A290))*(1+'Giả định'!$B$16)</f>
        <v>487980900</v>
      </c>
      <c r="E290" s="25" t="n">
        <f aca="false">A290/'Giả định'!$B$19*'Giả định'!$B$20+A290*'Giả định'!$B$23+'Giả định'!$B$24</f>
        <v>106096638.655462</v>
      </c>
      <c r="F290" s="25" t="n">
        <f aca="false">E290-D290</f>
        <v>-381884261.344538</v>
      </c>
      <c r="G290" s="25" t="n">
        <f aca="false">E290-C290</f>
        <v>-238279261.344538</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344412640</v>
      </c>
      <c r="D291" s="25" t="n">
        <f aca="false">('Chi phí'!$C$77+'Chi phí'!$D$77*B291+'Chi phí'!$E$77*A291+'Giả định'!$B$15*('Chi phí'!$F$77+'Chi phí'!$G$77*B291+'Chi phí'!$H$77*A291))*(1+'Giả định'!$B$16)</f>
        <v>488017640</v>
      </c>
      <c r="E291" s="25" t="n">
        <f aca="false">A291/'Giả định'!$B$19*'Giả định'!$B$20+A291*'Giả định'!$B$23+'Giả định'!$B$24</f>
        <v>106468907.563025</v>
      </c>
      <c r="F291" s="25" t="n">
        <f aca="false">E291-D291</f>
        <v>-381548732.436975</v>
      </c>
      <c r="G291" s="25" t="n">
        <f aca="false">E291-C291</f>
        <v>-237943732.436975</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344449380</v>
      </c>
      <c r="D292" s="25" t="n">
        <f aca="false">('Chi phí'!$C$77+'Chi phí'!$D$77*B292+'Chi phí'!$E$77*A292+'Giả định'!$B$15*('Chi phí'!$F$77+'Chi phí'!$G$77*B292+'Chi phí'!$H$77*A292))*(1+'Giả định'!$B$16)</f>
        <v>488054380</v>
      </c>
      <c r="E292" s="25" t="n">
        <f aca="false">A292/'Giả định'!$B$19*'Giả định'!$B$20+A292*'Giả định'!$B$23+'Giả định'!$B$24</f>
        <v>106841176.470588</v>
      </c>
      <c r="F292" s="25" t="n">
        <f aca="false">E292-D292</f>
        <v>-381213203.529412</v>
      </c>
      <c r="G292" s="25" t="n">
        <f aca="false">E292-C292</f>
        <v>-237608203.529412</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344486120</v>
      </c>
      <c r="D293" s="25" t="n">
        <f aca="false">('Chi phí'!$C$77+'Chi phí'!$D$77*B293+'Chi phí'!$E$77*A293+'Giả định'!$B$15*('Chi phí'!$F$77+'Chi phí'!$G$77*B293+'Chi phí'!$H$77*A293))*(1+'Giả định'!$B$16)</f>
        <v>488091120</v>
      </c>
      <c r="E293" s="25" t="n">
        <f aca="false">A293/'Giả định'!$B$19*'Giả định'!$B$20+A293*'Giả định'!$B$23+'Giả định'!$B$24</f>
        <v>107213445.378151</v>
      </c>
      <c r="F293" s="25" t="n">
        <f aca="false">E293-D293</f>
        <v>-380877674.621849</v>
      </c>
      <c r="G293" s="25" t="n">
        <f aca="false">E293-C293</f>
        <v>-237272674.621849</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344522860</v>
      </c>
      <c r="D294" s="25" t="n">
        <f aca="false">('Chi phí'!$C$77+'Chi phí'!$D$77*B294+'Chi phí'!$E$77*A294+'Giả định'!$B$15*('Chi phí'!$F$77+'Chi phí'!$G$77*B294+'Chi phí'!$H$77*A294))*(1+'Giả định'!$B$16)</f>
        <v>488127860</v>
      </c>
      <c r="E294" s="25" t="n">
        <f aca="false">A294/'Giả định'!$B$19*'Giả định'!$B$20+A294*'Giả định'!$B$23+'Giả định'!$B$24</f>
        <v>107585714.285714</v>
      </c>
      <c r="F294" s="25" t="n">
        <f aca="false">E294-D294</f>
        <v>-380542145.714286</v>
      </c>
      <c r="G294" s="25" t="n">
        <f aca="false">E294-C294</f>
        <v>-236937145.714286</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344559600</v>
      </c>
      <c r="D295" s="25" t="n">
        <f aca="false">('Chi phí'!$C$77+'Chi phí'!$D$77*B295+'Chi phí'!$E$77*A295+'Giả định'!$B$15*('Chi phí'!$F$77+'Chi phí'!$G$77*B295+'Chi phí'!$H$77*A295))*(1+'Giả định'!$B$16)</f>
        <v>488164600</v>
      </c>
      <c r="E295" s="25" t="n">
        <f aca="false">A295/'Giả định'!$B$19*'Giả định'!$B$20+A295*'Giả định'!$B$23+'Giả định'!$B$24</f>
        <v>107957983.193277</v>
      </c>
      <c r="F295" s="25" t="n">
        <f aca="false">E295-D295</f>
        <v>-380206616.806723</v>
      </c>
      <c r="G295" s="25" t="n">
        <f aca="false">E295-C295</f>
        <v>-236601616.806723</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353770340</v>
      </c>
      <c r="D296" s="25" t="n">
        <f aca="false">('Chi phí'!$C$77+'Chi phí'!$D$77*B296+'Chi phí'!$E$77*A296+'Giả định'!$B$15*('Chi phí'!$F$77+'Chi phí'!$G$77*B296+'Chi phí'!$H$77*A296))*(1+'Giả định'!$B$16)</f>
        <v>497375340</v>
      </c>
      <c r="E296" s="25" t="n">
        <f aca="false">A296/'Giả định'!$B$19*'Giả định'!$B$20+A296*'Giả định'!$B$23+'Giả định'!$B$24</f>
        <v>108330252.10084</v>
      </c>
      <c r="F296" s="25" t="n">
        <f aca="false">E296-D296</f>
        <v>-389045087.89916</v>
      </c>
      <c r="G296" s="25" t="n">
        <f aca="false">E296-C296</f>
        <v>-245440087.89916</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353807080</v>
      </c>
      <c r="D297" s="25" t="n">
        <f aca="false">('Chi phí'!$C$77+'Chi phí'!$D$77*B297+'Chi phí'!$E$77*A297+'Giả định'!$B$15*('Chi phí'!$F$77+'Chi phí'!$G$77*B297+'Chi phí'!$H$77*A297))*(1+'Giả định'!$B$16)</f>
        <v>497412080</v>
      </c>
      <c r="E297" s="25" t="n">
        <f aca="false">A297/'Giả định'!$B$19*'Giả định'!$B$20+A297*'Giả định'!$B$23+'Giả định'!$B$24</f>
        <v>108702521.008403</v>
      </c>
      <c r="F297" s="25" t="n">
        <f aca="false">E297-D297</f>
        <v>-388709558.991597</v>
      </c>
      <c r="G297" s="25" t="n">
        <f aca="false">E297-C297</f>
        <v>-245104558.991597</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353843820</v>
      </c>
      <c r="D298" s="25" t="n">
        <f aca="false">('Chi phí'!$C$77+'Chi phí'!$D$77*B298+'Chi phí'!$E$77*A298+'Giả định'!$B$15*('Chi phí'!$F$77+'Chi phí'!$G$77*B298+'Chi phí'!$H$77*A298))*(1+'Giả định'!$B$16)</f>
        <v>497448820</v>
      </c>
      <c r="E298" s="25" t="n">
        <f aca="false">A298/'Giả định'!$B$19*'Giả định'!$B$20+A298*'Giả định'!$B$23+'Giả định'!$B$24</f>
        <v>109074789.915966</v>
      </c>
      <c r="F298" s="25" t="n">
        <f aca="false">E298-D298</f>
        <v>-388374030.084034</v>
      </c>
      <c r="G298" s="25" t="n">
        <f aca="false">E298-C298</f>
        <v>-244769030.084034</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353880560</v>
      </c>
      <c r="D299" s="25" t="n">
        <f aca="false">('Chi phí'!$C$77+'Chi phí'!$D$77*B299+'Chi phí'!$E$77*A299+'Giả định'!$B$15*('Chi phí'!$F$77+'Chi phí'!$G$77*B299+'Chi phí'!$H$77*A299))*(1+'Giả định'!$B$16)</f>
        <v>497485560</v>
      </c>
      <c r="E299" s="25" t="n">
        <f aca="false">A299/'Giả định'!$B$19*'Giả định'!$B$20+A299*'Giả định'!$B$23+'Giả định'!$B$24</f>
        <v>109447058.823529</v>
      </c>
      <c r="F299" s="25" t="n">
        <f aca="false">E299-D299</f>
        <v>-388038501.176471</v>
      </c>
      <c r="G299" s="25" t="n">
        <f aca="false">E299-C299</f>
        <v>-244433501.176471</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353917300</v>
      </c>
      <c r="D300" s="25" t="n">
        <f aca="false">('Chi phí'!$C$77+'Chi phí'!$D$77*B300+'Chi phí'!$E$77*A300+'Giả định'!$B$15*('Chi phí'!$F$77+'Chi phí'!$G$77*B300+'Chi phí'!$H$77*A300))*(1+'Giả định'!$B$16)</f>
        <v>497522300</v>
      </c>
      <c r="E300" s="25" t="n">
        <f aca="false">A300/'Giả định'!$B$19*'Giả định'!$B$20+A300*'Giả định'!$B$23+'Giả định'!$B$24</f>
        <v>109819327.731092</v>
      </c>
      <c r="F300" s="25" t="n">
        <f aca="false">E300-D300</f>
        <v>-387702972.268908</v>
      </c>
      <c r="G300" s="25" t="n">
        <f aca="false">E300-C300</f>
        <v>-244097972.268908</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353954040</v>
      </c>
      <c r="D301" s="25" t="n">
        <f aca="false">('Chi phí'!$C$77+'Chi phí'!$D$77*B301+'Chi phí'!$E$77*A301+'Giả định'!$B$15*('Chi phí'!$F$77+'Chi phí'!$G$77*B301+'Chi phí'!$H$77*A301))*(1+'Giả định'!$B$16)</f>
        <v>497559040</v>
      </c>
      <c r="E301" s="25" t="n">
        <f aca="false">A301/'Giả định'!$B$19*'Giả định'!$B$20+A301*'Giả định'!$B$23+'Giả định'!$B$24</f>
        <v>110191596.638655</v>
      </c>
      <c r="F301" s="25" t="n">
        <f aca="false">E301-D301</f>
        <v>-387367443.361345</v>
      </c>
      <c r="G301" s="25" t="n">
        <f aca="false">E301-C301</f>
        <v>-243762443.361345</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353990780</v>
      </c>
      <c r="D302" s="25" t="n">
        <f aca="false">('Chi phí'!$C$77+'Chi phí'!$D$77*B302+'Chi phí'!$E$77*A302+'Giả định'!$B$15*('Chi phí'!$F$77+'Chi phí'!$G$77*B302+'Chi phí'!$H$77*A302))*(1+'Giả định'!$B$16)</f>
        <v>497595780</v>
      </c>
      <c r="E302" s="25" t="n">
        <f aca="false">A302/'Giả định'!$B$19*'Giả định'!$B$20+A302*'Giả định'!$B$23+'Giả định'!$B$24</f>
        <v>110563865.546219</v>
      </c>
      <c r="F302" s="25" t="n">
        <f aca="false">E302-D302</f>
        <v>-387031914.453782</v>
      </c>
      <c r="G302" s="25" t="n">
        <f aca="false">E302-C302</f>
        <v>-243426914.453782</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354027520</v>
      </c>
      <c r="D303" s="25" t="n">
        <f aca="false">('Chi phí'!$C$77+'Chi phí'!$D$77*B303+'Chi phí'!$E$77*A303+'Giả định'!$B$15*('Chi phí'!$F$77+'Chi phí'!$G$77*B303+'Chi phí'!$H$77*A303))*(1+'Giả định'!$B$16)</f>
        <v>497632520</v>
      </c>
      <c r="E303" s="25" t="n">
        <f aca="false">A303/'Giả định'!$B$19*'Giả định'!$B$20+A303*'Giả định'!$B$23+'Giả định'!$B$24</f>
        <v>110936134.453782</v>
      </c>
      <c r="F303" s="25" t="n">
        <f aca="false">E303-D303</f>
        <v>-386696385.546219</v>
      </c>
      <c r="G303" s="25" t="n">
        <f aca="false">E303-C303</f>
        <v>-243091385.546218</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354064260</v>
      </c>
      <c r="D304" s="25" t="n">
        <f aca="false">('Chi phí'!$C$77+'Chi phí'!$D$77*B304+'Chi phí'!$E$77*A304+'Giả định'!$B$15*('Chi phí'!$F$77+'Chi phí'!$G$77*B304+'Chi phí'!$H$77*A304))*(1+'Giả định'!$B$16)</f>
        <v>497669260</v>
      </c>
      <c r="E304" s="25" t="n">
        <f aca="false">A304/'Giả định'!$B$19*'Giả định'!$B$20+A304*'Giả định'!$B$23+'Giả định'!$B$24</f>
        <v>111308403.361345</v>
      </c>
      <c r="F304" s="25" t="n">
        <f aca="false">E304-D304</f>
        <v>-386360856.638656</v>
      </c>
      <c r="G304" s="25" t="n">
        <f aca="false">E304-C304</f>
        <v>-242755856.638655</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354101000</v>
      </c>
      <c r="D305" s="25" t="n">
        <f aca="false">('Chi phí'!$C$77+'Chi phí'!$D$77*B305+'Chi phí'!$E$77*A305+'Giả định'!$B$15*('Chi phí'!$F$77+'Chi phí'!$G$77*B305+'Chi phí'!$H$77*A305))*(1+'Giả định'!$B$16)</f>
        <v>497706000</v>
      </c>
      <c r="E305" s="25" t="n">
        <f aca="false">A305/'Giả định'!$B$19*'Giả định'!$B$20+A305*'Giả định'!$B$23+'Giả định'!$B$24</f>
        <v>111680672.268908</v>
      </c>
      <c r="F305" s="25" t="n">
        <f aca="false">E305-D305</f>
        <v>-386025327.731092</v>
      </c>
      <c r="G305" s="25" t="n">
        <f aca="false">E305-C305</f>
        <v>-242420327.731092</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363311740</v>
      </c>
      <c r="D306" s="25" t="n">
        <f aca="false">('Chi phí'!$C$77+'Chi phí'!$D$77*B306+'Chi phí'!$E$77*A306+'Giả định'!$B$15*('Chi phí'!$F$77+'Chi phí'!$G$77*B306+'Chi phí'!$H$77*A306))*(1+'Giả định'!$B$16)</f>
        <v>506916740</v>
      </c>
      <c r="E306" s="25" t="n">
        <f aca="false">A306/'Giả định'!$B$19*'Giả định'!$B$20+A306*'Giả định'!$B$23+'Giả định'!$B$24</f>
        <v>112052941.176471</v>
      </c>
      <c r="F306" s="25" t="n">
        <f aca="false">E306-D306</f>
        <v>-394863798.82353</v>
      </c>
      <c r="G306" s="25" t="n">
        <f aca="false">E306-C306</f>
        <v>-251258798.823529</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363348480</v>
      </c>
      <c r="D307" s="25" t="n">
        <f aca="false">('Chi phí'!$C$77+'Chi phí'!$D$77*B307+'Chi phí'!$E$77*A307+'Giả định'!$B$15*('Chi phí'!$F$77+'Chi phí'!$G$77*B307+'Chi phí'!$H$77*A307))*(1+'Giả định'!$B$16)</f>
        <v>506953480</v>
      </c>
      <c r="E307" s="25" t="n">
        <f aca="false">A307/'Giả định'!$B$19*'Giả định'!$B$20+A307*'Giả định'!$B$23+'Giả định'!$B$24</f>
        <v>112425210.084034</v>
      </c>
      <c r="F307" s="25" t="n">
        <f aca="false">E307-D307</f>
        <v>-394528269.915966</v>
      </c>
      <c r="G307" s="25" t="n">
        <f aca="false">E307-C307</f>
        <v>-250923269.915966</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363385220</v>
      </c>
      <c r="D308" s="25" t="n">
        <f aca="false">('Chi phí'!$C$77+'Chi phí'!$D$77*B308+'Chi phí'!$E$77*A308+'Giả định'!$B$15*('Chi phí'!$F$77+'Chi phí'!$G$77*B308+'Chi phí'!$H$77*A308))*(1+'Giả định'!$B$16)</f>
        <v>506990220</v>
      </c>
      <c r="E308" s="25" t="n">
        <f aca="false">A308/'Giả định'!$B$19*'Giả định'!$B$20+A308*'Giả định'!$B$23+'Giả định'!$B$24</f>
        <v>112797478.991597</v>
      </c>
      <c r="F308" s="25" t="n">
        <f aca="false">E308-D308</f>
        <v>-394192741.008403</v>
      </c>
      <c r="G308" s="25" t="n">
        <f aca="false">E308-C308</f>
        <v>-250587741.008403</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363421960</v>
      </c>
      <c r="D309" s="25" t="n">
        <f aca="false">('Chi phí'!$C$77+'Chi phí'!$D$77*B309+'Chi phí'!$E$77*A309+'Giả định'!$B$15*('Chi phí'!$F$77+'Chi phí'!$G$77*B309+'Chi phí'!$H$77*A309))*(1+'Giả định'!$B$16)</f>
        <v>507026960</v>
      </c>
      <c r="E309" s="25" t="n">
        <f aca="false">A309/'Giả định'!$B$19*'Giả định'!$B$20+A309*'Giả định'!$B$23+'Giả định'!$B$24</f>
        <v>113169747.89916</v>
      </c>
      <c r="F309" s="25" t="n">
        <f aca="false">E309-D309</f>
        <v>-393857212.10084</v>
      </c>
      <c r="G309" s="25" t="n">
        <f aca="false">E309-C309</f>
        <v>-250252212.10084</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363458700</v>
      </c>
      <c r="D310" s="25" t="n">
        <f aca="false">('Chi phí'!$C$77+'Chi phí'!$D$77*B310+'Chi phí'!$E$77*A310+'Giả định'!$B$15*('Chi phí'!$F$77+'Chi phí'!$G$77*B310+'Chi phí'!$H$77*A310))*(1+'Giả định'!$B$16)</f>
        <v>507063700</v>
      </c>
      <c r="E310" s="25" t="n">
        <f aca="false">A310/'Giả định'!$B$19*'Giả định'!$B$20+A310*'Giả định'!$B$23+'Giả định'!$B$24</f>
        <v>113542016.806723</v>
      </c>
      <c r="F310" s="25" t="n">
        <f aca="false">E310-D310</f>
        <v>-393521683.193277</v>
      </c>
      <c r="G310" s="25" t="n">
        <f aca="false">E310-C310</f>
        <v>-249916683.193277</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363495440</v>
      </c>
      <c r="D311" s="25" t="n">
        <f aca="false">('Chi phí'!$C$77+'Chi phí'!$D$77*B311+'Chi phí'!$E$77*A311+'Giả định'!$B$15*('Chi phí'!$F$77+'Chi phí'!$G$77*B311+'Chi phí'!$H$77*A311))*(1+'Giả định'!$B$16)</f>
        <v>507100440</v>
      </c>
      <c r="E311" s="25" t="n">
        <f aca="false">A311/'Giả định'!$B$19*'Giả định'!$B$20+A311*'Giả định'!$B$23+'Giả định'!$B$24</f>
        <v>113914285.714286</v>
      </c>
      <c r="F311" s="25" t="n">
        <f aca="false">E311-D311</f>
        <v>-393186154.285714</v>
      </c>
      <c r="G311" s="25" t="n">
        <f aca="false">E311-C311</f>
        <v>-249581154.285714</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363532180</v>
      </c>
      <c r="D312" s="25" t="n">
        <f aca="false">('Chi phí'!$C$77+'Chi phí'!$D$77*B312+'Chi phí'!$E$77*A312+'Giả định'!$B$15*('Chi phí'!$F$77+'Chi phí'!$G$77*B312+'Chi phí'!$H$77*A312))*(1+'Giả định'!$B$16)</f>
        <v>507137180</v>
      </c>
      <c r="E312" s="25" t="n">
        <f aca="false">A312/'Giả định'!$B$19*'Giả định'!$B$20+A312*'Giả định'!$B$23+'Giả định'!$B$24</f>
        <v>114286554.621849</v>
      </c>
      <c r="F312" s="25" t="n">
        <f aca="false">E312-D312</f>
        <v>-392850625.378151</v>
      </c>
      <c r="G312" s="25" t="n">
        <f aca="false">E312-C312</f>
        <v>-249245625.378151</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363568920</v>
      </c>
      <c r="D313" s="25" t="n">
        <f aca="false">('Chi phí'!$C$77+'Chi phí'!$D$77*B313+'Chi phí'!$E$77*A313+'Giả định'!$B$15*('Chi phí'!$F$77+'Chi phí'!$G$77*B313+'Chi phí'!$H$77*A313))*(1+'Giả định'!$B$16)</f>
        <v>507173920</v>
      </c>
      <c r="E313" s="25" t="n">
        <f aca="false">A313/'Giả định'!$B$19*'Giả định'!$B$20+A313*'Giả định'!$B$23+'Giả định'!$B$24</f>
        <v>114658823.529412</v>
      </c>
      <c r="F313" s="25" t="n">
        <f aca="false">E313-D313</f>
        <v>-392515096.470588</v>
      </c>
      <c r="G313" s="25" t="n">
        <f aca="false">E313-C313</f>
        <v>-248910096.470588</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363605660</v>
      </c>
      <c r="D314" s="25" t="n">
        <f aca="false">('Chi phí'!$C$77+'Chi phí'!$D$77*B314+'Chi phí'!$E$77*A314+'Giả định'!$B$15*('Chi phí'!$F$77+'Chi phí'!$G$77*B314+'Chi phí'!$H$77*A314))*(1+'Giả định'!$B$16)</f>
        <v>507210660</v>
      </c>
      <c r="E314" s="25" t="n">
        <f aca="false">A314/'Giả định'!$B$19*'Giả định'!$B$20+A314*'Giả định'!$B$23+'Giả định'!$B$24</f>
        <v>115031092.436975</v>
      </c>
      <c r="F314" s="25" t="n">
        <f aca="false">E314-D314</f>
        <v>-392179567.563025</v>
      </c>
      <c r="G314" s="25" t="n">
        <f aca="false">E314-C314</f>
        <v>-248574567.563025</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363642400</v>
      </c>
      <c r="D315" s="25" t="n">
        <f aca="false">('Chi phí'!$C$77+'Chi phí'!$D$77*B315+'Chi phí'!$E$77*A315+'Giả định'!$B$15*('Chi phí'!$F$77+'Chi phí'!$G$77*B315+'Chi phí'!$H$77*A315))*(1+'Giả định'!$B$16)</f>
        <v>507247400</v>
      </c>
      <c r="E315" s="25" t="n">
        <f aca="false">A315/'Giả định'!$B$19*'Giả định'!$B$20+A315*'Giả định'!$B$23+'Giả định'!$B$24</f>
        <v>115403361.344538</v>
      </c>
      <c r="F315" s="25" t="n">
        <f aca="false">E315-D315</f>
        <v>-391844038.655462</v>
      </c>
      <c r="G315" s="25" t="n">
        <f aca="false">E315-C315</f>
        <v>-248239038.655462</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372853140</v>
      </c>
      <c r="D316" s="25" t="n">
        <f aca="false">('Chi phí'!$C$77+'Chi phí'!$D$77*B316+'Chi phí'!$E$77*A316+'Giả định'!$B$15*('Chi phí'!$F$77+'Chi phí'!$G$77*B316+'Chi phí'!$H$77*A316))*(1+'Giả định'!$B$16)</f>
        <v>516458140</v>
      </c>
      <c r="E316" s="25" t="n">
        <f aca="false">A316/'Giả định'!$B$19*'Giả định'!$B$20+A316*'Giả định'!$B$23+'Giả định'!$B$24</f>
        <v>115775630.252101</v>
      </c>
      <c r="F316" s="25" t="n">
        <f aca="false">E316-D316</f>
        <v>-400682509.747899</v>
      </c>
      <c r="G316" s="25" t="n">
        <f aca="false">E316-C316</f>
        <v>-257077509.747899</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372889880</v>
      </c>
      <c r="D317" s="25" t="n">
        <f aca="false">('Chi phí'!$C$77+'Chi phí'!$D$77*B317+'Chi phí'!$E$77*A317+'Giả định'!$B$15*('Chi phí'!$F$77+'Chi phí'!$G$77*B317+'Chi phí'!$H$77*A317))*(1+'Giả định'!$B$16)</f>
        <v>516494880</v>
      </c>
      <c r="E317" s="25" t="n">
        <f aca="false">A317/'Giả định'!$B$19*'Giả định'!$B$20+A317*'Giả định'!$B$23+'Giả định'!$B$24</f>
        <v>116147899.159664</v>
      </c>
      <c r="F317" s="25" t="n">
        <f aca="false">E317-D317</f>
        <v>-400346980.840336</v>
      </c>
      <c r="G317" s="25" t="n">
        <f aca="false">E317-C317</f>
        <v>-256741980.840336</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372926620</v>
      </c>
      <c r="D318" s="25" t="n">
        <f aca="false">('Chi phí'!$C$77+'Chi phí'!$D$77*B318+'Chi phí'!$E$77*A318+'Giả định'!$B$15*('Chi phí'!$F$77+'Chi phí'!$G$77*B318+'Chi phí'!$H$77*A318))*(1+'Giả định'!$B$16)</f>
        <v>516531620</v>
      </c>
      <c r="E318" s="25" t="n">
        <f aca="false">A318/'Giả định'!$B$19*'Giả định'!$B$20+A318*'Giả định'!$B$23+'Giả định'!$B$24</f>
        <v>116520168.067227</v>
      </c>
      <c r="F318" s="25" t="n">
        <f aca="false">E318-D318</f>
        <v>-400011451.932773</v>
      </c>
      <c r="G318" s="25" t="n">
        <f aca="false">E318-C318</f>
        <v>-256406451.932773</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372963360</v>
      </c>
      <c r="D319" s="25" t="n">
        <f aca="false">('Chi phí'!$C$77+'Chi phí'!$D$77*B319+'Chi phí'!$E$77*A319+'Giả định'!$B$15*('Chi phí'!$F$77+'Chi phí'!$G$77*B319+'Chi phí'!$H$77*A319))*(1+'Giả định'!$B$16)</f>
        <v>516568360</v>
      </c>
      <c r="E319" s="25" t="n">
        <f aca="false">A319/'Giả định'!$B$19*'Giả định'!$B$20+A319*'Giả định'!$B$23+'Giả định'!$B$24</f>
        <v>116892436.97479</v>
      </c>
      <c r="F319" s="25" t="n">
        <f aca="false">E319-D319</f>
        <v>-399675923.02521</v>
      </c>
      <c r="G319" s="25" t="n">
        <f aca="false">E319-C319</f>
        <v>-256070923.02521</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373000100</v>
      </c>
      <c r="D320" s="25" t="n">
        <f aca="false">('Chi phí'!$C$77+'Chi phí'!$D$77*B320+'Chi phí'!$E$77*A320+'Giả định'!$B$15*('Chi phí'!$F$77+'Chi phí'!$G$77*B320+'Chi phí'!$H$77*A320))*(1+'Giả định'!$B$16)</f>
        <v>516605100</v>
      </c>
      <c r="E320" s="25" t="n">
        <f aca="false">A320/'Giả định'!$B$19*'Giả định'!$B$20+A320*'Giả định'!$B$23+'Giả định'!$B$24</f>
        <v>117264705.882353</v>
      </c>
      <c r="F320" s="25" t="n">
        <f aca="false">E320-D320</f>
        <v>-399340394.117647</v>
      </c>
      <c r="G320" s="25" t="n">
        <f aca="false">E320-C320</f>
        <v>-255735394.117647</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373036840</v>
      </c>
      <c r="D321" s="25" t="n">
        <f aca="false">('Chi phí'!$C$77+'Chi phí'!$D$77*B321+'Chi phí'!$E$77*A321+'Giả định'!$B$15*('Chi phí'!$F$77+'Chi phí'!$G$77*B321+'Chi phí'!$H$77*A321))*(1+'Giả định'!$B$16)</f>
        <v>516641840</v>
      </c>
      <c r="E321" s="25" t="n">
        <f aca="false">A321/'Giả định'!$B$19*'Giả định'!$B$20+A321*'Giả định'!$B$23+'Giả định'!$B$24</f>
        <v>117636974.789916</v>
      </c>
      <c r="F321" s="25" t="n">
        <f aca="false">E321-D321</f>
        <v>-399004865.210084</v>
      </c>
      <c r="G321" s="25" t="n">
        <f aca="false">E321-C321</f>
        <v>-255399865.210084</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373073580</v>
      </c>
      <c r="D322" s="25" t="n">
        <f aca="false">('Chi phí'!$C$77+'Chi phí'!$D$77*B322+'Chi phí'!$E$77*A322+'Giả định'!$B$15*('Chi phí'!$F$77+'Chi phí'!$G$77*B322+'Chi phí'!$H$77*A322))*(1+'Giả định'!$B$16)</f>
        <v>516678580</v>
      </c>
      <c r="E322" s="25" t="n">
        <f aca="false">A322/'Giả định'!$B$19*'Giả định'!$B$20+A322*'Giả định'!$B$23+'Giả định'!$B$24</f>
        <v>118009243.697479</v>
      </c>
      <c r="F322" s="25" t="n">
        <f aca="false">E322-D322</f>
        <v>-398669336.302521</v>
      </c>
      <c r="G322" s="25" t="n">
        <f aca="false">E322-C322</f>
        <v>-255064336.302521</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373110320</v>
      </c>
      <c r="D323" s="25" t="n">
        <f aca="false">('Chi phí'!$C$77+'Chi phí'!$D$77*B323+'Chi phí'!$E$77*A323+'Giả định'!$B$15*('Chi phí'!$F$77+'Chi phí'!$G$77*B323+'Chi phí'!$H$77*A323))*(1+'Giả định'!$B$16)</f>
        <v>516715320</v>
      </c>
      <c r="E323" s="25" t="n">
        <f aca="false">A323/'Giả định'!$B$19*'Giả định'!$B$20+A323*'Giả định'!$B$23+'Giả định'!$B$24</f>
        <v>118381512.605042</v>
      </c>
      <c r="F323" s="25" t="n">
        <f aca="false">E323-D323</f>
        <v>-398333807.394958</v>
      </c>
      <c r="G323" s="25" t="n">
        <f aca="false">E323-C323</f>
        <v>-254728807.394958</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373147060</v>
      </c>
      <c r="D324" s="25" t="n">
        <f aca="false">('Chi phí'!$C$77+'Chi phí'!$D$77*B324+'Chi phí'!$E$77*A324+'Giả định'!$B$15*('Chi phí'!$F$77+'Chi phí'!$G$77*B324+'Chi phí'!$H$77*A324))*(1+'Giả định'!$B$16)</f>
        <v>516752060</v>
      </c>
      <c r="E324" s="25" t="n">
        <f aca="false">A324/'Giả định'!$B$19*'Giả định'!$B$20+A324*'Giả định'!$B$23+'Giả định'!$B$24</f>
        <v>118753781.512605</v>
      </c>
      <c r="F324" s="25" t="n">
        <f aca="false">E324-D324</f>
        <v>-397998278.487395</v>
      </c>
      <c r="G324" s="25" t="n">
        <f aca="false">E324-C324</f>
        <v>-254393278.487395</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373183800</v>
      </c>
      <c r="D325" s="25" t="n">
        <f aca="false">('Chi phí'!$C$77+'Chi phí'!$D$77*B325+'Chi phí'!$E$77*A325+'Giả định'!$B$15*('Chi phí'!$F$77+'Chi phí'!$G$77*B325+'Chi phí'!$H$77*A325))*(1+'Giả định'!$B$16)</f>
        <v>516788800</v>
      </c>
      <c r="E325" s="25" t="n">
        <f aca="false">A325/'Giả định'!$B$19*'Giả định'!$B$20+A325*'Giả định'!$B$23+'Giả định'!$B$24</f>
        <v>119126050.420168</v>
      </c>
      <c r="F325" s="25" t="n">
        <f aca="false">E325-D325</f>
        <v>-397662749.579832</v>
      </c>
      <c r="G325" s="25" t="n">
        <f aca="false">E325-C325</f>
        <v>-254057749.579832</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382394540</v>
      </c>
      <c r="D326" s="25" t="n">
        <f aca="false">('Chi phí'!$C$77+'Chi phí'!$D$77*B326+'Chi phí'!$E$77*A326+'Giả định'!$B$15*('Chi phí'!$F$77+'Chi phí'!$G$77*B326+'Chi phí'!$H$77*A326))*(1+'Giả định'!$B$16)</f>
        <v>525999540</v>
      </c>
      <c r="E326" s="25" t="n">
        <f aca="false">A326/'Giả định'!$B$19*'Giả định'!$B$20+A326*'Giả định'!$B$23+'Giả định'!$B$24</f>
        <v>119498319.327731</v>
      </c>
      <c r="F326" s="25" t="n">
        <f aca="false">E326-D326</f>
        <v>-406501220.672269</v>
      </c>
      <c r="G326" s="25" t="n">
        <f aca="false">E326-C326</f>
        <v>-262896220.672269</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382431280</v>
      </c>
      <c r="D327" s="25" t="n">
        <f aca="false">('Chi phí'!$C$77+'Chi phí'!$D$77*B327+'Chi phí'!$E$77*A327+'Giả định'!$B$15*('Chi phí'!$F$77+'Chi phí'!$G$77*B327+'Chi phí'!$H$77*A327))*(1+'Giả định'!$B$16)</f>
        <v>526036280</v>
      </c>
      <c r="E327" s="25" t="n">
        <f aca="false">A327/'Giả định'!$B$19*'Giả định'!$B$20+A327*'Giả định'!$B$23+'Giả định'!$B$24</f>
        <v>119870588.235294</v>
      </c>
      <c r="F327" s="25" t="n">
        <f aca="false">E327-D327</f>
        <v>-406165691.764706</v>
      </c>
      <c r="G327" s="25" t="n">
        <f aca="false">E327-C327</f>
        <v>-262560691.764706</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382468020</v>
      </c>
      <c r="D328" s="25" t="n">
        <f aca="false">('Chi phí'!$C$77+'Chi phí'!$D$77*B328+'Chi phí'!$E$77*A328+'Giả định'!$B$15*('Chi phí'!$F$77+'Chi phí'!$G$77*B328+'Chi phí'!$H$77*A328))*(1+'Giả định'!$B$16)</f>
        <v>526073020</v>
      </c>
      <c r="E328" s="25" t="n">
        <f aca="false">A328/'Giả định'!$B$19*'Giả định'!$B$20+A328*'Giả định'!$B$23+'Giả định'!$B$24</f>
        <v>120242857.142857</v>
      </c>
      <c r="F328" s="25" t="n">
        <f aca="false">E328-D328</f>
        <v>-405830162.857143</v>
      </c>
      <c r="G328" s="25" t="n">
        <f aca="false">E328-C328</f>
        <v>-262225162.857143</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382504760</v>
      </c>
      <c r="D329" s="25" t="n">
        <f aca="false">('Chi phí'!$C$77+'Chi phí'!$D$77*B329+'Chi phí'!$E$77*A329+'Giả định'!$B$15*('Chi phí'!$F$77+'Chi phí'!$G$77*B329+'Chi phí'!$H$77*A329))*(1+'Giả định'!$B$16)</f>
        <v>526109760</v>
      </c>
      <c r="E329" s="25" t="n">
        <f aca="false">A329/'Giả định'!$B$19*'Giả định'!$B$20+A329*'Giả định'!$B$23+'Giả định'!$B$24</f>
        <v>120615126.05042</v>
      </c>
      <c r="F329" s="25" t="n">
        <f aca="false">E329-D329</f>
        <v>-405494633.94958</v>
      </c>
      <c r="G329" s="25" t="n">
        <f aca="false">E329-C329</f>
        <v>-261889633.94958</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382541500</v>
      </c>
      <c r="D330" s="25" t="n">
        <f aca="false">('Chi phí'!$C$77+'Chi phí'!$D$77*B330+'Chi phí'!$E$77*A330+'Giả định'!$B$15*('Chi phí'!$F$77+'Chi phí'!$G$77*B330+'Chi phí'!$H$77*A330))*(1+'Giả định'!$B$16)</f>
        <v>526146500</v>
      </c>
      <c r="E330" s="25" t="n">
        <f aca="false">A330/'Giả định'!$B$19*'Giả định'!$B$20+A330*'Giả định'!$B$23+'Giả định'!$B$24</f>
        <v>120987394.957983</v>
      </c>
      <c r="F330" s="25" t="n">
        <f aca="false">E330-D330</f>
        <v>-405159105.042017</v>
      </c>
      <c r="G330" s="25" t="n">
        <f aca="false">E330-C330</f>
        <v>-261554105.042017</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382578240</v>
      </c>
      <c r="D331" s="25" t="n">
        <f aca="false">('Chi phí'!$C$77+'Chi phí'!$D$77*B331+'Chi phí'!$E$77*A331+'Giả định'!$B$15*('Chi phí'!$F$77+'Chi phí'!$G$77*B331+'Chi phí'!$H$77*A331))*(1+'Giả định'!$B$16)</f>
        <v>526183240</v>
      </c>
      <c r="E331" s="25" t="n">
        <f aca="false">A331/'Giả định'!$B$19*'Giả định'!$B$20+A331*'Giả định'!$B$23+'Giả định'!$B$24</f>
        <v>121359663.865546</v>
      </c>
      <c r="F331" s="25" t="n">
        <f aca="false">E331-D331</f>
        <v>-404823576.134454</v>
      </c>
      <c r="G331" s="25" t="n">
        <f aca="false">E331-C331</f>
        <v>-261218576.134454</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382614980</v>
      </c>
      <c r="D332" s="25" t="n">
        <f aca="false">('Chi phí'!$C$77+'Chi phí'!$D$77*B332+'Chi phí'!$E$77*A332+'Giả định'!$B$15*('Chi phí'!$F$77+'Chi phí'!$G$77*B332+'Chi phí'!$H$77*A332))*(1+'Giả định'!$B$16)</f>
        <v>526219980</v>
      </c>
      <c r="E332" s="25" t="n">
        <f aca="false">A332/'Giả định'!$B$19*'Giả định'!$B$20+A332*'Giả định'!$B$23+'Giả định'!$B$24</f>
        <v>121731932.773109</v>
      </c>
      <c r="F332" s="25" t="n">
        <f aca="false">E332-D332</f>
        <v>-404488047.226891</v>
      </c>
      <c r="G332" s="25" t="n">
        <f aca="false">E332-C332</f>
        <v>-260883047.226891</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382651720</v>
      </c>
      <c r="D333" s="25" t="n">
        <f aca="false">('Chi phí'!$C$77+'Chi phí'!$D$77*B333+'Chi phí'!$E$77*A333+'Giả định'!$B$15*('Chi phí'!$F$77+'Chi phí'!$G$77*B333+'Chi phí'!$H$77*A333))*(1+'Giả định'!$B$16)</f>
        <v>526256720</v>
      </c>
      <c r="E333" s="25" t="n">
        <f aca="false">A333/'Giả định'!$B$19*'Giả định'!$B$20+A333*'Giả định'!$B$23+'Giả định'!$B$24</f>
        <v>122104201.680672</v>
      </c>
      <c r="F333" s="25" t="n">
        <f aca="false">E333-D333</f>
        <v>-404152518.319328</v>
      </c>
      <c r="G333" s="25" t="n">
        <f aca="false">E333-C333</f>
        <v>-260547518.319328</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382688460</v>
      </c>
      <c r="D334" s="25" t="n">
        <f aca="false">('Chi phí'!$C$77+'Chi phí'!$D$77*B334+'Chi phí'!$E$77*A334+'Giả định'!$B$15*('Chi phí'!$F$77+'Chi phí'!$G$77*B334+'Chi phí'!$H$77*A334))*(1+'Giả định'!$B$16)</f>
        <v>526293460</v>
      </c>
      <c r="E334" s="25" t="n">
        <f aca="false">A334/'Giả định'!$B$19*'Giả định'!$B$20+A334*'Giả định'!$B$23+'Giả định'!$B$24</f>
        <v>122476470.588235</v>
      </c>
      <c r="F334" s="25" t="n">
        <f aca="false">E334-D334</f>
        <v>-403816989.411765</v>
      </c>
      <c r="G334" s="25" t="n">
        <f aca="false">E334-C334</f>
        <v>-260211989.411765</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382725200</v>
      </c>
      <c r="D335" s="25" t="n">
        <f aca="false">('Chi phí'!$C$77+'Chi phí'!$D$77*B335+'Chi phí'!$E$77*A335+'Giả định'!$B$15*('Chi phí'!$F$77+'Chi phí'!$G$77*B335+'Chi phí'!$H$77*A335))*(1+'Giả định'!$B$16)</f>
        <v>526330200</v>
      </c>
      <c r="E335" s="25" t="n">
        <f aca="false">A335/'Giả định'!$B$19*'Giả định'!$B$20+A335*'Giả định'!$B$23+'Giả định'!$B$24</f>
        <v>122848739.495798</v>
      </c>
      <c r="F335" s="25" t="n">
        <f aca="false">E335-D335</f>
        <v>-403481460.504202</v>
      </c>
      <c r="G335" s="25" t="n">
        <f aca="false">E335-C335</f>
        <v>-259876460.504202</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391935940</v>
      </c>
      <c r="D336" s="25" t="n">
        <f aca="false">('Chi phí'!$C$77+'Chi phí'!$D$77*B336+'Chi phí'!$E$77*A336+'Giả định'!$B$15*('Chi phí'!$F$77+'Chi phí'!$G$77*B336+'Chi phí'!$H$77*A336))*(1+'Giả định'!$B$16)</f>
        <v>535540940</v>
      </c>
      <c r="E336" s="25" t="n">
        <f aca="false">A336/'Giả định'!$B$19*'Giả định'!$B$20+A336*'Giả định'!$B$23+'Giả định'!$B$24</f>
        <v>123221008.403361</v>
      </c>
      <c r="F336" s="25" t="n">
        <f aca="false">E336-D336</f>
        <v>-412319931.596639</v>
      </c>
      <c r="G336" s="25" t="n">
        <f aca="false">E336-C336</f>
        <v>-268714931.596639</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391972680</v>
      </c>
      <c r="D337" s="25" t="n">
        <f aca="false">('Chi phí'!$C$77+'Chi phí'!$D$77*B337+'Chi phí'!$E$77*A337+'Giả định'!$B$15*('Chi phí'!$F$77+'Chi phí'!$G$77*B337+'Chi phí'!$H$77*A337))*(1+'Giả định'!$B$16)</f>
        <v>535577680</v>
      </c>
      <c r="E337" s="25" t="n">
        <f aca="false">A337/'Giả định'!$B$19*'Giả định'!$B$20+A337*'Giả định'!$B$23+'Giả định'!$B$24</f>
        <v>123593277.310924</v>
      </c>
      <c r="F337" s="25" t="n">
        <f aca="false">E337-D337</f>
        <v>-411984402.689076</v>
      </c>
      <c r="G337" s="25" t="n">
        <f aca="false">E337-C337</f>
        <v>-268379402.689076</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392009420</v>
      </c>
      <c r="D338" s="25" t="n">
        <f aca="false">('Chi phí'!$C$77+'Chi phí'!$D$77*B338+'Chi phí'!$E$77*A338+'Giả định'!$B$15*('Chi phí'!$F$77+'Chi phí'!$G$77*B338+'Chi phí'!$H$77*A338))*(1+'Giả định'!$B$16)</f>
        <v>535614420</v>
      </c>
      <c r="E338" s="25" t="n">
        <f aca="false">A338/'Giả định'!$B$19*'Giả định'!$B$20+A338*'Giả định'!$B$23+'Giả định'!$B$24</f>
        <v>123965546.218487</v>
      </c>
      <c r="F338" s="25" t="n">
        <f aca="false">E338-D338</f>
        <v>-411648873.781513</v>
      </c>
      <c r="G338" s="25" t="n">
        <f aca="false">E338-C338</f>
        <v>-268043873.781513</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392046160</v>
      </c>
      <c r="D339" s="25" t="n">
        <f aca="false">('Chi phí'!$C$77+'Chi phí'!$D$77*B339+'Chi phí'!$E$77*A339+'Giả định'!$B$15*('Chi phí'!$F$77+'Chi phí'!$G$77*B339+'Chi phí'!$H$77*A339))*(1+'Giả định'!$B$16)</f>
        <v>535651160</v>
      </c>
      <c r="E339" s="25" t="n">
        <f aca="false">A339/'Giả định'!$B$19*'Giả định'!$B$20+A339*'Giả định'!$B$23+'Giả định'!$B$24</f>
        <v>124337815.12605</v>
      </c>
      <c r="F339" s="25" t="n">
        <f aca="false">E339-D339</f>
        <v>-411313344.87395</v>
      </c>
      <c r="G339" s="25" t="n">
        <f aca="false">E339-C339</f>
        <v>-267708344.87395</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392082900</v>
      </c>
      <c r="D340" s="25" t="n">
        <f aca="false">('Chi phí'!$C$77+'Chi phí'!$D$77*B340+'Chi phí'!$E$77*A340+'Giả định'!$B$15*('Chi phí'!$F$77+'Chi phí'!$G$77*B340+'Chi phí'!$H$77*A340))*(1+'Giả định'!$B$16)</f>
        <v>535687900</v>
      </c>
      <c r="E340" s="25" t="n">
        <f aca="false">A340/'Giả định'!$B$19*'Giả định'!$B$20+A340*'Giả định'!$B$23+'Giả định'!$B$24</f>
        <v>124710084.033613</v>
      </c>
      <c r="F340" s="25" t="n">
        <f aca="false">E340-D340</f>
        <v>-410977815.966387</v>
      </c>
      <c r="G340" s="25" t="n">
        <f aca="false">E340-C340</f>
        <v>-267372815.966387</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392119640</v>
      </c>
      <c r="D341" s="25" t="n">
        <f aca="false">('Chi phí'!$C$77+'Chi phí'!$D$77*B341+'Chi phí'!$E$77*A341+'Giả định'!$B$15*('Chi phí'!$F$77+'Chi phí'!$G$77*B341+'Chi phí'!$H$77*A341))*(1+'Giả định'!$B$16)</f>
        <v>535724640</v>
      </c>
      <c r="E341" s="25" t="n">
        <f aca="false">A341/'Giả định'!$B$19*'Giả định'!$B$20+A341*'Giả định'!$B$23+'Giả định'!$B$24</f>
        <v>125082352.941176</v>
      </c>
      <c r="F341" s="25" t="n">
        <f aca="false">E341-D341</f>
        <v>-410642287.058824</v>
      </c>
      <c r="G341" s="25" t="n">
        <f aca="false">E341-C341</f>
        <v>-267037287.058824</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392156380</v>
      </c>
      <c r="D342" s="25" t="n">
        <f aca="false">('Chi phí'!$C$77+'Chi phí'!$D$77*B342+'Chi phí'!$E$77*A342+'Giả định'!$B$15*('Chi phí'!$F$77+'Chi phí'!$G$77*B342+'Chi phí'!$H$77*A342))*(1+'Giả định'!$B$16)</f>
        <v>535761380</v>
      </c>
      <c r="E342" s="25" t="n">
        <f aca="false">A342/'Giả định'!$B$19*'Giả định'!$B$20+A342*'Giả định'!$B$23+'Giả định'!$B$24</f>
        <v>125454621.84874</v>
      </c>
      <c r="F342" s="25" t="n">
        <f aca="false">E342-D342</f>
        <v>-410306758.151261</v>
      </c>
      <c r="G342" s="25" t="n">
        <f aca="false">E342-C342</f>
        <v>-266701758.151261</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392193120</v>
      </c>
      <c r="D343" s="25" t="n">
        <f aca="false">('Chi phí'!$C$77+'Chi phí'!$D$77*B343+'Chi phí'!$E$77*A343+'Giả định'!$B$15*('Chi phí'!$F$77+'Chi phí'!$G$77*B343+'Chi phí'!$H$77*A343))*(1+'Giả định'!$B$16)</f>
        <v>535798120</v>
      </c>
      <c r="E343" s="25" t="n">
        <f aca="false">A343/'Giả định'!$B$19*'Giả định'!$B$20+A343*'Giả định'!$B$23+'Giả định'!$B$24</f>
        <v>125826890.756303</v>
      </c>
      <c r="F343" s="25" t="n">
        <f aca="false">E343-D343</f>
        <v>-409971229.243698</v>
      </c>
      <c r="G343" s="25" t="n">
        <f aca="false">E343-C343</f>
        <v>-266366229.243698</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392229860</v>
      </c>
      <c r="D344" s="25" t="n">
        <f aca="false">('Chi phí'!$C$77+'Chi phí'!$D$77*B344+'Chi phí'!$E$77*A344+'Giả định'!$B$15*('Chi phí'!$F$77+'Chi phí'!$G$77*B344+'Chi phí'!$H$77*A344))*(1+'Giả định'!$B$16)</f>
        <v>535834860</v>
      </c>
      <c r="E344" s="25" t="n">
        <f aca="false">A344/'Giả định'!$B$19*'Giả định'!$B$20+A344*'Giả định'!$B$23+'Giả định'!$B$24</f>
        <v>126199159.663866</v>
      </c>
      <c r="F344" s="25" t="n">
        <f aca="false">E344-D344</f>
        <v>-409635700.336135</v>
      </c>
      <c r="G344" s="25" t="n">
        <f aca="false">E344-C344</f>
        <v>-266030700.336135</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392266600</v>
      </c>
      <c r="D345" s="25" t="n">
        <f aca="false">('Chi phí'!$C$77+'Chi phí'!$D$77*B345+'Chi phí'!$E$77*A345+'Giả định'!$B$15*('Chi phí'!$F$77+'Chi phí'!$G$77*B345+'Chi phí'!$H$77*A345))*(1+'Giả định'!$B$16)</f>
        <v>535871600</v>
      </c>
      <c r="E345" s="25" t="n">
        <f aca="false">A345/'Giả định'!$B$19*'Giả định'!$B$20+A345*'Giả định'!$B$23+'Giả định'!$B$24</f>
        <v>126571428.571429</v>
      </c>
      <c r="F345" s="25" t="n">
        <f aca="false">E345-D345</f>
        <v>-409300171.428571</v>
      </c>
      <c r="G345" s="25" t="n">
        <f aca="false">E345-C345</f>
        <v>-265695171.428571</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401477340</v>
      </c>
      <c r="D346" s="25" t="n">
        <f aca="false">('Chi phí'!$C$77+'Chi phí'!$D$77*B346+'Chi phí'!$E$77*A346+'Giả định'!$B$15*('Chi phí'!$F$77+'Chi phí'!$G$77*B346+'Chi phí'!$H$77*A346))*(1+'Giả định'!$B$16)</f>
        <v>545082340</v>
      </c>
      <c r="E346" s="25" t="n">
        <f aca="false">A346/'Giả định'!$B$19*'Giả định'!$B$20+A346*'Giả định'!$B$23+'Giả định'!$B$24</f>
        <v>126943697.478992</v>
      </c>
      <c r="F346" s="25" t="n">
        <f aca="false">E346-D346</f>
        <v>-418138642.521008</v>
      </c>
      <c r="G346" s="25" t="n">
        <f aca="false">E346-C346</f>
        <v>-274533642.521008</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401514080</v>
      </c>
      <c r="D347" s="25" t="n">
        <f aca="false">('Chi phí'!$C$77+'Chi phí'!$D$77*B347+'Chi phí'!$E$77*A347+'Giả định'!$B$15*('Chi phí'!$F$77+'Chi phí'!$G$77*B347+'Chi phí'!$H$77*A347))*(1+'Giả định'!$B$16)</f>
        <v>545119080</v>
      </c>
      <c r="E347" s="25" t="n">
        <f aca="false">A347/'Giả định'!$B$19*'Giả định'!$B$20+A347*'Giả định'!$B$23+'Giả định'!$B$24</f>
        <v>127315966.386555</v>
      </c>
      <c r="F347" s="25" t="n">
        <f aca="false">E347-D347</f>
        <v>-417803113.613445</v>
      </c>
      <c r="G347" s="25" t="n">
        <f aca="false">E347-C347</f>
        <v>-274198113.613445</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401550820</v>
      </c>
      <c r="D348" s="25" t="n">
        <f aca="false">('Chi phí'!$C$77+'Chi phí'!$D$77*B348+'Chi phí'!$E$77*A348+'Giả định'!$B$15*('Chi phí'!$F$77+'Chi phí'!$G$77*B348+'Chi phí'!$H$77*A348))*(1+'Giả định'!$B$16)</f>
        <v>545155820</v>
      </c>
      <c r="E348" s="25" t="n">
        <f aca="false">A348/'Giả định'!$B$19*'Giả định'!$B$20+A348*'Giả định'!$B$23+'Giả định'!$B$24</f>
        <v>127688235.294118</v>
      </c>
      <c r="F348" s="25" t="n">
        <f aca="false">E348-D348</f>
        <v>-417467584.705882</v>
      </c>
      <c r="G348" s="25" t="n">
        <f aca="false">E348-C348</f>
        <v>-273862584.705882</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401587560</v>
      </c>
      <c r="D349" s="25" t="n">
        <f aca="false">('Chi phí'!$C$77+'Chi phí'!$D$77*B349+'Chi phí'!$E$77*A349+'Giả định'!$B$15*('Chi phí'!$F$77+'Chi phí'!$G$77*B349+'Chi phí'!$H$77*A349))*(1+'Giả định'!$B$16)</f>
        <v>545192560</v>
      </c>
      <c r="E349" s="25" t="n">
        <f aca="false">A349/'Giả định'!$B$19*'Giả định'!$B$20+A349*'Giả định'!$B$23+'Giả định'!$B$24</f>
        <v>128060504.201681</v>
      </c>
      <c r="F349" s="25" t="n">
        <f aca="false">E349-D349</f>
        <v>-417132055.798319</v>
      </c>
      <c r="G349" s="25" t="n">
        <f aca="false">E349-C349</f>
        <v>-273527055.798319</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401624300</v>
      </c>
      <c r="D350" s="25" t="n">
        <f aca="false">('Chi phí'!$C$77+'Chi phí'!$D$77*B350+'Chi phí'!$E$77*A350+'Giả định'!$B$15*('Chi phí'!$F$77+'Chi phí'!$G$77*B350+'Chi phí'!$H$77*A350))*(1+'Giả định'!$B$16)</f>
        <v>545229300</v>
      </c>
      <c r="E350" s="25" t="n">
        <f aca="false">A350/'Giả định'!$B$19*'Giả định'!$B$20+A350*'Giả định'!$B$23+'Giả định'!$B$24</f>
        <v>128432773.109244</v>
      </c>
      <c r="F350" s="25" t="n">
        <f aca="false">E350-D350</f>
        <v>-416796526.890756</v>
      </c>
      <c r="G350" s="25" t="n">
        <f aca="false">E350-C350</f>
        <v>-273191526.890756</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401661040</v>
      </c>
      <c r="D351" s="25" t="n">
        <f aca="false">('Chi phí'!$C$77+'Chi phí'!$D$77*B351+'Chi phí'!$E$77*A351+'Giả định'!$B$15*('Chi phí'!$F$77+'Chi phí'!$G$77*B351+'Chi phí'!$H$77*A351))*(1+'Giả định'!$B$16)</f>
        <v>545266040</v>
      </c>
      <c r="E351" s="25" t="n">
        <f aca="false">A351/'Giả định'!$B$19*'Giả định'!$B$20+A351*'Giả định'!$B$23+'Giả định'!$B$24</f>
        <v>128805042.016807</v>
      </c>
      <c r="F351" s="25" t="n">
        <f aca="false">E351-D351</f>
        <v>-416460997.983193</v>
      </c>
      <c r="G351" s="25" t="n">
        <f aca="false">E351-C351</f>
        <v>-272855997.983193</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401697780</v>
      </c>
      <c r="D352" s="25" t="n">
        <f aca="false">('Chi phí'!$C$77+'Chi phí'!$D$77*B352+'Chi phí'!$E$77*A352+'Giả định'!$B$15*('Chi phí'!$F$77+'Chi phí'!$G$77*B352+'Chi phí'!$H$77*A352))*(1+'Giả định'!$B$16)</f>
        <v>545302780</v>
      </c>
      <c r="E352" s="25" t="n">
        <f aca="false">A352/'Giả định'!$B$19*'Giả định'!$B$20+A352*'Giả định'!$B$23+'Giả định'!$B$24</f>
        <v>129177310.92437</v>
      </c>
      <c r="F352" s="25" t="n">
        <f aca="false">E352-D352</f>
        <v>-416125469.07563</v>
      </c>
      <c r="G352" s="25" t="n">
        <f aca="false">E352-C352</f>
        <v>-272520469.07563</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401734520</v>
      </c>
      <c r="D353" s="25" t="n">
        <f aca="false">('Chi phí'!$C$77+'Chi phí'!$D$77*B353+'Chi phí'!$E$77*A353+'Giả định'!$B$15*('Chi phí'!$F$77+'Chi phí'!$G$77*B353+'Chi phí'!$H$77*A353))*(1+'Giả định'!$B$16)</f>
        <v>545339520</v>
      </c>
      <c r="E353" s="25" t="n">
        <f aca="false">A353/'Giả định'!$B$19*'Giả định'!$B$20+A353*'Giả định'!$B$23+'Giả định'!$B$24</f>
        <v>129549579.831933</v>
      </c>
      <c r="F353" s="25" t="n">
        <f aca="false">E353-D353</f>
        <v>-415789940.168067</v>
      </c>
      <c r="G353" s="25" t="n">
        <f aca="false">E353-C353</f>
        <v>-272184940.168067</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401771260</v>
      </c>
      <c r="D354" s="25" t="n">
        <f aca="false">('Chi phí'!$C$77+'Chi phí'!$D$77*B354+'Chi phí'!$E$77*A354+'Giả định'!$B$15*('Chi phí'!$F$77+'Chi phí'!$G$77*B354+'Chi phí'!$H$77*A354))*(1+'Giả định'!$B$16)</f>
        <v>545376260</v>
      </c>
      <c r="E354" s="25" t="n">
        <f aca="false">A354/'Giả định'!$B$19*'Giả định'!$B$20+A354*'Giả định'!$B$23+'Giả định'!$B$24</f>
        <v>129921848.739496</v>
      </c>
      <c r="F354" s="25" t="n">
        <f aca="false">E354-D354</f>
        <v>-415454411.260504</v>
      </c>
      <c r="G354" s="25" t="n">
        <f aca="false">E354-C354</f>
        <v>-271849411.260504</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401808000</v>
      </c>
      <c r="D355" s="25" t="n">
        <f aca="false">('Chi phí'!$C$77+'Chi phí'!$D$77*B355+'Chi phí'!$E$77*A355+'Giả định'!$B$15*('Chi phí'!$F$77+'Chi phí'!$G$77*B355+'Chi phí'!$H$77*A355))*(1+'Giả định'!$B$16)</f>
        <v>545413000</v>
      </c>
      <c r="E355" s="25" t="n">
        <f aca="false">A355/'Giả định'!$B$19*'Giả định'!$B$20+A355*'Giả định'!$B$23+'Giả định'!$B$24</f>
        <v>130294117.647059</v>
      </c>
      <c r="F355" s="25" t="n">
        <f aca="false">E355-D355</f>
        <v>-415118882.352941</v>
      </c>
      <c r="G355" s="25" t="n">
        <f aca="false">E355-C355</f>
        <v>-271513882.352941</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411018740</v>
      </c>
      <c r="D356" s="25" t="n">
        <f aca="false">('Chi phí'!$C$77+'Chi phí'!$D$77*B356+'Chi phí'!$E$77*A356+'Giả định'!$B$15*('Chi phí'!$F$77+'Chi phí'!$G$77*B356+'Chi phí'!$H$77*A356))*(1+'Giả định'!$B$16)</f>
        <v>554623740</v>
      </c>
      <c r="E356" s="25" t="n">
        <f aca="false">A356/'Giả định'!$B$19*'Giả định'!$B$20+A356*'Giả định'!$B$23+'Giả định'!$B$24</f>
        <v>130666386.554622</v>
      </c>
      <c r="F356" s="25" t="n">
        <f aca="false">E356-D356</f>
        <v>-423957353.445378</v>
      </c>
      <c r="G356" s="25" t="n">
        <f aca="false">E356-C356</f>
        <v>-280352353.445378</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411055480</v>
      </c>
      <c r="D357" s="25" t="n">
        <f aca="false">('Chi phí'!$C$77+'Chi phí'!$D$77*B357+'Chi phí'!$E$77*A357+'Giả định'!$B$15*('Chi phí'!$F$77+'Chi phí'!$G$77*B357+'Chi phí'!$H$77*A357))*(1+'Giả định'!$B$16)</f>
        <v>554660480</v>
      </c>
      <c r="E357" s="25" t="n">
        <f aca="false">A357/'Giả định'!$B$19*'Giả định'!$B$20+A357*'Giả định'!$B$23+'Giả định'!$B$24</f>
        <v>131038655.462185</v>
      </c>
      <c r="F357" s="25" t="n">
        <f aca="false">E357-D357</f>
        <v>-423621824.537815</v>
      </c>
      <c r="G357" s="25" t="n">
        <f aca="false">E357-C357</f>
        <v>-280016824.537815</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411092220</v>
      </c>
      <c r="D358" s="25" t="n">
        <f aca="false">('Chi phí'!$C$77+'Chi phí'!$D$77*B358+'Chi phí'!$E$77*A358+'Giả định'!$B$15*('Chi phí'!$F$77+'Chi phí'!$G$77*B358+'Chi phí'!$H$77*A358))*(1+'Giả định'!$B$16)</f>
        <v>554697220</v>
      </c>
      <c r="E358" s="25" t="n">
        <f aca="false">A358/'Giả định'!$B$19*'Giả định'!$B$20+A358*'Giả định'!$B$23+'Giả định'!$B$24</f>
        <v>131410924.369748</v>
      </c>
      <c r="F358" s="25" t="n">
        <f aca="false">E358-D358</f>
        <v>-423286295.630252</v>
      </c>
      <c r="G358" s="25" t="n">
        <f aca="false">E358-C358</f>
        <v>-279681295.630252</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411128960</v>
      </c>
      <c r="D359" s="25" t="n">
        <f aca="false">('Chi phí'!$C$77+'Chi phí'!$D$77*B359+'Chi phí'!$E$77*A359+'Giả định'!$B$15*('Chi phí'!$F$77+'Chi phí'!$G$77*B359+'Chi phí'!$H$77*A359))*(1+'Giả định'!$B$16)</f>
        <v>554733960</v>
      </c>
      <c r="E359" s="25" t="n">
        <f aca="false">A359/'Giả định'!$B$19*'Giả định'!$B$20+A359*'Giả định'!$B$23+'Giả định'!$B$24</f>
        <v>131783193.277311</v>
      </c>
      <c r="F359" s="25" t="n">
        <f aca="false">E359-D359</f>
        <v>-422950766.722689</v>
      </c>
      <c r="G359" s="25" t="n">
        <f aca="false">E359-C359</f>
        <v>-279345766.722689</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411165700</v>
      </c>
      <c r="D360" s="25" t="n">
        <f aca="false">('Chi phí'!$C$77+'Chi phí'!$D$77*B360+'Chi phí'!$E$77*A360+'Giả định'!$B$15*('Chi phí'!$F$77+'Chi phí'!$G$77*B360+'Chi phí'!$H$77*A360))*(1+'Giả định'!$B$16)</f>
        <v>554770700</v>
      </c>
      <c r="E360" s="25" t="n">
        <f aca="false">A360/'Giả định'!$B$19*'Giả định'!$B$20+A360*'Giả định'!$B$23+'Giả định'!$B$24</f>
        <v>132155462.184874</v>
      </c>
      <c r="F360" s="25" t="n">
        <f aca="false">E360-D360</f>
        <v>-422615237.815126</v>
      </c>
      <c r="G360" s="25" t="n">
        <f aca="false">E360-C360</f>
        <v>-279010237.815126</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411202440</v>
      </c>
      <c r="D361" s="25" t="n">
        <f aca="false">('Chi phí'!$C$77+'Chi phí'!$D$77*B361+'Chi phí'!$E$77*A361+'Giả định'!$B$15*('Chi phí'!$F$77+'Chi phí'!$G$77*B361+'Chi phí'!$H$77*A361))*(1+'Giả định'!$B$16)</f>
        <v>554807440</v>
      </c>
      <c r="E361" s="25" t="n">
        <f aca="false">A361/'Giả định'!$B$19*'Giả định'!$B$20+A361*'Giả định'!$B$23+'Giả định'!$B$24</f>
        <v>132527731.092437</v>
      </c>
      <c r="F361" s="25" t="n">
        <f aca="false">E361-D361</f>
        <v>-422279708.907563</v>
      </c>
      <c r="G361" s="25" t="n">
        <f aca="false">E361-C361</f>
        <v>-278674708.907563</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411239180</v>
      </c>
      <c r="D362" s="25" t="n">
        <f aca="false">('Chi phí'!$C$77+'Chi phí'!$D$77*B362+'Chi phí'!$E$77*A362+'Giả định'!$B$15*('Chi phí'!$F$77+'Chi phí'!$G$77*B362+'Chi phí'!$H$77*A362))*(1+'Giả định'!$B$16)</f>
        <v>554844180</v>
      </c>
      <c r="E362" s="25" t="n">
        <f aca="false">A362/'Giả định'!$B$19*'Giả định'!$B$20+A362*'Giả định'!$B$23+'Giả định'!$B$24</f>
        <v>132900000</v>
      </c>
      <c r="F362" s="25" t="n">
        <f aca="false">E362-D362</f>
        <v>-421944180</v>
      </c>
      <c r="G362" s="25" t="n">
        <f aca="false">E362-C362</f>
        <v>-278339180</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411275920</v>
      </c>
      <c r="D363" s="25" t="n">
        <f aca="false">('Chi phí'!$C$77+'Chi phí'!$D$77*B363+'Chi phí'!$E$77*A363+'Giả định'!$B$15*('Chi phí'!$F$77+'Chi phí'!$G$77*B363+'Chi phí'!$H$77*A363))*(1+'Giả định'!$B$16)</f>
        <v>554880920</v>
      </c>
      <c r="E363" s="25" t="n">
        <f aca="false">A363/'Giả định'!$B$19*'Giả định'!$B$20+A363*'Giả định'!$B$23+'Giả định'!$B$24</f>
        <v>133272268.907563</v>
      </c>
      <c r="F363" s="25" t="n">
        <f aca="false">E363-D363</f>
        <v>-421608651.092437</v>
      </c>
      <c r="G363" s="25" t="n">
        <f aca="false">E363-C363</f>
        <v>-278003651.092437</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411312660</v>
      </c>
      <c r="D364" s="25" t="n">
        <f aca="false">('Chi phí'!$C$77+'Chi phí'!$D$77*B364+'Chi phí'!$E$77*A364+'Giả định'!$B$15*('Chi phí'!$F$77+'Chi phí'!$G$77*B364+'Chi phí'!$H$77*A364))*(1+'Giả định'!$B$16)</f>
        <v>554917660</v>
      </c>
      <c r="E364" s="25" t="n">
        <f aca="false">A364/'Giả định'!$B$19*'Giả định'!$B$20+A364*'Giả định'!$B$23+'Giả định'!$B$24</f>
        <v>133644537.815126</v>
      </c>
      <c r="F364" s="25" t="n">
        <f aca="false">E364-D364</f>
        <v>-421273122.184874</v>
      </c>
      <c r="G364" s="25" t="n">
        <f aca="false">E364-C364</f>
        <v>-277668122.184874</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411349400</v>
      </c>
      <c r="D365" s="25" t="n">
        <f aca="false">('Chi phí'!$C$77+'Chi phí'!$D$77*B365+'Chi phí'!$E$77*A365+'Giả định'!$B$15*('Chi phí'!$F$77+'Chi phí'!$G$77*B365+'Chi phí'!$H$77*A365))*(1+'Giả định'!$B$16)</f>
        <v>554954400</v>
      </c>
      <c r="E365" s="25" t="n">
        <f aca="false">A365/'Giả định'!$B$19*'Giả định'!$B$20+A365*'Giả định'!$B$23+'Giả định'!$B$24</f>
        <v>134016806.722689</v>
      </c>
      <c r="F365" s="25" t="n">
        <f aca="false">E365-D365</f>
        <v>-420937593.277311</v>
      </c>
      <c r="G365" s="25" t="n">
        <f aca="false">E365-C365</f>
        <v>-277332593.277311</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420560140</v>
      </c>
      <c r="D366" s="25" t="n">
        <f aca="false">('Chi phí'!$C$77+'Chi phí'!$D$77*B366+'Chi phí'!$E$77*A366+'Giả định'!$B$15*('Chi phí'!$F$77+'Chi phí'!$G$77*B366+'Chi phí'!$H$77*A366))*(1+'Giả định'!$B$16)</f>
        <v>564165140</v>
      </c>
      <c r="E366" s="25" t="n">
        <f aca="false">A366/'Giả định'!$B$19*'Giả định'!$B$20+A366*'Giả định'!$B$23+'Giả định'!$B$24</f>
        <v>134389075.630252</v>
      </c>
      <c r="F366" s="25" t="n">
        <f aca="false">E366-D366</f>
        <v>-429776064.369748</v>
      </c>
      <c r="G366" s="25" t="n">
        <f aca="false">E366-C366</f>
        <v>-286171064.369748</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420596880</v>
      </c>
      <c r="D367" s="25" t="n">
        <f aca="false">('Chi phí'!$C$77+'Chi phí'!$D$77*B367+'Chi phí'!$E$77*A367+'Giả định'!$B$15*('Chi phí'!$F$77+'Chi phí'!$G$77*B367+'Chi phí'!$H$77*A367))*(1+'Giả định'!$B$16)</f>
        <v>564201880</v>
      </c>
      <c r="E367" s="25" t="n">
        <f aca="false">A367/'Giả định'!$B$19*'Giả định'!$B$20+A367*'Giả định'!$B$23+'Giả định'!$B$24</f>
        <v>134761344.537815</v>
      </c>
      <c r="F367" s="25" t="n">
        <f aca="false">E367-D367</f>
        <v>-429440535.462185</v>
      </c>
      <c r="G367" s="25" t="n">
        <f aca="false">E367-C367</f>
        <v>-285835535.462185</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420633620</v>
      </c>
      <c r="D368" s="25" t="n">
        <f aca="false">('Chi phí'!$C$77+'Chi phí'!$D$77*B368+'Chi phí'!$E$77*A368+'Giả định'!$B$15*('Chi phí'!$F$77+'Chi phí'!$G$77*B368+'Chi phí'!$H$77*A368))*(1+'Giả định'!$B$16)</f>
        <v>564238620</v>
      </c>
      <c r="E368" s="25" t="n">
        <f aca="false">A368/'Giả định'!$B$19*'Giả định'!$B$20+A368*'Giả định'!$B$23+'Giả định'!$B$24</f>
        <v>135133613.445378</v>
      </c>
      <c r="F368" s="25" t="n">
        <f aca="false">E368-D368</f>
        <v>-429105006.554622</v>
      </c>
      <c r="G368" s="25" t="n">
        <f aca="false">E368-C368</f>
        <v>-285500006.554622</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420670360</v>
      </c>
      <c r="D369" s="25" t="n">
        <f aca="false">('Chi phí'!$C$77+'Chi phí'!$D$77*B369+'Chi phí'!$E$77*A369+'Giả định'!$B$15*('Chi phí'!$F$77+'Chi phí'!$G$77*B369+'Chi phí'!$H$77*A369))*(1+'Giả định'!$B$16)</f>
        <v>564275360</v>
      </c>
      <c r="E369" s="25" t="n">
        <f aca="false">A369/'Giả định'!$B$19*'Giả định'!$B$20+A369*'Giả định'!$B$23+'Giả định'!$B$24</f>
        <v>135505882.352941</v>
      </c>
      <c r="F369" s="25" t="n">
        <f aca="false">E369-D369</f>
        <v>-428769477.647059</v>
      </c>
      <c r="G369" s="25" t="n">
        <f aca="false">E369-C369</f>
        <v>-285164477.647059</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420707100</v>
      </c>
      <c r="D370" s="25" t="n">
        <f aca="false">('Chi phí'!$C$77+'Chi phí'!$D$77*B370+'Chi phí'!$E$77*A370+'Giả định'!$B$15*('Chi phí'!$F$77+'Chi phí'!$G$77*B370+'Chi phí'!$H$77*A370))*(1+'Giả định'!$B$16)</f>
        <v>564312100</v>
      </c>
      <c r="E370" s="25" t="n">
        <f aca="false">A370/'Giả định'!$B$19*'Giả định'!$B$20+A370*'Giả định'!$B$23+'Giả định'!$B$24</f>
        <v>135878151.260504</v>
      </c>
      <c r="F370" s="25" t="n">
        <f aca="false">E370-D370</f>
        <v>-428433948.739496</v>
      </c>
      <c r="G370" s="25" t="n">
        <f aca="false">E370-C370</f>
        <v>-284828948.739496</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420743840</v>
      </c>
      <c r="D371" s="25" t="n">
        <f aca="false">('Chi phí'!$C$77+'Chi phí'!$D$77*B371+'Chi phí'!$E$77*A371+'Giả định'!$B$15*('Chi phí'!$F$77+'Chi phí'!$G$77*B371+'Chi phí'!$H$77*A371))*(1+'Giả định'!$B$16)</f>
        <v>564348840</v>
      </c>
      <c r="E371" s="25" t="n">
        <f aca="false">A371/'Giả định'!$B$19*'Giả định'!$B$20+A371*'Giả định'!$B$23+'Giả định'!$B$24</f>
        <v>136250420.168067</v>
      </c>
      <c r="F371" s="25" t="n">
        <f aca="false">E371-D371</f>
        <v>-428098419.831933</v>
      </c>
      <c r="G371" s="25" t="n">
        <f aca="false">E371-C371</f>
        <v>-284493419.831933</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420780580</v>
      </c>
      <c r="D372" s="25" t="n">
        <f aca="false">('Chi phí'!$C$77+'Chi phí'!$D$77*B372+'Chi phí'!$E$77*A372+'Giả định'!$B$15*('Chi phí'!$F$77+'Chi phí'!$G$77*B372+'Chi phí'!$H$77*A372))*(1+'Giả định'!$B$16)</f>
        <v>564385580</v>
      </c>
      <c r="E372" s="25" t="n">
        <f aca="false">A372/'Giả định'!$B$19*'Giả định'!$B$20+A372*'Giả định'!$B$23+'Giả định'!$B$24</f>
        <v>136622689.07563</v>
      </c>
      <c r="F372" s="25" t="n">
        <f aca="false">E372-D372</f>
        <v>-427762890.92437</v>
      </c>
      <c r="G372" s="25" t="n">
        <f aca="false">E372-C372</f>
        <v>-284157890.92437</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420817320</v>
      </c>
      <c r="D373" s="25" t="n">
        <f aca="false">('Chi phí'!$C$77+'Chi phí'!$D$77*B373+'Chi phí'!$E$77*A373+'Giả định'!$B$15*('Chi phí'!$F$77+'Chi phí'!$G$77*B373+'Chi phí'!$H$77*A373))*(1+'Giả định'!$B$16)</f>
        <v>564422320</v>
      </c>
      <c r="E373" s="25" t="n">
        <f aca="false">A373/'Giả định'!$B$19*'Giả định'!$B$20+A373*'Giả định'!$B$23+'Giả định'!$B$24</f>
        <v>136994957.983193</v>
      </c>
      <c r="F373" s="25" t="n">
        <f aca="false">E373-D373</f>
        <v>-427427362.016807</v>
      </c>
      <c r="G373" s="25" t="n">
        <f aca="false">E373-C373</f>
        <v>-283822362.016807</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420854060</v>
      </c>
      <c r="D374" s="25" t="n">
        <f aca="false">('Chi phí'!$C$77+'Chi phí'!$D$77*B374+'Chi phí'!$E$77*A374+'Giả định'!$B$15*('Chi phí'!$F$77+'Chi phí'!$G$77*B374+'Chi phí'!$H$77*A374))*(1+'Giả định'!$B$16)</f>
        <v>564459060</v>
      </c>
      <c r="E374" s="25" t="n">
        <f aca="false">A374/'Giả định'!$B$19*'Giả định'!$B$20+A374*'Giả định'!$B$23+'Giả định'!$B$24</f>
        <v>137367226.890756</v>
      </c>
      <c r="F374" s="25" t="n">
        <f aca="false">E374-D374</f>
        <v>-427091833.109244</v>
      </c>
      <c r="G374" s="25" t="n">
        <f aca="false">E374-C374</f>
        <v>-283486833.109244</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420890800</v>
      </c>
      <c r="D375" s="25" t="n">
        <f aca="false">('Chi phí'!$C$77+'Chi phí'!$D$77*B375+'Chi phí'!$E$77*A375+'Giả định'!$B$15*('Chi phí'!$F$77+'Chi phí'!$G$77*B375+'Chi phí'!$H$77*A375))*(1+'Giả định'!$B$16)</f>
        <v>564495800</v>
      </c>
      <c r="E375" s="25" t="n">
        <f aca="false">A375/'Giả định'!$B$19*'Giả định'!$B$20+A375*'Giả định'!$B$23+'Giả định'!$B$24</f>
        <v>137739495.798319</v>
      </c>
      <c r="F375" s="25" t="n">
        <f aca="false">E375-D375</f>
        <v>-426756304.201681</v>
      </c>
      <c r="G375" s="25" t="n">
        <f aca="false">E375-C375</f>
        <v>-283151304.201681</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430101540</v>
      </c>
      <c r="D376" s="25" t="n">
        <f aca="false">('Chi phí'!$C$77+'Chi phí'!$D$77*B376+'Chi phí'!$E$77*A376+'Giả định'!$B$15*('Chi phí'!$F$77+'Chi phí'!$G$77*B376+'Chi phí'!$H$77*A376))*(1+'Giả định'!$B$16)</f>
        <v>573706540</v>
      </c>
      <c r="E376" s="25" t="n">
        <f aca="false">A376/'Giả định'!$B$19*'Giả định'!$B$20+A376*'Giả định'!$B$23+'Giả định'!$B$24</f>
        <v>138111764.705882</v>
      </c>
      <c r="F376" s="25" t="n">
        <f aca="false">E376-D376</f>
        <v>-435594775.294118</v>
      </c>
      <c r="G376" s="25" t="n">
        <f aca="false">E376-C376</f>
        <v>-291989775.294118</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430138280</v>
      </c>
      <c r="D377" s="25" t="n">
        <f aca="false">('Chi phí'!$C$77+'Chi phí'!$D$77*B377+'Chi phí'!$E$77*A377+'Giả định'!$B$15*('Chi phí'!$F$77+'Chi phí'!$G$77*B377+'Chi phí'!$H$77*A377))*(1+'Giả định'!$B$16)</f>
        <v>573743280</v>
      </c>
      <c r="E377" s="25" t="n">
        <f aca="false">A377/'Giả định'!$B$19*'Giả định'!$B$20+A377*'Giả định'!$B$23+'Giả định'!$B$24</f>
        <v>138484033.613445</v>
      </c>
      <c r="F377" s="25" t="n">
        <f aca="false">E377-D377</f>
        <v>-435259246.386555</v>
      </c>
      <c r="G377" s="25" t="n">
        <f aca="false">E377-C377</f>
        <v>-291654246.386555</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430175020</v>
      </c>
      <c r="D378" s="25" t="n">
        <f aca="false">('Chi phí'!$C$77+'Chi phí'!$D$77*B378+'Chi phí'!$E$77*A378+'Giả định'!$B$15*('Chi phí'!$F$77+'Chi phí'!$G$77*B378+'Chi phí'!$H$77*A378))*(1+'Giả định'!$B$16)</f>
        <v>573780020</v>
      </c>
      <c r="E378" s="25" t="n">
        <f aca="false">A378/'Giả định'!$B$19*'Giả định'!$B$20+A378*'Giả định'!$B$23+'Giả định'!$B$24</f>
        <v>138856302.521008</v>
      </c>
      <c r="F378" s="25" t="n">
        <f aca="false">E378-D378</f>
        <v>-434923717.478992</v>
      </c>
      <c r="G378" s="25" t="n">
        <f aca="false">E378-C378</f>
        <v>-291318717.478992</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430211760</v>
      </c>
      <c r="D379" s="25" t="n">
        <f aca="false">('Chi phí'!$C$77+'Chi phí'!$D$77*B379+'Chi phí'!$E$77*A379+'Giả định'!$B$15*('Chi phí'!$F$77+'Chi phí'!$G$77*B379+'Chi phí'!$H$77*A379))*(1+'Giả định'!$B$16)</f>
        <v>573816760</v>
      </c>
      <c r="E379" s="25" t="n">
        <f aca="false">A379/'Giả định'!$B$19*'Giả định'!$B$20+A379*'Giả định'!$B$23+'Giả định'!$B$24</f>
        <v>139228571.428571</v>
      </c>
      <c r="F379" s="25" t="n">
        <f aca="false">E379-D379</f>
        <v>-434588188.571429</v>
      </c>
      <c r="G379" s="25" t="n">
        <f aca="false">E379-C379</f>
        <v>-290983188.571429</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430248500</v>
      </c>
      <c r="D380" s="25" t="n">
        <f aca="false">('Chi phí'!$C$77+'Chi phí'!$D$77*B380+'Chi phí'!$E$77*A380+'Giả định'!$B$15*('Chi phí'!$F$77+'Chi phí'!$G$77*B380+'Chi phí'!$H$77*A380))*(1+'Giả định'!$B$16)</f>
        <v>573853500</v>
      </c>
      <c r="E380" s="25" t="n">
        <f aca="false">A380/'Giả định'!$B$19*'Giả định'!$B$20+A380*'Giả định'!$B$23+'Giả định'!$B$24</f>
        <v>139600840.336134</v>
      </c>
      <c r="F380" s="25" t="n">
        <f aca="false">E380-D380</f>
        <v>-434252659.663866</v>
      </c>
      <c r="G380" s="25" t="n">
        <f aca="false">E380-C380</f>
        <v>-290647659.663866</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430285240</v>
      </c>
      <c r="D381" s="25" t="n">
        <f aca="false">('Chi phí'!$C$77+'Chi phí'!$D$77*B381+'Chi phí'!$E$77*A381+'Giả định'!$B$15*('Chi phí'!$F$77+'Chi phí'!$G$77*B381+'Chi phí'!$H$77*A381))*(1+'Giả định'!$B$16)</f>
        <v>573890240</v>
      </c>
      <c r="E381" s="25" t="n">
        <f aca="false">A381/'Giả định'!$B$19*'Giả định'!$B$20+A381*'Giả định'!$B$23+'Giả định'!$B$24</f>
        <v>139973109.243698</v>
      </c>
      <c r="F381" s="25" t="n">
        <f aca="false">E381-D381</f>
        <v>-433917130.756303</v>
      </c>
      <c r="G381" s="25" t="n">
        <f aca="false">E381-C381</f>
        <v>-290312130.756303</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430321980</v>
      </c>
      <c r="D382" s="25" t="n">
        <f aca="false">('Chi phí'!$C$77+'Chi phí'!$D$77*B382+'Chi phí'!$E$77*A382+'Giả định'!$B$15*('Chi phí'!$F$77+'Chi phí'!$G$77*B382+'Chi phí'!$H$77*A382))*(1+'Giả định'!$B$16)</f>
        <v>573926980</v>
      </c>
      <c r="E382" s="25" t="n">
        <f aca="false">A382/'Giả định'!$B$19*'Giả định'!$B$20+A382*'Giả định'!$B$23+'Giả định'!$B$24</f>
        <v>140345378.151261</v>
      </c>
      <c r="F382" s="25" t="n">
        <f aca="false">E382-D382</f>
        <v>-433581601.84874</v>
      </c>
      <c r="G382" s="25" t="n">
        <f aca="false">E382-C382</f>
        <v>-289976601.84874</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430358720</v>
      </c>
      <c r="D383" s="25" t="n">
        <f aca="false">('Chi phí'!$C$77+'Chi phí'!$D$77*B383+'Chi phí'!$E$77*A383+'Giả định'!$B$15*('Chi phí'!$F$77+'Chi phí'!$G$77*B383+'Chi phí'!$H$77*A383))*(1+'Giả định'!$B$16)</f>
        <v>573963720</v>
      </c>
      <c r="E383" s="25" t="n">
        <f aca="false">A383/'Giả định'!$B$19*'Giả định'!$B$20+A383*'Giả định'!$B$23+'Giả định'!$B$24</f>
        <v>140717647.058824</v>
      </c>
      <c r="F383" s="25" t="n">
        <f aca="false">E383-D383</f>
        <v>-433246072.941177</v>
      </c>
      <c r="G383" s="25" t="n">
        <f aca="false">E383-C383</f>
        <v>-289641072.941177</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430395460</v>
      </c>
      <c r="D384" s="25" t="n">
        <f aca="false">('Chi phí'!$C$77+'Chi phí'!$D$77*B384+'Chi phí'!$E$77*A384+'Giả định'!$B$15*('Chi phí'!$F$77+'Chi phí'!$G$77*B384+'Chi phí'!$H$77*A384))*(1+'Giả định'!$B$16)</f>
        <v>574000460</v>
      </c>
      <c r="E384" s="25" t="n">
        <f aca="false">A384/'Giả định'!$B$19*'Giả định'!$B$20+A384*'Giả định'!$B$23+'Giả định'!$B$24</f>
        <v>141089915.966387</v>
      </c>
      <c r="F384" s="25" t="n">
        <f aca="false">E384-D384</f>
        <v>-432910544.033613</v>
      </c>
      <c r="G384" s="25" t="n">
        <f aca="false">E384-C384</f>
        <v>-289305544.033614</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430432200</v>
      </c>
      <c r="D385" s="25" t="n">
        <f aca="false">('Chi phí'!$C$77+'Chi phí'!$D$77*B385+'Chi phí'!$E$77*A385+'Giả định'!$B$15*('Chi phí'!$F$77+'Chi phí'!$G$77*B385+'Chi phí'!$H$77*A385))*(1+'Giả định'!$B$16)</f>
        <v>574037200</v>
      </c>
      <c r="E385" s="25" t="n">
        <f aca="false">A385/'Giả định'!$B$19*'Giả định'!$B$20+A385*'Giả định'!$B$23+'Giả định'!$B$24</f>
        <v>141462184.87395</v>
      </c>
      <c r="F385" s="25" t="n">
        <f aca="false">E385-D385</f>
        <v>-432575015.12605</v>
      </c>
      <c r="G385" s="25" t="n">
        <f aca="false">E385-C385</f>
        <v>-288970015.126051</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439642940</v>
      </c>
      <c r="D386" s="25" t="n">
        <f aca="false">('Chi phí'!$C$77+'Chi phí'!$D$77*B386+'Chi phí'!$E$77*A386+'Giả định'!$B$15*('Chi phí'!$F$77+'Chi phí'!$G$77*B386+'Chi phí'!$H$77*A386))*(1+'Giả định'!$B$16)</f>
        <v>583247940</v>
      </c>
      <c r="E386" s="25" t="n">
        <f aca="false">A386/'Giả định'!$B$19*'Giả định'!$B$20+A386*'Giả định'!$B$23+'Giả định'!$B$24</f>
        <v>141834453.781513</v>
      </c>
      <c r="F386" s="25" t="n">
        <f aca="false">E386-D386</f>
        <v>-441413486.218487</v>
      </c>
      <c r="G386" s="25" t="n">
        <f aca="false">E386-C386</f>
        <v>-297808486.218487</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439679680</v>
      </c>
      <c r="D387" s="25" t="n">
        <f aca="false">('Chi phí'!$C$77+'Chi phí'!$D$77*B387+'Chi phí'!$E$77*A387+'Giả định'!$B$15*('Chi phí'!$F$77+'Chi phí'!$G$77*B387+'Chi phí'!$H$77*A387))*(1+'Giả định'!$B$16)</f>
        <v>583284680</v>
      </c>
      <c r="E387" s="25" t="n">
        <f aca="false">A387/'Giả định'!$B$19*'Giả định'!$B$20+A387*'Giả định'!$B$23+'Giả định'!$B$24</f>
        <v>142206722.689076</v>
      </c>
      <c r="F387" s="25" t="n">
        <f aca="false">E387-D387</f>
        <v>-441077957.310924</v>
      </c>
      <c r="G387" s="25" t="n">
        <f aca="false">E387-C387</f>
        <v>-297472957.310924</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439716420</v>
      </c>
      <c r="D388" s="25" t="n">
        <f aca="false">('Chi phí'!$C$77+'Chi phí'!$D$77*B388+'Chi phí'!$E$77*A388+'Giả định'!$B$15*('Chi phí'!$F$77+'Chi phí'!$G$77*B388+'Chi phí'!$H$77*A388))*(1+'Giả định'!$B$16)</f>
        <v>583321420</v>
      </c>
      <c r="E388" s="25" t="n">
        <f aca="false">A388/'Giả định'!$B$19*'Giả định'!$B$20+A388*'Giả định'!$B$23+'Giả định'!$B$24</f>
        <v>142578991.596639</v>
      </c>
      <c r="F388" s="25" t="n">
        <f aca="false">E388-D388</f>
        <v>-440742428.403361</v>
      </c>
      <c r="G388" s="25" t="n">
        <f aca="false">E388-C388</f>
        <v>-297137428.403361</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439753160</v>
      </c>
      <c r="D389" s="25" t="n">
        <f aca="false">('Chi phí'!$C$77+'Chi phí'!$D$77*B389+'Chi phí'!$E$77*A389+'Giả định'!$B$15*('Chi phí'!$F$77+'Chi phí'!$G$77*B389+'Chi phí'!$H$77*A389))*(1+'Giả định'!$B$16)</f>
        <v>583358160</v>
      </c>
      <c r="E389" s="25" t="n">
        <f aca="false">A389/'Giả định'!$B$19*'Giả định'!$B$20+A389*'Giả định'!$B$23+'Giả định'!$B$24</f>
        <v>142951260.504202</v>
      </c>
      <c r="F389" s="25" t="n">
        <f aca="false">E389-D389</f>
        <v>-440406899.495798</v>
      </c>
      <c r="G389" s="25" t="n">
        <f aca="false">E389-C389</f>
        <v>-296801899.495798</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439789900</v>
      </c>
      <c r="D390" s="25" t="n">
        <f aca="false">('Chi phí'!$C$77+'Chi phí'!$D$77*B390+'Chi phí'!$E$77*A390+'Giả định'!$B$15*('Chi phí'!$F$77+'Chi phí'!$G$77*B390+'Chi phí'!$H$77*A390))*(1+'Giả định'!$B$16)</f>
        <v>583394900</v>
      </c>
      <c r="E390" s="25" t="n">
        <f aca="false">A390/'Giả định'!$B$19*'Giả định'!$B$20+A390*'Giả định'!$B$23+'Giả định'!$B$24</f>
        <v>143323529.411765</v>
      </c>
      <c r="F390" s="25" t="n">
        <f aca="false">E390-D390</f>
        <v>-440071370.588235</v>
      </c>
      <c r="G390" s="25" t="n">
        <f aca="false">E390-C390</f>
        <v>-296466370.588235</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439826640</v>
      </c>
      <c r="D391" s="25" t="n">
        <f aca="false">('Chi phí'!$C$77+'Chi phí'!$D$77*B391+'Chi phí'!$E$77*A391+'Giả định'!$B$15*('Chi phí'!$F$77+'Chi phí'!$G$77*B391+'Chi phí'!$H$77*A391))*(1+'Giả định'!$B$16)</f>
        <v>583431640</v>
      </c>
      <c r="E391" s="25" t="n">
        <f aca="false">A391/'Giả định'!$B$19*'Giả định'!$B$20+A391*'Giả định'!$B$23+'Giả định'!$B$24</f>
        <v>143695798.319328</v>
      </c>
      <c r="F391" s="25" t="n">
        <f aca="false">E391-D391</f>
        <v>-439735841.680672</v>
      </c>
      <c r="G391" s="25" t="n">
        <f aca="false">E391-C391</f>
        <v>-296130841.680672</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439863380</v>
      </c>
      <c r="D392" s="25" t="n">
        <f aca="false">('Chi phí'!$C$77+'Chi phí'!$D$77*B392+'Chi phí'!$E$77*A392+'Giả định'!$B$15*('Chi phí'!$F$77+'Chi phí'!$G$77*B392+'Chi phí'!$H$77*A392))*(1+'Giả định'!$B$16)</f>
        <v>583468380</v>
      </c>
      <c r="E392" s="25" t="n">
        <f aca="false">A392/'Giả định'!$B$19*'Giả định'!$B$20+A392*'Giả định'!$B$23+'Giả định'!$B$24</f>
        <v>144068067.226891</v>
      </c>
      <c r="F392" s="25" t="n">
        <f aca="false">E392-D392</f>
        <v>-439400312.773109</v>
      </c>
      <c r="G392" s="25" t="n">
        <f aca="false">E392-C392</f>
        <v>-295795312.773109</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439900120</v>
      </c>
      <c r="D393" s="25" t="n">
        <f aca="false">('Chi phí'!$C$77+'Chi phí'!$D$77*B393+'Chi phí'!$E$77*A393+'Giả định'!$B$15*('Chi phí'!$F$77+'Chi phí'!$G$77*B393+'Chi phí'!$H$77*A393))*(1+'Giả định'!$B$16)</f>
        <v>583505120</v>
      </c>
      <c r="E393" s="25" t="n">
        <f aca="false">A393/'Giả định'!$B$19*'Giả định'!$B$20+A393*'Giả định'!$B$23+'Giả định'!$B$24</f>
        <v>144440336.134454</v>
      </c>
      <c r="F393" s="25" t="n">
        <f aca="false">E393-D393</f>
        <v>-439064783.865546</v>
      </c>
      <c r="G393" s="25" t="n">
        <f aca="false">E393-C393</f>
        <v>-295459783.865546</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439936860</v>
      </c>
      <c r="D394" s="25" t="n">
        <f aca="false">('Chi phí'!$C$77+'Chi phí'!$D$77*B394+'Chi phí'!$E$77*A394+'Giả định'!$B$15*('Chi phí'!$F$77+'Chi phí'!$G$77*B394+'Chi phí'!$H$77*A394))*(1+'Giả định'!$B$16)</f>
        <v>583541860</v>
      </c>
      <c r="E394" s="25" t="n">
        <f aca="false">A394/'Giả định'!$B$19*'Giả định'!$B$20+A394*'Giả định'!$B$23+'Giả định'!$B$24</f>
        <v>144812605.042017</v>
      </c>
      <c r="F394" s="25" t="n">
        <f aca="false">E394-D394</f>
        <v>-438729254.957983</v>
      </c>
      <c r="G394" s="25" t="n">
        <f aca="false">E394-C394</f>
        <v>-295124254.957983</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439973600</v>
      </c>
      <c r="D395" s="25" t="n">
        <f aca="false">('Chi phí'!$C$77+'Chi phí'!$D$77*B395+'Chi phí'!$E$77*A395+'Giả định'!$B$15*('Chi phí'!$F$77+'Chi phí'!$G$77*B395+'Chi phí'!$H$77*A395))*(1+'Giả định'!$B$16)</f>
        <v>583578600</v>
      </c>
      <c r="E395" s="25" t="n">
        <f aca="false">A395/'Giả định'!$B$19*'Giả định'!$B$20+A395*'Giả định'!$B$23+'Giả định'!$B$24</f>
        <v>145184873.94958</v>
      </c>
      <c r="F395" s="25" t="n">
        <f aca="false">E395-D395</f>
        <v>-438393726.05042</v>
      </c>
      <c r="G395" s="25" t="n">
        <f aca="false">E395-C395</f>
        <v>-294788726.05042</v>
      </c>
      <c r="H395" s="7" t="str">
        <f aca="false">IF(F395&gt;=0,A395,"")</f>
        <v/>
      </c>
      <c r="I395" s="7" t="n">
        <f aca="false">IF(F395&lt;0,A395,0)</f>
        <v>390</v>
      </c>
      <c r="J395" s="7" t="str">
        <f aca="false">IF(G395&gt;=0,A395,"")</f>
        <v/>
      </c>
      <c r="K395" s="7" t="n">
        <f aca="false">IF(G395&lt;0,A395,0)</f>
        <v>390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449184340</v>
      </c>
      <c r="D396" s="25" t="n">
        <f aca="false">('Chi phí'!$C$77+'Chi phí'!$D$77*B396+'Chi phí'!$E$77*A396+'Giả định'!$B$15*('Chi phí'!$F$77+'Chi phí'!$G$77*B396+'Chi phí'!$H$77*A396))*(1+'Giả định'!$B$16)</f>
        <v>592789340</v>
      </c>
      <c r="E396" s="25" t="n">
        <f aca="false">A396/'Giả định'!$B$19*'Giả định'!$B$20+A396*'Giả định'!$B$23+'Giả định'!$B$24</f>
        <v>145557142.857143</v>
      </c>
      <c r="F396" s="25" t="n">
        <f aca="false">E396-D396</f>
        <v>-447232197.142857</v>
      </c>
      <c r="G396" s="25" t="n">
        <f aca="false">E396-C396</f>
        <v>-303627197.142857</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449221080</v>
      </c>
      <c r="D397" s="25" t="n">
        <f aca="false">('Chi phí'!$C$77+'Chi phí'!$D$77*B397+'Chi phí'!$E$77*A397+'Giả định'!$B$15*('Chi phí'!$F$77+'Chi phí'!$G$77*B397+'Chi phí'!$H$77*A397))*(1+'Giả định'!$B$16)</f>
        <v>592826080</v>
      </c>
      <c r="E397" s="25" t="n">
        <f aca="false">A397/'Giả định'!$B$19*'Giả định'!$B$20+A397*'Giả định'!$B$23+'Giả định'!$B$24</f>
        <v>145929411.764706</v>
      </c>
      <c r="F397" s="25" t="n">
        <f aca="false">E397-D397</f>
        <v>-446896668.235294</v>
      </c>
      <c r="G397" s="25" t="n">
        <f aca="false">E397-C397</f>
        <v>-303291668.235294</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449257820</v>
      </c>
      <c r="D398" s="25" t="n">
        <f aca="false">('Chi phí'!$C$77+'Chi phí'!$D$77*B398+'Chi phí'!$E$77*A398+'Giả định'!$B$15*('Chi phí'!$F$77+'Chi phí'!$G$77*B398+'Chi phí'!$H$77*A398))*(1+'Giả định'!$B$16)</f>
        <v>592862820</v>
      </c>
      <c r="E398" s="25" t="n">
        <f aca="false">A398/'Giả định'!$B$19*'Giả định'!$B$20+A398*'Giả định'!$B$23+'Giả định'!$B$24</f>
        <v>146301680.672269</v>
      </c>
      <c r="F398" s="25" t="n">
        <f aca="false">E398-D398</f>
        <v>-446561139.327731</v>
      </c>
      <c r="G398" s="25" t="n">
        <f aca="false">E398-C398</f>
        <v>-302956139.327731</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449294560</v>
      </c>
      <c r="D399" s="25" t="n">
        <f aca="false">('Chi phí'!$C$77+'Chi phí'!$D$77*B399+'Chi phí'!$E$77*A399+'Giả định'!$B$15*('Chi phí'!$F$77+'Chi phí'!$G$77*B399+'Chi phí'!$H$77*A399))*(1+'Giả định'!$B$16)</f>
        <v>592899560</v>
      </c>
      <c r="E399" s="25" t="n">
        <f aca="false">A399/'Giả định'!$B$19*'Giả định'!$B$20+A399*'Giả định'!$B$23+'Giả định'!$B$24</f>
        <v>146673949.579832</v>
      </c>
      <c r="F399" s="25" t="n">
        <f aca="false">E399-D399</f>
        <v>-446225610.420168</v>
      </c>
      <c r="G399" s="25" t="n">
        <f aca="false">E399-C399</f>
        <v>-302620610.420168</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449331300</v>
      </c>
      <c r="D400" s="25" t="n">
        <f aca="false">('Chi phí'!$C$77+'Chi phí'!$D$77*B400+'Chi phí'!$E$77*A400+'Giả định'!$B$15*('Chi phí'!$F$77+'Chi phí'!$G$77*B400+'Chi phí'!$H$77*A400))*(1+'Giả định'!$B$16)</f>
        <v>592936300</v>
      </c>
      <c r="E400" s="25" t="n">
        <f aca="false">A400/'Giả định'!$B$19*'Giả định'!$B$20+A400*'Giả định'!$B$23+'Giả định'!$B$24</f>
        <v>147046218.487395</v>
      </c>
      <c r="F400" s="25" t="n">
        <f aca="false">E400-D400</f>
        <v>-445890081.512605</v>
      </c>
      <c r="G400" s="25" t="n">
        <f aca="false">E400-C400</f>
        <v>-302285081.512605</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449368040</v>
      </c>
      <c r="D401" s="25" t="n">
        <f aca="false">('Chi phí'!$C$77+'Chi phí'!$D$77*B401+'Chi phí'!$E$77*A401+'Giả định'!$B$15*('Chi phí'!$F$77+'Chi phí'!$G$77*B401+'Chi phí'!$H$77*A401))*(1+'Giả định'!$B$16)</f>
        <v>592973040</v>
      </c>
      <c r="E401" s="25" t="n">
        <f aca="false">A401/'Giả định'!$B$19*'Giả định'!$B$20+A401*'Giả định'!$B$23+'Giả định'!$B$24</f>
        <v>147418487.394958</v>
      </c>
      <c r="F401" s="25" t="n">
        <f aca="false">E401-D401</f>
        <v>-445554552.605042</v>
      </c>
      <c r="G401" s="25" t="n">
        <f aca="false">E401-C401</f>
        <v>-301949552.605042</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449404780</v>
      </c>
      <c r="D402" s="25" t="n">
        <f aca="false">('Chi phí'!$C$77+'Chi phí'!$D$77*B402+'Chi phí'!$E$77*A402+'Giả định'!$B$15*('Chi phí'!$F$77+'Chi phí'!$G$77*B402+'Chi phí'!$H$77*A402))*(1+'Giả định'!$B$16)</f>
        <v>593009780</v>
      </c>
      <c r="E402" s="25" t="n">
        <f aca="false">A402/'Giả định'!$B$19*'Giả định'!$B$20+A402*'Giả định'!$B$23+'Giả định'!$B$24</f>
        <v>147790756.302521</v>
      </c>
      <c r="F402" s="25" t="n">
        <f aca="false">E402-D402</f>
        <v>-445219023.697479</v>
      </c>
      <c r="G402" s="25" t="n">
        <f aca="false">E402-C402</f>
        <v>-301614023.697479</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449441520</v>
      </c>
      <c r="D403" s="25" t="n">
        <f aca="false">('Chi phí'!$C$77+'Chi phí'!$D$77*B403+'Chi phí'!$E$77*A403+'Giả định'!$B$15*('Chi phí'!$F$77+'Chi phí'!$G$77*B403+'Chi phí'!$H$77*A403))*(1+'Giả định'!$B$16)</f>
        <v>593046520</v>
      </c>
      <c r="E403" s="25" t="n">
        <f aca="false">A403/'Giả định'!$B$19*'Giả định'!$B$20+A403*'Giả định'!$B$23+'Giả định'!$B$24</f>
        <v>148163025.210084</v>
      </c>
      <c r="F403" s="25" t="n">
        <f aca="false">E403-D403</f>
        <v>-444883494.789916</v>
      </c>
      <c r="G403" s="25" t="n">
        <f aca="false">E403-C403</f>
        <v>-301278494.789916</v>
      </c>
      <c r="H403" s="7" t="str">
        <f aca="false">IF(F403&gt;=0,A403,"")</f>
        <v/>
      </c>
      <c r="I403" s="7" t="n">
        <f aca="false">IF(F403&lt;0,A403,0)</f>
        <v>398</v>
      </c>
      <c r="J403" s="7" t="str">
        <f aca="false">IF(G403&gt;=0,A403,"")</f>
        <v/>
      </c>
      <c r="K403" s="7" t="n">
        <f aca="false">IF(G403&lt;0,A403,0)</f>
        <v>398</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449478260</v>
      </c>
      <c r="D404" s="25" t="n">
        <f aca="false">('Chi phí'!$C$77+'Chi phí'!$D$77*B404+'Chi phí'!$E$77*A404+'Giả định'!$B$15*('Chi phí'!$F$77+'Chi phí'!$G$77*B404+'Chi phí'!$H$77*A404))*(1+'Giả định'!$B$16)</f>
        <v>593083260</v>
      </c>
      <c r="E404" s="25" t="n">
        <f aca="false">A404/'Giả định'!$B$19*'Giả định'!$B$20+A404*'Giả định'!$B$23+'Giả định'!$B$24</f>
        <v>148535294.117647</v>
      </c>
      <c r="F404" s="25" t="n">
        <f aca="false">E404-D404</f>
        <v>-444547965.882353</v>
      </c>
      <c r="G404" s="25" t="n">
        <f aca="false">E404-C404</f>
        <v>-300942965.882353</v>
      </c>
      <c r="H404" s="7" t="str">
        <f aca="false">IF(F404&gt;=0,A404,"")</f>
        <v/>
      </c>
      <c r="I404" s="7" t="n">
        <f aca="false">IF(F404&lt;0,A404,0)</f>
        <v>399</v>
      </c>
      <c r="J404" s="7" t="str">
        <f aca="false">IF(G404&gt;=0,A404,"")</f>
        <v/>
      </c>
      <c r="K404" s="7" t="n">
        <f aca="false">IF(G404&lt;0,A404,0)</f>
        <v>399</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449515000</v>
      </c>
      <c r="D405" s="25" t="n">
        <f aca="false">('Chi phí'!$C$77+'Chi phí'!$D$77*B405+'Chi phí'!$E$77*A405+'Giả định'!$B$15*('Chi phí'!$F$77+'Chi phí'!$G$77*B405+'Chi phí'!$H$77*A405))*(1+'Giả định'!$B$16)</f>
        <v>593120000</v>
      </c>
      <c r="E405" s="25" t="n">
        <f aca="false">A405/'Giả định'!$B$19*'Giả định'!$B$20+A405*'Giả định'!$B$23+'Giả định'!$B$24</f>
        <v>148907563.02521</v>
      </c>
      <c r="F405" s="25" t="n">
        <f aca="false">E405-D405</f>
        <v>-444212436.97479</v>
      </c>
      <c r="G405" s="25" t="n">
        <f aca="false">E405-C405</f>
        <v>-300607436.97479</v>
      </c>
      <c r="H405" s="7" t="str">
        <f aca="false">IF(F405&gt;=0,A405,"")</f>
        <v/>
      </c>
      <c r="I405" s="7" t="n">
        <f aca="false">IF(F405&lt;0,A405,0)</f>
        <v>400</v>
      </c>
      <c r="J405" s="7" t="str">
        <f aca="false">IF(G405&gt;=0,A405,"")</f>
        <v/>
      </c>
      <c r="K405" s="7" t="n">
        <f aca="false">IF(G405&lt;0,A405,0)</f>
        <v>400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458725740</v>
      </c>
      <c r="D406" s="25" t="n">
        <f aca="false">('Chi phí'!$C$77+'Chi phí'!$D$77*B406+'Chi phí'!$E$77*A406+'Giả định'!$B$15*('Chi phí'!$F$77+'Chi phí'!$G$77*B406+'Chi phí'!$H$77*A406))*(1+'Giả định'!$B$16)</f>
        <v>602330740</v>
      </c>
      <c r="E406" s="25" t="n">
        <f aca="false">A406/'Giả định'!$B$19*'Giả định'!$B$20+A406*'Giả định'!$B$23+'Giả định'!$B$24</f>
        <v>149279831.932773</v>
      </c>
      <c r="F406" s="25" t="n">
        <f aca="false">E406-D406</f>
        <v>-453050908.067227</v>
      </c>
      <c r="G406" s="25" t="n">
        <f aca="false">E406-C406</f>
        <v>-309445908.067227</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458762480</v>
      </c>
      <c r="D407" s="25" t="n">
        <f aca="false">('Chi phí'!$C$77+'Chi phí'!$D$77*B407+'Chi phí'!$E$77*A407+'Giả định'!$B$15*('Chi phí'!$F$77+'Chi phí'!$G$77*B407+'Chi phí'!$H$77*A407))*(1+'Giả định'!$B$16)</f>
        <v>602367480</v>
      </c>
      <c r="E407" s="25" t="n">
        <f aca="false">A407/'Giả định'!$B$19*'Giả định'!$B$20+A407*'Giả định'!$B$23+'Giả định'!$B$24</f>
        <v>149652100.840336</v>
      </c>
      <c r="F407" s="25" t="n">
        <f aca="false">E407-D407</f>
        <v>-452715379.159664</v>
      </c>
      <c r="G407" s="25" t="n">
        <f aca="false">E407-C407</f>
        <v>-309110379.159664</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458799220</v>
      </c>
      <c r="D408" s="25" t="n">
        <f aca="false">('Chi phí'!$C$77+'Chi phí'!$D$77*B408+'Chi phí'!$E$77*A408+'Giả định'!$B$15*('Chi phí'!$F$77+'Chi phí'!$G$77*B408+'Chi phí'!$H$77*A408))*(1+'Giả định'!$B$16)</f>
        <v>602404220</v>
      </c>
      <c r="E408" s="25" t="n">
        <f aca="false">A408/'Giả định'!$B$19*'Giả định'!$B$20+A408*'Giả định'!$B$23+'Giả định'!$B$24</f>
        <v>150024369.747899</v>
      </c>
      <c r="F408" s="25" t="n">
        <f aca="false">E408-D408</f>
        <v>-452379850.252101</v>
      </c>
      <c r="G408" s="25" t="n">
        <f aca="false">E408-C408</f>
        <v>-308774850.252101</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458835960</v>
      </c>
      <c r="D409" s="25" t="n">
        <f aca="false">('Chi phí'!$C$77+'Chi phí'!$D$77*B409+'Chi phí'!$E$77*A409+'Giả định'!$B$15*('Chi phí'!$F$77+'Chi phí'!$G$77*B409+'Chi phí'!$H$77*A409))*(1+'Giả định'!$B$16)</f>
        <v>602440960</v>
      </c>
      <c r="E409" s="25" t="n">
        <f aca="false">A409/'Giả định'!$B$19*'Giả định'!$B$20+A409*'Giả định'!$B$23+'Giả định'!$B$24</f>
        <v>150396638.655462</v>
      </c>
      <c r="F409" s="25" t="n">
        <f aca="false">E409-D409</f>
        <v>-452044321.344538</v>
      </c>
      <c r="G409" s="25" t="n">
        <f aca="false">E409-C409</f>
        <v>-308439321.344538</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458872700</v>
      </c>
      <c r="D410" s="25" t="n">
        <f aca="false">('Chi phí'!$C$77+'Chi phí'!$D$77*B410+'Chi phí'!$E$77*A410+'Giả định'!$B$15*('Chi phí'!$F$77+'Chi phí'!$G$77*B410+'Chi phí'!$H$77*A410))*(1+'Giả định'!$B$16)</f>
        <v>602477700</v>
      </c>
      <c r="E410" s="25" t="n">
        <f aca="false">A410/'Giả định'!$B$19*'Giả định'!$B$20+A410*'Giả định'!$B$23+'Giả định'!$B$24</f>
        <v>150768907.563025</v>
      </c>
      <c r="F410" s="25" t="n">
        <f aca="false">E410-D410</f>
        <v>-451708792.436975</v>
      </c>
      <c r="G410" s="25" t="n">
        <f aca="false">E410-C410</f>
        <v>-308103792.436975</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458909440</v>
      </c>
      <c r="D411" s="25" t="n">
        <f aca="false">('Chi phí'!$C$77+'Chi phí'!$D$77*B411+'Chi phí'!$E$77*A411+'Giả định'!$B$15*('Chi phí'!$F$77+'Chi phí'!$G$77*B411+'Chi phí'!$H$77*A411))*(1+'Giả định'!$B$16)</f>
        <v>602514440</v>
      </c>
      <c r="E411" s="25" t="n">
        <f aca="false">A411/'Giả định'!$B$19*'Giả định'!$B$20+A411*'Giả định'!$B$23+'Giả định'!$B$24</f>
        <v>151141176.470588</v>
      </c>
      <c r="F411" s="25" t="n">
        <f aca="false">E411-D411</f>
        <v>-451373263.529412</v>
      </c>
      <c r="G411" s="25" t="n">
        <f aca="false">E411-C411</f>
        <v>-307768263.529412</v>
      </c>
      <c r="H411" s="7" t="str">
        <f aca="false">IF(F411&gt;=0,A411,"")</f>
        <v/>
      </c>
      <c r="I411" s="7" t="n">
        <f aca="false">IF(F411&lt;0,A411,0)</f>
        <v>406</v>
      </c>
      <c r="J411" s="7" t="str">
        <f aca="false">IF(G411&gt;=0,A411,"")</f>
        <v/>
      </c>
      <c r="K411" s="7" t="n">
        <f aca="false">IF(G411&lt;0,A411,0)</f>
        <v>406</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458946180</v>
      </c>
      <c r="D412" s="25" t="n">
        <f aca="false">('Chi phí'!$C$77+'Chi phí'!$D$77*B412+'Chi phí'!$E$77*A412+'Giả định'!$B$15*('Chi phí'!$F$77+'Chi phí'!$G$77*B412+'Chi phí'!$H$77*A412))*(1+'Giả định'!$B$16)</f>
        <v>602551180</v>
      </c>
      <c r="E412" s="25" t="n">
        <f aca="false">A412/'Giả định'!$B$19*'Giả định'!$B$20+A412*'Giả định'!$B$23+'Giả định'!$B$24</f>
        <v>151513445.378151</v>
      </c>
      <c r="F412" s="25" t="n">
        <f aca="false">E412-D412</f>
        <v>-451037734.621849</v>
      </c>
      <c r="G412" s="25" t="n">
        <f aca="false">E412-C412</f>
        <v>-307432734.621849</v>
      </c>
      <c r="H412" s="7" t="str">
        <f aca="false">IF(F412&gt;=0,A412,"")</f>
        <v/>
      </c>
      <c r="I412" s="7" t="n">
        <f aca="false">IF(F412&lt;0,A412,0)</f>
        <v>407</v>
      </c>
      <c r="J412" s="7" t="str">
        <f aca="false">IF(G412&gt;=0,A412,"")</f>
        <v/>
      </c>
      <c r="K412" s="7" t="n">
        <f aca="false">IF(G412&lt;0,A412,0)</f>
        <v>407</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458982920</v>
      </c>
      <c r="D413" s="25" t="n">
        <f aca="false">('Chi phí'!$C$77+'Chi phí'!$D$77*B413+'Chi phí'!$E$77*A413+'Giả định'!$B$15*('Chi phí'!$F$77+'Chi phí'!$G$77*B413+'Chi phí'!$H$77*A413))*(1+'Giả định'!$B$16)</f>
        <v>602587920</v>
      </c>
      <c r="E413" s="25" t="n">
        <f aca="false">A413/'Giả định'!$B$19*'Giả định'!$B$20+A413*'Giả định'!$B$23+'Giả định'!$B$24</f>
        <v>151885714.285714</v>
      </c>
      <c r="F413" s="25" t="n">
        <f aca="false">E413-D413</f>
        <v>-450702205.714286</v>
      </c>
      <c r="G413" s="25" t="n">
        <f aca="false">E413-C413</f>
        <v>-307097205.714286</v>
      </c>
      <c r="H413" s="7" t="str">
        <f aca="false">IF(F413&gt;=0,A413,"")</f>
        <v/>
      </c>
      <c r="I413" s="7" t="n">
        <f aca="false">IF(F413&lt;0,A413,0)</f>
        <v>408</v>
      </c>
      <c r="J413" s="7" t="str">
        <f aca="false">IF(G413&gt;=0,A413,"")</f>
        <v/>
      </c>
      <c r="K413" s="7" t="n">
        <f aca="false">IF(G413&lt;0,A413,0)</f>
        <v>408</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459019660</v>
      </c>
      <c r="D414" s="25" t="n">
        <f aca="false">('Chi phí'!$C$77+'Chi phí'!$D$77*B414+'Chi phí'!$E$77*A414+'Giả định'!$B$15*('Chi phí'!$F$77+'Chi phí'!$G$77*B414+'Chi phí'!$H$77*A414))*(1+'Giả định'!$B$16)</f>
        <v>602624660</v>
      </c>
      <c r="E414" s="25" t="n">
        <f aca="false">A414/'Giả định'!$B$19*'Giả định'!$B$20+A414*'Giả định'!$B$23+'Giả định'!$B$24</f>
        <v>152257983.193277</v>
      </c>
      <c r="F414" s="25" t="n">
        <f aca="false">E414-D414</f>
        <v>-450366676.806723</v>
      </c>
      <c r="G414" s="25" t="n">
        <f aca="false">E414-C414</f>
        <v>-306761676.806723</v>
      </c>
      <c r="H414" s="7" t="str">
        <f aca="false">IF(F414&gt;=0,A414,"")</f>
        <v/>
      </c>
      <c r="I414" s="7" t="n">
        <f aca="false">IF(F414&lt;0,A414,0)</f>
        <v>409</v>
      </c>
      <c r="J414" s="7" t="str">
        <f aca="false">IF(G414&gt;=0,A414,"")</f>
        <v/>
      </c>
      <c r="K414" s="7" t="n">
        <f aca="false">IF(G414&lt;0,A414,0)</f>
        <v>409</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459056400</v>
      </c>
      <c r="D415" s="25" t="n">
        <f aca="false">('Chi phí'!$C$77+'Chi phí'!$D$77*B415+'Chi phí'!$E$77*A415+'Giả định'!$B$15*('Chi phí'!$F$77+'Chi phí'!$G$77*B415+'Chi phí'!$H$77*A415))*(1+'Giả định'!$B$16)</f>
        <v>602661400</v>
      </c>
      <c r="E415" s="25" t="n">
        <f aca="false">A415/'Giả định'!$B$19*'Giả định'!$B$20+A415*'Giả định'!$B$23+'Giả định'!$B$24</f>
        <v>152630252.10084</v>
      </c>
      <c r="F415" s="25" t="n">
        <f aca="false">E415-D415</f>
        <v>-450031147.89916</v>
      </c>
      <c r="G415" s="25" t="n">
        <f aca="false">E415-C415</f>
        <v>-306426147.89916</v>
      </c>
      <c r="H415" s="7" t="str">
        <f aca="false">IF(F415&gt;=0,A415,"")</f>
        <v/>
      </c>
      <c r="I415" s="7" t="n">
        <f aca="false">IF(F415&lt;0,A415,0)</f>
        <v>410</v>
      </c>
      <c r="J415" s="7" t="str">
        <f aca="false">IF(G415&gt;=0,A415,"")</f>
        <v/>
      </c>
      <c r="K415" s="7" t="n">
        <f aca="false">IF(G415&lt;0,A415,0)</f>
        <v>410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468267140</v>
      </c>
      <c r="D416" s="25" t="n">
        <f aca="false">('Chi phí'!$C$77+'Chi phí'!$D$77*B416+'Chi phí'!$E$77*A416+'Giả định'!$B$15*('Chi phí'!$F$77+'Chi phí'!$G$77*B416+'Chi phí'!$H$77*A416))*(1+'Giả định'!$B$16)</f>
        <v>611872140</v>
      </c>
      <c r="E416" s="25" t="n">
        <f aca="false">A416/'Giả định'!$B$19*'Giả định'!$B$20+A416*'Giả định'!$B$23+'Giả định'!$B$24</f>
        <v>153002521.008403</v>
      </c>
      <c r="F416" s="25" t="n">
        <f aca="false">E416-D416</f>
        <v>-458869618.991597</v>
      </c>
      <c r="G416" s="25" t="n">
        <f aca="false">E416-C416</f>
        <v>-315264618.991597</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468303880</v>
      </c>
      <c r="D417" s="25" t="n">
        <f aca="false">('Chi phí'!$C$77+'Chi phí'!$D$77*B417+'Chi phí'!$E$77*A417+'Giả định'!$B$15*('Chi phí'!$F$77+'Chi phí'!$G$77*B417+'Chi phí'!$H$77*A417))*(1+'Giả định'!$B$16)</f>
        <v>611908880</v>
      </c>
      <c r="E417" s="25" t="n">
        <f aca="false">A417/'Giả định'!$B$19*'Giả định'!$B$20+A417*'Giả định'!$B$23+'Giả định'!$B$24</f>
        <v>153374789.915966</v>
      </c>
      <c r="F417" s="25" t="n">
        <f aca="false">E417-D417</f>
        <v>-458534090.084034</v>
      </c>
      <c r="G417" s="25" t="n">
        <f aca="false">E417-C417</f>
        <v>-314929090.084034</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468340620</v>
      </c>
      <c r="D418" s="25" t="n">
        <f aca="false">('Chi phí'!$C$77+'Chi phí'!$D$77*B418+'Chi phí'!$E$77*A418+'Giả định'!$B$15*('Chi phí'!$F$77+'Chi phí'!$G$77*B418+'Chi phí'!$H$77*A418))*(1+'Giả định'!$B$16)</f>
        <v>611945620</v>
      </c>
      <c r="E418" s="25" t="n">
        <f aca="false">A418/'Giả định'!$B$19*'Giả định'!$B$20+A418*'Giả định'!$B$23+'Giả định'!$B$24</f>
        <v>153747058.823529</v>
      </c>
      <c r="F418" s="25" t="n">
        <f aca="false">E418-D418</f>
        <v>-458198561.176471</v>
      </c>
      <c r="G418" s="25" t="n">
        <f aca="false">E418-C418</f>
        <v>-314593561.176471</v>
      </c>
      <c r="H418" s="7" t="str">
        <f aca="false">IF(F418&gt;=0,A418,"")</f>
        <v/>
      </c>
      <c r="I418" s="7" t="n">
        <f aca="false">IF(F418&lt;0,A418,0)</f>
        <v>413</v>
      </c>
      <c r="J418" s="7" t="str">
        <f aca="false">IF(G418&gt;=0,A418,"")</f>
        <v/>
      </c>
      <c r="K418" s="7" t="n">
        <f aca="false">IF(G418&lt;0,A418,0)</f>
        <v>413</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468377360</v>
      </c>
      <c r="D419" s="25" t="n">
        <f aca="false">('Chi phí'!$C$77+'Chi phí'!$D$77*B419+'Chi phí'!$E$77*A419+'Giả định'!$B$15*('Chi phí'!$F$77+'Chi phí'!$G$77*B419+'Chi phí'!$H$77*A419))*(1+'Giả định'!$B$16)</f>
        <v>611982360</v>
      </c>
      <c r="E419" s="25" t="n">
        <f aca="false">A419/'Giả định'!$B$19*'Giả định'!$B$20+A419*'Giả định'!$B$23+'Giả định'!$B$24</f>
        <v>154119327.731092</v>
      </c>
      <c r="F419" s="25" t="n">
        <f aca="false">E419-D419</f>
        <v>-457863032.268908</v>
      </c>
      <c r="G419" s="25" t="n">
        <f aca="false">E419-C419</f>
        <v>-314258032.268908</v>
      </c>
      <c r="H419" s="7" t="str">
        <f aca="false">IF(F419&gt;=0,A419,"")</f>
        <v/>
      </c>
      <c r="I419" s="7" t="n">
        <f aca="false">IF(F419&lt;0,A419,0)</f>
        <v>414</v>
      </c>
      <c r="J419" s="7" t="str">
        <f aca="false">IF(G419&gt;=0,A419,"")</f>
        <v/>
      </c>
      <c r="K419" s="7" t="n">
        <f aca="false">IF(G419&lt;0,A419,0)</f>
        <v>414</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468414100</v>
      </c>
      <c r="D420" s="25" t="n">
        <f aca="false">('Chi phí'!$C$77+'Chi phí'!$D$77*B420+'Chi phí'!$E$77*A420+'Giả định'!$B$15*('Chi phí'!$F$77+'Chi phí'!$G$77*B420+'Chi phí'!$H$77*A420))*(1+'Giả định'!$B$16)</f>
        <v>612019100</v>
      </c>
      <c r="E420" s="25" t="n">
        <f aca="false">A420/'Giả định'!$B$19*'Giả định'!$B$20+A420*'Giả định'!$B$23+'Giả định'!$B$24</f>
        <v>154491596.638655</v>
      </c>
      <c r="F420" s="25" t="n">
        <f aca="false">E420-D420</f>
        <v>-457527503.361345</v>
      </c>
      <c r="G420" s="25" t="n">
        <f aca="false">E420-C420</f>
        <v>-313922503.361345</v>
      </c>
      <c r="H420" s="7" t="str">
        <f aca="false">IF(F420&gt;=0,A420,"")</f>
        <v/>
      </c>
      <c r="I420" s="7" t="n">
        <f aca="false">IF(F420&lt;0,A420,0)</f>
        <v>415</v>
      </c>
      <c r="J420" s="7" t="str">
        <f aca="false">IF(G420&gt;=0,A420,"")</f>
        <v/>
      </c>
      <c r="K420" s="7" t="n">
        <f aca="false">IF(G420&lt;0,A420,0)</f>
        <v>415</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468450840</v>
      </c>
      <c r="D421" s="25" t="n">
        <f aca="false">('Chi phí'!$C$77+'Chi phí'!$D$77*B421+'Chi phí'!$E$77*A421+'Giả định'!$B$15*('Chi phí'!$F$77+'Chi phí'!$G$77*B421+'Chi phí'!$H$77*A421))*(1+'Giả định'!$B$16)</f>
        <v>612055840</v>
      </c>
      <c r="E421" s="25" t="n">
        <f aca="false">A421/'Giả định'!$B$19*'Giả định'!$B$20+A421*'Giả định'!$B$23+'Giả định'!$B$24</f>
        <v>154863865.546219</v>
      </c>
      <c r="F421" s="25" t="n">
        <f aca="false">E421-D421</f>
        <v>-457191974.453782</v>
      </c>
      <c r="G421" s="25" t="n">
        <f aca="false">E421-C421</f>
        <v>-313586974.453782</v>
      </c>
      <c r="H421" s="7" t="str">
        <f aca="false">IF(F421&gt;=0,A421,"")</f>
        <v/>
      </c>
      <c r="I421" s="7" t="n">
        <f aca="false">IF(F421&lt;0,A421,0)</f>
        <v>416</v>
      </c>
      <c r="J421" s="7" t="str">
        <f aca="false">IF(G421&gt;=0,A421,"")</f>
        <v/>
      </c>
      <c r="K421" s="7" t="n">
        <f aca="false">IF(G421&lt;0,A421,0)</f>
        <v>416</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468487580</v>
      </c>
      <c r="D422" s="25" t="n">
        <f aca="false">('Chi phí'!$C$77+'Chi phí'!$D$77*B422+'Chi phí'!$E$77*A422+'Giả định'!$B$15*('Chi phí'!$F$77+'Chi phí'!$G$77*B422+'Chi phí'!$H$77*A422))*(1+'Giả định'!$B$16)</f>
        <v>612092580</v>
      </c>
      <c r="E422" s="25" t="n">
        <f aca="false">A422/'Giả định'!$B$19*'Giả định'!$B$20+A422*'Giả định'!$B$23+'Giả định'!$B$24</f>
        <v>155236134.453782</v>
      </c>
      <c r="F422" s="25" t="n">
        <f aca="false">E422-D422</f>
        <v>-456856445.546219</v>
      </c>
      <c r="G422" s="25" t="n">
        <f aca="false">E422-C422</f>
        <v>-313251445.546219</v>
      </c>
      <c r="H422" s="7" t="str">
        <f aca="false">IF(F422&gt;=0,A422,"")</f>
        <v/>
      </c>
      <c r="I422" s="7" t="n">
        <f aca="false">IF(F422&lt;0,A422,0)</f>
        <v>417</v>
      </c>
      <c r="J422" s="7" t="str">
        <f aca="false">IF(G422&gt;=0,A422,"")</f>
        <v/>
      </c>
      <c r="K422" s="7" t="n">
        <f aca="false">IF(G422&lt;0,A422,0)</f>
        <v>417</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468524320</v>
      </c>
      <c r="D423" s="25" t="n">
        <f aca="false">('Chi phí'!$C$77+'Chi phí'!$D$77*B423+'Chi phí'!$E$77*A423+'Giả định'!$B$15*('Chi phí'!$F$77+'Chi phí'!$G$77*B423+'Chi phí'!$H$77*A423))*(1+'Giả định'!$B$16)</f>
        <v>612129320</v>
      </c>
      <c r="E423" s="25" t="n">
        <f aca="false">A423/'Giả định'!$B$19*'Giả định'!$B$20+A423*'Giả định'!$B$23+'Giả định'!$B$24</f>
        <v>155608403.361345</v>
      </c>
      <c r="F423" s="25" t="n">
        <f aca="false">E423-D423</f>
        <v>-456520916.638655</v>
      </c>
      <c r="G423" s="25" t="n">
        <f aca="false">E423-C423</f>
        <v>-312915916.638656</v>
      </c>
      <c r="H423" s="7" t="str">
        <f aca="false">IF(F423&gt;=0,A423,"")</f>
        <v/>
      </c>
      <c r="I423" s="7" t="n">
        <f aca="false">IF(F423&lt;0,A423,0)</f>
        <v>418</v>
      </c>
      <c r="J423" s="7" t="str">
        <f aca="false">IF(G423&gt;=0,A423,"")</f>
        <v/>
      </c>
      <c r="K423" s="7" t="n">
        <f aca="false">IF(G423&lt;0,A423,0)</f>
        <v>418</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468561060</v>
      </c>
      <c r="D424" s="25" t="n">
        <f aca="false">('Chi phí'!$C$77+'Chi phí'!$D$77*B424+'Chi phí'!$E$77*A424+'Giả định'!$B$15*('Chi phí'!$F$77+'Chi phí'!$G$77*B424+'Chi phí'!$H$77*A424))*(1+'Giả định'!$B$16)</f>
        <v>612166060</v>
      </c>
      <c r="E424" s="25" t="n">
        <f aca="false">A424/'Giả định'!$B$19*'Giả định'!$B$20+A424*'Giả định'!$B$23+'Giả định'!$B$24</f>
        <v>155980672.268908</v>
      </c>
      <c r="F424" s="25" t="n">
        <f aca="false">E424-D424</f>
        <v>-456185387.731092</v>
      </c>
      <c r="G424" s="25" t="n">
        <f aca="false">E424-C424</f>
        <v>-312580387.731093</v>
      </c>
      <c r="H424" s="7" t="str">
        <f aca="false">IF(F424&gt;=0,A424,"")</f>
        <v/>
      </c>
      <c r="I424" s="7" t="n">
        <f aca="false">IF(F424&lt;0,A424,0)</f>
        <v>419</v>
      </c>
      <c r="J424" s="7" t="str">
        <f aca="false">IF(G424&gt;=0,A424,"")</f>
        <v/>
      </c>
      <c r="K424" s="7" t="n">
        <f aca="false">IF(G424&lt;0,A424,0)</f>
        <v>419</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468597800</v>
      </c>
      <c r="D425" s="25" t="n">
        <f aca="false">('Chi phí'!$C$77+'Chi phí'!$D$77*B425+'Chi phí'!$E$77*A425+'Giả định'!$B$15*('Chi phí'!$F$77+'Chi phí'!$G$77*B425+'Chi phí'!$H$77*A425))*(1+'Giả định'!$B$16)</f>
        <v>612202800</v>
      </c>
      <c r="E425" s="25" t="n">
        <f aca="false">A425/'Giả định'!$B$19*'Giả định'!$B$20+A425*'Giả định'!$B$23+'Giả định'!$B$24</f>
        <v>156352941.176471</v>
      </c>
      <c r="F425" s="25" t="n">
        <f aca="false">E425-D425</f>
        <v>-455849858.823529</v>
      </c>
      <c r="G425" s="25" t="n">
        <f aca="false">E425-C425</f>
        <v>-312244858.82353</v>
      </c>
      <c r="H425" s="7" t="str">
        <f aca="false">IF(F425&gt;=0,A425,"")</f>
        <v/>
      </c>
      <c r="I425" s="7" t="n">
        <f aca="false">IF(F425&lt;0,A425,0)</f>
        <v>420</v>
      </c>
      <c r="J425" s="7" t="str">
        <f aca="false">IF(G425&gt;=0,A425,"")</f>
        <v/>
      </c>
      <c r="K425" s="7" t="n">
        <f aca="false">IF(G425&lt;0,A425,0)</f>
        <v>420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477808540</v>
      </c>
      <c r="D426" s="25" t="n">
        <f aca="false">('Chi phí'!$C$77+'Chi phí'!$D$77*B426+'Chi phí'!$E$77*A426+'Giả định'!$B$15*('Chi phí'!$F$77+'Chi phí'!$G$77*B426+'Chi phí'!$H$77*A426))*(1+'Giả định'!$B$16)</f>
        <v>621413540</v>
      </c>
      <c r="E426" s="25" t="n">
        <f aca="false">A426/'Giả định'!$B$19*'Giả định'!$B$20+A426*'Giả định'!$B$23+'Giả định'!$B$24</f>
        <v>156725210.084034</v>
      </c>
      <c r="F426" s="25" t="n">
        <f aca="false">E426-D426</f>
        <v>-464688329.915966</v>
      </c>
      <c r="G426" s="25" t="n">
        <f aca="false">E426-C426</f>
        <v>-321083329.915966</v>
      </c>
      <c r="H426" s="7" t="str">
        <f aca="false">IF(F426&gt;=0,A426,"")</f>
        <v/>
      </c>
      <c r="I426" s="7" t="n">
        <f aca="false">IF(F426&lt;0,A426,0)</f>
        <v>421</v>
      </c>
      <c r="J426" s="7" t="str">
        <f aca="false">IF(G426&gt;=0,A426,"")</f>
        <v/>
      </c>
      <c r="K426" s="7" t="n">
        <f aca="false">IF(G426&lt;0,A426,0)</f>
        <v>421</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477845280</v>
      </c>
      <c r="D427" s="25" t="n">
        <f aca="false">('Chi phí'!$C$77+'Chi phí'!$D$77*B427+'Chi phí'!$E$77*A427+'Giả định'!$B$15*('Chi phí'!$F$77+'Chi phí'!$G$77*B427+'Chi phí'!$H$77*A427))*(1+'Giả định'!$B$16)</f>
        <v>621450280</v>
      </c>
      <c r="E427" s="25" t="n">
        <f aca="false">A427/'Giả định'!$B$19*'Giả định'!$B$20+A427*'Giả định'!$B$23+'Giả định'!$B$24</f>
        <v>157097478.991597</v>
      </c>
      <c r="F427" s="25" t="n">
        <f aca="false">E427-D427</f>
        <v>-464352801.008403</v>
      </c>
      <c r="G427" s="25" t="n">
        <f aca="false">E427-C427</f>
        <v>-320747801.008403</v>
      </c>
      <c r="H427" s="7" t="str">
        <f aca="false">IF(F427&gt;=0,A427,"")</f>
        <v/>
      </c>
      <c r="I427" s="7" t="n">
        <f aca="false">IF(F427&lt;0,A427,0)</f>
        <v>422</v>
      </c>
      <c r="J427" s="7" t="str">
        <f aca="false">IF(G427&gt;=0,A427,"")</f>
        <v/>
      </c>
      <c r="K427" s="7" t="n">
        <f aca="false">IF(G427&lt;0,A427,0)</f>
        <v>422</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477882020</v>
      </c>
      <c r="D428" s="25" t="n">
        <f aca="false">('Chi phí'!$C$77+'Chi phí'!$D$77*B428+'Chi phí'!$E$77*A428+'Giả định'!$B$15*('Chi phí'!$F$77+'Chi phí'!$G$77*B428+'Chi phí'!$H$77*A428))*(1+'Giả định'!$B$16)</f>
        <v>621487020</v>
      </c>
      <c r="E428" s="25" t="n">
        <f aca="false">A428/'Giả định'!$B$19*'Giả định'!$B$20+A428*'Giả định'!$B$23+'Giả định'!$B$24</f>
        <v>157469747.89916</v>
      </c>
      <c r="F428" s="25" t="n">
        <f aca="false">E428-D428</f>
        <v>-464017272.10084</v>
      </c>
      <c r="G428" s="25" t="n">
        <f aca="false">E428-C428</f>
        <v>-320412272.10084</v>
      </c>
      <c r="H428" s="7" t="str">
        <f aca="false">IF(F428&gt;=0,A428,"")</f>
        <v/>
      </c>
      <c r="I428" s="7" t="n">
        <f aca="false">IF(F428&lt;0,A428,0)</f>
        <v>423</v>
      </c>
      <c r="J428" s="7" t="str">
        <f aca="false">IF(G428&gt;=0,A428,"")</f>
        <v/>
      </c>
      <c r="K428" s="7" t="n">
        <f aca="false">IF(G428&lt;0,A428,0)</f>
        <v>423</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477918760</v>
      </c>
      <c r="D429" s="25" t="n">
        <f aca="false">('Chi phí'!$C$77+'Chi phí'!$D$77*B429+'Chi phí'!$E$77*A429+'Giả định'!$B$15*('Chi phí'!$F$77+'Chi phí'!$G$77*B429+'Chi phí'!$H$77*A429))*(1+'Giả định'!$B$16)</f>
        <v>621523760</v>
      </c>
      <c r="E429" s="25" t="n">
        <f aca="false">A429/'Giả định'!$B$19*'Giả định'!$B$20+A429*'Giả định'!$B$23+'Giả định'!$B$24</f>
        <v>157842016.806723</v>
      </c>
      <c r="F429" s="25" t="n">
        <f aca="false">E429-D429</f>
        <v>-463681743.193277</v>
      </c>
      <c r="G429" s="25" t="n">
        <f aca="false">E429-C429</f>
        <v>-320076743.193277</v>
      </c>
      <c r="H429" s="7" t="str">
        <f aca="false">IF(F429&gt;=0,A429,"")</f>
        <v/>
      </c>
      <c r="I429" s="7" t="n">
        <f aca="false">IF(F429&lt;0,A429,0)</f>
        <v>424</v>
      </c>
      <c r="J429" s="7" t="str">
        <f aca="false">IF(G429&gt;=0,A429,"")</f>
        <v/>
      </c>
      <c r="K429" s="7" t="n">
        <f aca="false">IF(G429&lt;0,A429,0)</f>
        <v>424</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477955500</v>
      </c>
      <c r="D430" s="25" t="n">
        <f aca="false">('Chi phí'!$C$77+'Chi phí'!$D$77*B430+'Chi phí'!$E$77*A430+'Giả định'!$B$15*('Chi phí'!$F$77+'Chi phí'!$G$77*B430+'Chi phí'!$H$77*A430))*(1+'Giả định'!$B$16)</f>
        <v>621560500</v>
      </c>
      <c r="E430" s="25" t="n">
        <f aca="false">A430/'Giả định'!$B$19*'Giả định'!$B$20+A430*'Giả định'!$B$23+'Giả định'!$B$24</f>
        <v>158214285.714286</v>
      </c>
      <c r="F430" s="25" t="n">
        <f aca="false">E430-D430</f>
        <v>-463346214.285714</v>
      </c>
      <c r="G430" s="25" t="n">
        <f aca="false">E430-C430</f>
        <v>-319741214.285714</v>
      </c>
      <c r="H430" s="7" t="str">
        <f aca="false">IF(F430&gt;=0,A430,"")</f>
        <v/>
      </c>
      <c r="I430" s="7" t="n">
        <f aca="false">IF(F430&lt;0,A430,0)</f>
        <v>425</v>
      </c>
      <c r="J430" s="7" t="str">
        <f aca="false">IF(G430&gt;=0,A430,"")</f>
        <v/>
      </c>
      <c r="K430" s="7" t="n">
        <f aca="false">IF(G430&lt;0,A430,0)</f>
        <v>425</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477992240</v>
      </c>
      <c r="D431" s="25" t="n">
        <f aca="false">('Chi phí'!$C$77+'Chi phí'!$D$77*B431+'Chi phí'!$E$77*A431+'Giả định'!$B$15*('Chi phí'!$F$77+'Chi phí'!$G$77*B431+'Chi phí'!$H$77*A431))*(1+'Giả định'!$B$16)</f>
        <v>621597240</v>
      </c>
      <c r="E431" s="25" t="n">
        <f aca="false">A431/'Giả định'!$B$19*'Giả định'!$B$20+A431*'Giả định'!$B$23+'Giả định'!$B$24</f>
        <v>158586554.621849</v>
      </c>
      <c r="F431" s="25" t="n">
        <f aca="false">E431-D431</f>
        <v>-463010685.378151</v>
      </c>
      <c r="G431" s="25" t="n">
        <f aca="false">E431-C431</f>
        <v>-319405685.378151</v>
      </c>
      <c r="H431" s="7" t="str">
        <f aca="false">IF(F431&gt;=0,A431,"")</f>
        <v/>
      </c>
      <c r="I431" s="7" t="n">
        <f aca="false">IF(F431&lt;0,A431,0)</f>
        <v>426</v>
      </c>
      <c r="J431" s="7" t="str">
        <f aca="false">IF(G431&gt;=0,A431,"")</f>
        <v/>
      </c>
      <c r="K431" s="7" t="n">
        <f aca="false">IF(G431&lt;0,A431,0)</f>
        <v>426</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478028980</v>
      </c>
      <c r="D432" s="25" t="n">
        <f aca="false">('Chi phí'!$C$77+'Chi phí'!$D$77*B432+'Chi phí'!$E$77*A432+'Giả định'!$B$15*('Chi phí'!$F$77+'Chi phí'!$G$77*B432+'Chi phí'!$H$77*A432))*(1+'Giả định'!$B$16)</f>
        <v>621633980</v>
      </c>
      <c r="E432" s="25" t="n">
        <f aca="false">A432/'Giả định'!$B$19*'Giả định'!$B$20+A432*'Giả định'!$B$23+'Giả định'!$B$24</f>
        <v>158958823.529412</v>
      </c>
      <c r="F432" s="25" t="n">
        <f aca="false">E432-D432</f>
        <v>-462675156.470588</v>
      </c>
      <c r="G432" s="25" t="n">
        <f aca="false">E432-C432</f>
        <v>-319070156.470588</v>
      </c>
      <c r="H432" s="7" t="str">
        <f aca="false">IF(F432&gt;=0,A432,"")</f>
        <v/>
      </c>
      <c r="I432" s="7" t="n">
        <f aca="false">IF(F432&lt;0,A432,0)</f>
        <v>427</v>
      </c>
      <c r="J432" s="7" t="str">
        <f aca="false">IF(G432&gt;=0,A432,"")</f>
        <v/>
      </c>
      <c r="K432" s="7" t="n">
        <f aca="false">IF(G432&lt;0,A432,0)</f>
        <v>427</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478065720</v>
      </c>
      <c r="D433" s="25" t="n">
        <f aca="false">('Chi phí'!$C$77+'Chi phí'!$D$77*B433+'Chi phí'!$E$77*A433+'Giả định'!$B$15*('Chi phí'!$F$77+'Chi phí'!$G$77*B433+'Chi phí'!$H$77*A433))*(1+'Giả định'!$B$16)</f>
        <v>621670720</v>
      </c>
      <c r="E433" s="25" t="n">
        <f aca="false">A433/'Giả định'!$B$19*'Giả định'!$B$20+A433*'Giả định'!$B$23+'Giả định'!$B$24</f>
        <v>159331092.436975</v>
      </c>
      <c r="F433" s="25" t="n">
        <f aca="false">E433-D433</f>
        <v>-462339627.563025</v>
      </c>
      <c r="G433" s="25" t="n">
        <f aca="false">E433-C433</f>
        <v>-318734627.563025</v>
      </c>
      <c r="H433" s="7" t="str">
        <f aca="false">IF(F433&gt;=0,A433,"")</f>
        <v/>
      </c>
      <c r="I433" s="7" t="n">
        <f aca="false">IF(F433&lt;0,A433,0)</f>
        <v>428</v>
      </c>
      <c r="J433" s="7" t="str">
        <f aca="false">IF(G433&gt;=0,A433,"")</f>
        <v/>
      </c>
      <c r="K433" s="7" t="n">
        <f aca="false">IF(G433&lt;0,A433,0)</f>
        <v>428</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478102460</v>
      </c>
      <c r="D434" s="25" t="n">
        <f aca="false">('Chi phí'!$C$77+'Chi phí'!$D$77*B434+'Chi phí'!$E$77*A434+'Giả định'!$B$15*('Chi phí'!$F$77+'Chi phí'!$G$77*B434+'Chi phí'!$H$77*A434))*(1+'Giả định'!$B$16)</f>
        <v>621707460</v>
      </c>
      <c r="E434" s="25" t="n">
        <f aca="false">A434/'Giả định'!$B$19*'Giả định'!$B$20+A434*'Giả định'!$B$23+'Giả định'!$B$24</f>
        <v>159703361.344538</v>
      </c>
      <c r="F434" s="25" t="n">
        <f aca="false">E434-D434</f>
        <v>-462004098.655462</v>
      </c>
      <c r="G434" s="25" t="n">
        <f aca="false">E434-C434</f>
        <v>-318399098.655462</v>
      </c>
      <c r="H434" s="7" t="str">
        <f aca="false">IF(F434&gt;=0,A434,"")</f>
        <v/>
      </c>
      <c r="I434" s="7" t="n">
        <f aca="false">IF(F434&lt;0,A434,0)</f>
        <v>429</v>
      </c>
      <c r="J434" s="7" t="str">
        <f aca="false">IF(G434&gt;=0,A434,"")</f>
        <v/>
      </c>
      <c r="K434" s="7" t="n">
        <f aca="false">IF(G434&lt;0,A434,0)</f>
        <v>429</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478139200</v>
      </c>
      <c r="D435" s="25" t="n">
        <f aca="false">('Chi phí'!$C$77+'Chi phí'!$D$77*B435+'Chi phí'!$E$77*A435+'Giả định'!$B$15*('Chi phí'!$F$77+'Chi phí'!$G$77*B435+'Chi phí'!$H$77*A435))*(1+'Giả định'!$B$16)</f>
        <v>621744200</v>
      </c>
      <c r="E435" s="25" t="n">
        <f aca="false">A435/'Giả định'!$B$19*'Giả định'!$B$20+A435*'Giả định'!$B$23+'Giả định'!$B$24</f>
        <v>160075630.252101</v>
      </c>
      <c r="F435" s="25" t="n">
        <f aca="false">E435-D435</f>
        <v>-461668569.747899</v>
      </c>
      <c r="G435" s="25" t="n">
        <f aca="false">E435-C435</f>
        <v>-318063569.747899</v>
      </c>
      <c r="H435" s="7" t="str">
        <f aca="false">IF(F435&gt;=0,A435,"")</f>
        <v/>
      </c>
      <c r="I435" s="7" t="n">
        <f aca="false">IF(F435&lt;0,A435,0)</f>
        <v>430</v>
      </c>
      <c r="J435" s="7" t="str">
        <f aca="false">IF(G435&gt;=0,A435,"")</f>
        <v/>
      </c>
      <c r="K435" s="7" t="n">
        <f aca="false">IF(G435&lt;0,A435,0)</f>
        <v>430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487349940</v>
      </c>
      <c r="D436" s="25" t="n">
        <f aca="false">('Chi phí'!$C$77+'Chi phí'!$D$77*B436+'Chi phí'!$E$77*A436+'Giả định'!$B$15*('Chi phí'!$F$77+'Chi phí'!$G$77*B436+'Chi phí'!$H$77*A436))*(1+'Giả định'!$B$16)</f>
        <v>630954940</v>
      </c>
      <c r="E436" s="25" t="n">
        <f aca="false">A436/'Giả định'!$B$19*'Giả định'!$B$20+A436*'Giả định'!$B$23+'Giả định'!$B$24</f>
        <v>160447899.159664</v>
      </c>
      <c r="F436" s="25" t="n">
        <f aca="false">E436-D436</f>
        <v>-470507040.840336</v>
      </c>
      <c r="G436" s="25" t="n">
        <f aca="false">E436-C436</f>
        <v>-326902040.840336</v>
      </c>
      <c r="H436" s="7" t="str">
        <f aca="false">IF(F436&gt;=0,A436,"")</f>
        <v/>
      </c>
      <c r="I436" s="7" t="n">
        <f aca="false">IF(F436&lt;0,A436,0)</f>
        <v>431</v>
      </c>
      <c r="J436" s="7" t="str">
        <f aca="false">IF(G436&gt;=0,A436,"")</f>
        <v/>
      </c>
      <c r="K436" s="7" t="n">
        <f aca="false">IF(G436&lt;0,A436,0)</f>
        <v>431</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487386680</v>
      </c>
      <c r="D437" s="25" t="n">
        <f aca="false">('Chi phí'!$C$77+'Chi phí'!$D$77*B437+'Chi phí'!$E$77*A437+'Giả định'!$B$15*('Chi phí'!$F$77+'Chi phí'!$G$77*B437+'Chi phí'!$H$77*A437))*(1+'Giả định'!$B$16)</f>
        <v>630991680</v>
      </c>
      <c r="E437" s="25" t="n">
        <f aca="false">A437/'Giả định'!$B$19*'Giả định'!$B$20+A437*'Giả định'!$B$23+'Giả định'!$B$24</f>
        <v>160820168.067227</v>
      </c>
      <c r="F437" s="25" t="n">
        <f aca="false">E437-D437</f>
        <v>-470171511.932773</v>
      </c>
      <c r="G437" s="25" t="n">
        <f aca="false">E437-C437</f>
        <v>-326566511.932773</v>
      </c>
      <c r="H437" s="7" t="str">
        <f aca="false">IF(F437&gt;=0,A437,"")</f>
        <v/>
      </c>
      <c r="I437" s="7" t="n">
        <f aca="false">IF(F437&lt;0,A437,0)</f>
        <v>432</v>
      </c>
      <c r="J437" s="7" t="str">
        <f aca="false">IF(G437&gt;=0,A437,"")</f>
        <v/>
      </c>
      <c r="K437" s="7" t="n">
        <f aca="false">IF(G437&lt;0,A437,0)</f>
        <v>432</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487423420</v>
      </c>
      <c r="D438" s="25" t="n">
        <f aca="false">('Chi phí'!$C$77+'Chi phí'!$D$77*B438+'Chi phí'!$E$77*A438+'Giả định'!$B$15*('Chi phí'!$F$77+'Chi phí'!$G$77*B438+'Chi phí'!$H$77*A438))*(1+'Giả định'!$B$16)</f>
        <v>631028420</v>
      </c>
      <c r="E438" s="25" t="n">
        <f aca="false">A438/'Giả định'!$B$19*'Giả định'!$B$20+A438*'Giả định'!$B$23+'Giả định'!$B$24</f>
        <v>161192436.97479</v>
      </c>
      <c r="F438" s="25" t="n">
        <f aca="false">E438-D438</f>
        <v>-469835983.02521</v>
      </c>
      <c r="G438" s="25" t="n">
        <f aca="false">E438-C438</f>
        <v>-326230983.02521</v>
      </c>
      <c r="H438" s="7" t="str">
        <f aca="false">IF(F438&gt;=0,A438,"")</f>
        <v/>
      </c>
      <c r="I438" s="7" t="n">
        <f aca="false">IF(F438&lt;0,A438,0)</f>
        <v>433</v>
      </c>
      <c r="J438" s="7" t="str">
        <f aca="false">IF(G438&gt;=0,A438,"")</f>
        <v/>
      </c>
      <c r="K438" s="7" t="n">
        <f aca="false">IF(G438&lt;0,A438,0)</f>
        <v>433</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487460160</v>
      </c>
      <c r="D439" s="25" t="n">
        <f aca="false">('Chi phí'!$C$77+'Chi phí'!$D$77*B439+'Chi phí'!$E$77*A439+'Giả định'!$B$15*('Chi phí'!$F$77+'Chi phí'!$G$77*B439+'Chi phí'!$H$77*A439))*(1+'Giả định'!$B$16)</f>
        <v>631065160</v>
      </c>
      <c r="E439" s="25" t="n">
        <f aca="false">A439/'Giả định'!$B$19*'Giả định'!$B$20+A439*'Giả định'!$B$23+'Giả định'!$B$24</f>
        <v>161564705.882353</v>
      </c>
      <c r="F439" s="25" t="n">
        <f aca="false">E439-D439</f>
        <v>-469500454.117647</v>
      </c>
      <c r="G439" s="25" t="n">
        <f aca="false">E439-C439</f>
        <v>-325895454.117647</v>
      </c>
      <c r="H439" s="7" t="str">
        <f aca="false">IF(F439&gt;=0,A439,"")</f>
        <v/>
      </c>
      <c r="I439" s="7" t="n">
        <f aca="false">IF(F439&lt;0,A439,0)</f>
        <v>434</v>
      </c>
      <c r="J439" s="7" t="str">
        <f aca="false">IF(G439&gt;=0,A439,"")</f>
        <v/>
      </c>
      <c r="K439" s="7" t="n">
        <f aca="false">IF(G439&lt;0,A439,0)</f>
        <v>434</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487496900</v>
      </c>
      <c r="D440" s="25" t="n">
        <f aca="false">('Chi phí'!$C$77+'Chi phí'!$D$77*B440+'Chi phí'!$E$77*A440+'Giả định'!$B$15*('Chi phí'!$F$77+'Chi phí'!$G$77*B440+'Chi phí'!$H$77*A440))*(1+'Giả định'!$B$16)</f>
        <v>631101900</v>
      </c>
      <c r="E440" s="25" t="n">
        <f aca="false">A440/'Giả định'!$B$19*'Giả định'!$B$20+A440*'Giả định'!$B$23+'Giả định'!$B$24</f>
        <v>161936974.789916</v>
      </c>
      <c r="F440" s="25" t="n">
        <f aca="false">E440-D440</f>
        <v>-469164925.210084</v>
      </c>
      <c r="G440" s="25" t="n">
        <f aca="false">E440-C440</f>
        <v>-325559925.210084</v>
      </c>
      <c r="H440" s="7" t="str">
        <f aca="false">IF(F440&gt;=0,A440,"")</f>
        <v/>
      </c>
      <c r="I440" s="7" t="n">
        <f aca="false">IF(F440&lt;0,A440,0)</f>
        <v>435</v>
      </c>
      <c r="J440" s="7" t="str">
        <f aca="false">IF(G440&gt;=0,A440,"")</f>
        <v/>
      </c>
      <c r="K440" s="7" t="n">
        <f aca="false">IF(G440&lt;0,A440,0)</f>
        <v>435</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487533640</v>
      </c>
      <c r="D441" s="25" t="n">
        <f aca="false">('Chi phí'!$C$77+'Chi phí'!$D$77*B441+'Chi phí'!$E$77*A441+'Giả định'!$B$15*('Chi phí'!$F$77+'Chi phí'!$G$77*B441+'Chi phí'!$H$77*A441))*(1+'Giả định'!$B$16)</f>
        <v>631138640</v>
      </c>
      <c r="E441" s="25" t="n">
        <f aca="false">A441/'Giả định'!$B$19*'Giả định'!$B$20+A441*'Giả định'!$B$23+'Giả định'!$B$24</f>
        <v>162309243.697479</v>
      </c>
      <c r="F441" s="25" t="n">
        <f aca="false">E441-D441</f>
        <v>-468829396.302521</v>
      </c>
      <c r="G441" s="25" t="n">
        <f aca="false">E441-C441</f>
        <v>-325224396.302521</v>
      </c>
      <c r="H441" s="7" t="str">
        <f aca="false">IF(F441&gt;=0,A441,"")</f>
        <v/>
      </c>
      <c r="I441" s="7" t="n">
        <f aca="false">IF(F441&lt;0,A441,0)</f>
        <v>436</v>
      </c>
      <c r="J441" s="7" t="str">
        <f aca="false">IF(G441&gt;=0,A441,"")</f>
        <v/>
      </c>
      <c r="K441" s="7" t="n">
        <f aca="false">IF(G441&lt;0,A441,0)</f>
        <v>436</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487570380</v>
      </c>
      <c r="D442" s="25" t="n">
        <f aca="false">('Chi phí'!$C$77+'Chi phí'!$D$77*B442+'Chi phí'!$E$77*A442+'Giả định'!$B$15*('Chi phí'!$F$77+'Chi phí'!$G$77*B442+'Chi phí'!$H$77*A442))*(1+'Giả định'!$B$16)</f>
        <v>631175380</v>
      </c>
      <c r="E442" s="25" t="n">
        <f aca="false">A442/'Giả định'!$B$19*'Giả định'!$B$20+A442*'Giả định'!$B$23+'Giả định'!$B$24</f>
        <v>162681512.605042</v>
      </c>
      <c r="F442" s="25" t="n">
        <f aca="false">E442-D442</f>
        <v>-468493867.394958</v>
      </c>
      <c r="G442" s="25" t="n">
        <f aca="false">E442-C442</f>
        <v>-324888867.394958</v>
      </c>
      <c r="H442" s="7" t="str">
        <f aca="false">IF(F442&gt;=0,A442,"")</f>
        <v/>
      </c>
      <c r="I442" s="7" t="n">
        <f aca="false">IF(F442&lt;0,A442,0)</f>
        <v>437</v>
      </c>
      <c r="J442" s="7" t="str">
        <f aca="false">IF(G442&gt;=0,A442,"")</f>
        <v/>
      </c>
      <c r="K442" s="7" t="n">
        <f aca="false">IF(G442&lt;0,A442,0)</f>
        <v>437</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487607120</v>
      </c>
      <c r="D443" s="25" t="n">
        <f aca="false">('Chi phí'!$C$77+'Chi phí'!$D$77*B443+'Chi phí'!$E$77*A443+'Giả định'!$B$15*('Chi phí'!$F$77+'Chi phí'!$G$77*B443+'Chi phí'!$H$77*A443))*(1+'Giả định'!$B$16)</f>
        <v>631212120</v>
      </c>
      <c r="E443" s="25" t="n">
        <f aca="false">A443/'Giả định'!$B$19*'Giả định'!$B$20+A443*'Giả định'!$B$23+'Giả định'!$B$24</f>
        <v>163053781.512605</v>
      </c>
      <c r="F443" s="25" t="n">
        <f aca="false">E443-D443</f>
        <v>-468158338.487395</v>
      </c>
      <c r="G443" s="25" t="n">
        <f aca="false">E443-C443</f>
        <v>-324553338.487395</v>
      </c>
      <c r="H443" s="7" t="str">
        <f aca="false">IF(F443&gt;=0,A443,"")</f>
        <v/>
      </c>
      <c r="I443" s="7" t="n">
        <f aca="false">IF(F443&lt;0,A443,0)</f>
        <v>438</v>
      </c>
      <c r="J443" s="7" t="str">
        <f aca="false">IF(G443&gt;=0,A443,"")</f>
        <v/>
      </c>
      <c r="K443" s="7" t="n">
        <f aca="false">IF(G443&lt;0,A443,0)</f>
        <v>438</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487643860</v>
      </c>
      <c r="D444" s="25" t="n">
        <f aca="false">('Chi phí'!$C$77+'Chi phí'!$D$77*B444+'Chi phí'!$E$77*A444+'Giả định'!$B$15*('Chi phí'!$F$77+'Chi phí'!$G$77*B444+'Chi phí'!$H$77*A444))*(1+'Giả định'!$B$16)</f>
        <v>631248860</v>
      </c>
      <c r="E444" s="25" t="n">
        <f aca="false">A444/'Giả định'!$B$19*'Giả định'!$B$20+A444*'Giả định'!$B$23+'Giả định'!$B$24</f>
        <v>163426050.420168</v>
      </c>
      <c r="F444" s="25" t="n">
        <f aca="false">E444-D444</f>
        <v>-467822809.579832</v>
      </c>
      <c r="G444" s="25" t="n">
        <f aca="false">E444-C444</f>
        <v>-324217809.579832</v>
      </c>
      <c r="H444" s="7" t="str">
        <f aca="false">IF(F444&gt;=0,A444,"")</f>
        <v/>
      </c>
      <c r="I444" s="7" t="n">
        <f aca="false">IF(F444&lt;0,A444,0)</f>
        <v>439</v>
      </c>
      <c r="J444" s="7" t="str">
        <f aca="false">IF(G444&gt;=0,A444,"")</f>
        <v/>
      </c>
      <c r="K444" s="7" t="n">
        <f aca="false">IF(G444&lt;0,A444,0)</f>
        <v>439</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487680600</v>
      </c>
      <c r="D445" s="25" t="n">
        <f aca="false">('Chi phí'!$C$77+'Chi phí'!$D$77*B445+'Chi phí'!$E$77*A445+'Giả định'!$B$15*('Chi phí'!$F$77+'Chi phí'!$G$77*B445+'Chi phí'!$H$77*A445))*(1+'Giả định'!$B$16)</f>
        <v>631285600</v>
      </c>
      <c r="E445" s="25" t="n">
        <f aca="false">A445/'Giả định'!$B$19*'Giả định'!$B$20+A445*'Giả định'!$B$23+'Giả định'!$B$24</f>
        <v>163798319.327731</v>
      </c>
      <c r="F445" s="25" t="n">
        <f aca="false">E445-D445</f>
        <v>-467487280.672269</v>
      </c>
      <c r="G445" s="25" t="n">
        <f aca="false">E445-C445</f>
        <v>-323882280.672269</v>
      </c>
      <c r="H445" s="7" t="str">
        <f aca="false">IF(F445&gt;=0,A445,"")</f>
        <v/>
      </c>
      <c r="I445" s="7" t="n">
        <f aca="false">IF(F445&lt;0,A445,0)</f>
        <v>440</v>
      </c>
      <c r="J445" s="7" t="str">
        <f aca="false">IF(G445&gt;=0,A445,"")</f>
        <v/>
      </c>
      <c r="K445" s="7" t="n">
        <f aca="false">IF(G445&lt;0,A445,0)</f>
        <v>440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496891340</v>
      </c>
      <c r="D446" s="25" t="n">
        <f aca="false">('Chi phí'!$C$77+'Chi phí'!$D$77*B446+'Chi phí'!$E$77*A446+'Giả định'!$B$15*('Chi phí'!$F$77+'Chi phí'!$G$77*B446+'Chi phí'!$H$77*A446))*(1+'Giả định'!$B$16)</f>
        <v>640496340</v>
      </c>
      <c r="E446" s="25" t="n">
        <f aca="false">A446/'Giả định'!$B$19*'Giả định'!$B$20+A446*'Giả định'!$B$23+'Giả định'!$B$24</f>
        <v>164170588.235294</v>
      </c>
      <c r="F446" s="25" t="n">
        <f aca="false">E446-D446</f>
        <v>-476325751.764706</v>
      </c>
      <c r="G446" s="25" t="n">
        <f aca="false">E446-C446</f>
        <v>-332720751.764706</v>
      </c>
      <c r="H446" s="7" t="str">
        <f aca="false">IF(F446&gt;=0,A446,"")</f>
        <v/>
      </c>
      <c r="I446" s="7" t="n">
        <f aca="false">IF(F446&lt;0,A446,0)</f>
        <v>441</v>
      </c>
      <c r="J446" s="7" t="str">
        <f aca="false">IF(G446&gt;=0,A446,"")</f>
        <v/>
      </c>
      <c r="K446" s="7" t="n">
        <f aca="false">IF(G446&lt;0,A446,0)</f>
        <v>441</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496928080</v>
      </c>
      <c r="D447" s="25" t="n">
        <f aca="false">('Chi phí'!$C$77+'Chi phí'!$D$77*B447+'Chi phí'!$E$77*A447+'Giả định'!$B$15*('Chi phí'!$F$77+'Chi phí'!$G$77*B447+'Chi phí'!$H$77*A447))*(1+'Giả định'!$B$16)</f>
        <v>640533080</v>
      </c>
      <c r="E447" s="25" t="n">
        <f aca="false">A447/'Giả định'!$B$19*'Giả định'!$B$20+A447*'Giả định'!$B$23+'Giả định'!$B$24</f>
        <v>164542857.142857</v>
      </c>
      <c r="F447" s="25" t="n">
        <f aca="false">E447-D447</f>
        <v>-475990222.857143</v>
      </c>
      <c r="G447" s="25" t="n">
        <f aca="false">E447-C447</f>
        <v>-332385222.857143</v>
      </c>
      <c r="H447" s="7" t="str">
        <f aca="false">IF(F447&gt;=0,A447,"")</f>
        <v/>
      </c>
      <c r="I447" s="7" t="n">
        <f aca="false">IF(F447&lt;0,A447,0)</f>
        <v>442</v>
      </c>
      <c r="J447" s="7" t="str">
        <f aca="false">IF(G447&gt;=0,A447,"")</f>
        <v/>
      </c>
      <c r="K447" s="7" t="n">
        <f aca="false">IF(G447&lt;0,A447,0)</f>
        <v>442</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496964820</v>
      </c>
      <c r="D448" s="25" t="n">
        <f aca="false">('Chi phí'!$C$77+'Chi phí'!$D$77*B448+'Chi phí'!$E$77*A448+'Giả định'!$B$15*('Chi phí'!$F$77+'Chi phí'!$G$77*B448+'Chi phí'!$H$77*A448))*(1+'Giả định'!$B$16)</f>
        <v>640569820</v>
      </c>
      <c r="E448" s="25" t="n">
        <f aca="false">A448/'Giả định'!$B$19*'Giả định'!$B$20+A448*'Giả định'!$B$23+'Giả định'!$B$24</f>
        <v>164915126.05042</v>
      </c>
      <c r="F448" s="25" t="n">
        <f aca="false">E448-D448</f>
        <v>-475654693.94958</v>
      </c>
      <c r="G448" s="25" t="n">
        <f aca="false">E448-C448</f>
        <v>-332049693.94958</v>
      </c>
      <c r="H448" s="7" t="str">
        <f aca="false">IF(F448&gt;=0,A448,"")</f>
        <v/>
      </c>
      <c r="I448" s="7" t="n">
        <f aca="false">IF(F448&lt;0,A448,0)</f>
        <v>443</v>
      </c>
      <c r="J448" s="7" t="str">
        <f aca="false">IF(G448&gt;=0,A448,"")</f>
        <v/>
      </c>
      <c r="K448" s="7" t="n">
        <f aca="false">IF(G448&lt;0,A448,0)</f>
        <v>443</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497001560</v>
      </c>
      <c r="D449" s="25" t="n">
        <f aca="false">('Chi phí'!$C$77+'Chi phí'!$D$77*B449+'Chi phí'!$E$77*A449+'Giả định'!$B$15*('Chi phí'!$F$77+'Chi phí'!$G$77*B449+'Chi phí'!$H$77*A449))*(1+'Giả định'!$B$16)</f>
        <v>640606560</v>
      </c>
      <c r="E449" s="25" t="n">
        <f aca="false">A449/'Giả định'!$B$19*'Giả định'!$B$20+A449*'Giả định'!$B$23+'Giả định'!$B$24</f>
        <v>165287394.957983</v>
      </c>
      <c r="F449" s="25" t="n">
        <f aca="false">E449-D449</f>
        <v>-475319165.042017</v>
      </c>
      <c r="G449" s="25" t="n">
        <f aca="false">E449-C449</f>
        <v>-331714165.042017</v>
      </c>
      <c r="H449" s="7" t="str">
        <f aca="false">IF(F449&gt;=0,A449,"")</f>
        <v/>
      </c>
      <c r="I449" s="7" t="n">
        <f aca="false">IF(F449&lt;0,A449,0)</f>
        <v>444</v>
      </c>
      <c r="J449" s="7" t="str">
        <f aca="false">IF(G449&gt;=0,A449,"")</f>
        <v/>
      </c>
      <c r="K449" s="7" t="n">
        <f aca="false">IF(G449&lt;0,A449,0)</f>
        <v>444</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497038300</v>
      </c>
      <c r="D450" s="25" t="n">
        <f aca="false">('Chi phí'!$C$77+'Chi phí'!$D$77*B450+'Chi phí'!$E$77*A450+'Giả định'!$B$15*('Chi phí'!$F$77+'Chi phí'!$G$77*B450+'Chi phí'!$H$77*A450))*(1+'Giả định'!$B$16)</f>
        <v>640643300</v>
      </c>
      <c r="E450" s="25" t="n">
        <f aca="false">A450/'Giả định'!$B$19*'Giả định'!$B$20+A450*'Giả định'!$B$23+'Giả định'!$B$24</f>
        <v>165659663.865546</v>
      </c>
      <c r="F450" s="25" t="n">
        <f aca="false">E450-D450</f>
        <v>-474983636.134454</v>
      </c>
      <c r="G450" s="25" t="n">
        <f aca="false">E450-C450</f>
        <v>-331378636.134454</v>
      </c>
      <c r="H450" s="7" t="str">
        <f aca="false">IF(F450&gt;=0,A450,"")</f>
        <v/>
      </c>
      <c r="I450" s="7" t="n">
        <f aca="false">IF(F450&lt;0,A450,0)</f>
        <v>445</v>
      </c>
      <c r="J450" s="7" t="str">
        <f aca="false">IF(G450&gt;=0,A450,"")</f>
        <v/>
      </c>
      <c r="K450" s="7" t="n">
        <f aca="false">IF(G450&lt;0,A450,0)</f>
        <v>445</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497075040</v>
      </c>
      <c r="D451" s="25" t="n">
        <f aca="false">('Chi phí'!$C$77+'Chi phí'!$D$77*B451+'Chi phí'!$E$77*A451+'Giả định'!$B$15*('Chi phí'!$F$77+'Chi phí'!$G$77*B451+'Chi phí'!$H$77*A451))*(1+'Giả định'!$B$16)</f>
        <v>640680040</v>
      </c>
      <c r="E451" s="25" t="n">
        <f aca="false">A451/'Giả định'!$B$19*'Giả định'!$B$20+A451*'Giả định'!$B$23+'Giả định'!$B$24</f>
        <v>166031932.773109</v>
      </c>
      <c r="F451" s="25" t="n">
        <f aca="false">E451-D451</f>
        <v>-474648107.226891</v>
      </c>
      <c r="G451" s="25" t="n">
        <f aca="false">E451-C451</f>
        <v>-331043107.226891</v>
      </c>
      <c r="H451" s="7" t="str">
        <f aca="false">IF(F451&gt;=0,A451,"")</f>
        <v/>
      </c>
      <c r="I451" s="7" t="n">
        <f aca="false">IF(F451&lt;0,A451,0)</f>
        <v>446</v>
      </c>
      <c r="J451" s="7" t="str">
        <f aca="false">IF(G451&gt;=0,A451,"")</f>
        <v/>
      </c>
      <c r="K451" s="7" t="n">
        <f aca="false">IF(G451&lt;0,A451,0)</f>
        <v>446</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497111780</v>
      </c>
      <c r="D452" s="25" t="n">
        <f aca="false">('Chi phí'!$C$77+'Chi phí'!$D$77*B452+'Chi phí'!$E$77*A452+'Giả định'!$B$15*('Chi phí'!$F$77+'Chi phí'!$G$77*B452+'Chi phí'!$H$77*A452))*(1+'Giả định'!$B$16)</f>
        <v>640716780</v>
      </c>
      <c r="E452" s="25" t="n">
        <f aca="false">A452/'Giả định'!$B$19*'Giả định'!$B$20+A452*'Giả định'!$B$23+'Giả định'!$B$24</f>
        <v>166404201.680672</v>
      </c>
      <c r="F452" s="25" t="n">
        <f aca="false">E452-D452</f>
        <v>-474312578.319328</v>
      </c>
      <c r="G452" s="25" t="n">
        <f aca="false">E452-C452</f>
        <v>-330707578.319328</v>
      </c>
      <c r="H452" s="7" t="str">
        <f aca="false">IF(F452&gt;=0,A452,"")</f>
        <v/>
      </c>
      <c r="I452" s="7" t="n">
        <f aca="false">IF(F452&lt;0,A452,0)</f>
        <v>447</v>
      </c>
      <c r="J452" s="7" t="str">
        <f aca="false">IF(G452&gt;=0,A452,"")</f>
        <v/>
      </c>
      <c r="K452" s="7" t="n">
        <f aca="false">IF(G452&lt;0,A452,0)</f>
        <v>447</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497148520</v>
      </c>
      <c r="D453" s="25" t="n">
        <f aca="false">('Chi phí'!$C$77+'Chi phí'!$D$77*B453+'Chi phí'!$E$77*A453+'Giả định'!$B$15*('Chi phí'!$F$77+'Chi phí'!$G$77*B453+'Chi phí'!$H$77*A453))*(1+'Giả định'!$B$16)</f>
        <v>640753520</v>
      </c>
      <c r="E453" s="25" t="n">
        <f aca="false">A453/'Giả định'!$B$19*'Giả định'!$B$20+A453*'Giả định'!$B$23+'Giả định'!$B$24</f>
        <v>166776470.588235</v>
      </c>
      <c r="F453" s="25" t="n">
        <f aca="false">E453-D453</f>
        <v>-473977049.411765</v>
      </c>
      <c r="G453" s="25" t="n">
        <f aca="false">E453-C453</f>
        <v>-330372049.411765</v>
      </c>
      <c r="H453" s="7" t="str">
        <f aca="false">IF(F453&gt;=0,A453,"")</f>
        <v/>
      </c>
      <c r="I453" s="7" t="n">
        <f aca="false">IF(F453&lt;0,A453,0)</f>
        <v>448</v>
      </c>
      <c r="J453" s="7" t="str">
        <f aca="false">IF(G453&gt;=0,A453,"")</f>
        <v/>
      </c>
      <c r="K453" s="7" t="n">
        <f aca="false">IF(G453&lt;0,A453,0)</f>
        <v>448</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497185260</v>
      </c>
      <c r="D454" s="25" t="n">
        <f aca="false">('Chi phí'!$C$77+'Chi phí'!$D$77*B454+'Chi phí'!$E$77*A454+'Giả định'!$B$15*('Chi phí'!$F$77+'Chi phí'!$G$77*B454+'Chi phí'!$H$77*A454))*(1+'Giả định'!$B$16)</f>
        <v>640790260</v>
      </c>
      <c r="E454" s="25" t="n">
        <f aca="false">A454/'Giả định'!$B$19*'Giả định'!$B$20+A454*'Giả định'!$B$23+'Giả định'!$B$24</f>
        <v>167148739.495798</v>
      </c>
      <c r="F454" s="25" t="n">
        <f aca="false">E454-D454</f>
        <v>-473641520.504202</v>
      </c>
      <c r="G454" s="25" t="n">
        <f aca="false">E454-C454</f>
        <v>-330036520.504202</v>
      </c>
      <c r="H454" s="7" t="str">
        <f aca="false">IF(F454&gt;=0,A454,"")</f>
        <v/>
      </c>
      <c r="I454" s="7" t="n">
        <f aca="false">IF(F454&lt;0,A454,0)</f>
        <v>449</v>
      </c>
      <c r="J454" s="7" t="str">
        <f aca="false">IF(G454&gt;=0,A454,"")</f>
        <v/>
      </c>
      <c r="K454" s="7" t="n">
        <f aca="false">IF(G454&lt;0,A454,0)</f>
        <v>449</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497222000</v>
      </c>
      <c r="D455" s="25" t="n">
        <f aca="false">('Chi phí'!$C$77+'Chi phí'!$D$77*B455+'Chi phí'!$E$77*A455+'Giả định'!$B$15*('Chi phí'!$F$77+'Chi phí'!$G$77*B455+'Chi phí'!$H$77*A455))*(1+'Giả định'!$B$16)</f>
        <v>640827000</v>
      </c>
      <c r="E455" s="25" t="n">
        <f aca="false">A455/'Giả định'!$B$19*'Giả định'!$B$20+A455*'Giả định'!$B$23+'Giả định'!$B$24</f>
        <v>167521008.403361</v>
      </c>
      <c r="F455" s="25" t="n">
        <f aca="false">E455-D455</f>
        <v>-473305991.596639</v>
      </c>
      <c r="G455" s="25" t="n">
        <f aca="false">E455-C455</f>
        <v>-329700991.596639</v>
      </c>
      <c r="H455" s="7" t="str">
        <f aca="false">IF(F455&gt;=0,A455,"")</f>
        <v/>
      </c>
      <c r="I455" s="7" t="n">
        <f aca="false">IF(F455&lt;0,A455,0)</f>
        <v>450</v>
      </c>
      <c r="J455" s="7" t="str">
        <f aca="false">IF(G455&gt;=0,A455,"")</f>
        <v/>
      </c>
      <c r="K455" s="7" t="n">
        <f aca="false">IF(G455&lt;0,A455,0)</f>
        <v>450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506432740</v>
      </c>
      <c r="D456" s="25" t="n">
        <f aca="false">('Chi phí'!$C$77+'Chi phí'!$D$77*B456+'Chi phí'!$E$77*A456+'Giả định'!$B$15*('Chi phí'!$F$77+'Chi phí'!$G$77*B456+'Chi phí'!$H$77*A456))*(1+'Giả định'!$B$16)</f>
        <v>650037740</v>
      </c>
      <c r="E456" s="25" t="n">
        <f aca="false">A456/'Giả định'!$B$19*'Giả định'!$B$20+A456*'Giả định'!$B$23+'Giả định'!$B$24</f>
        <v>167893277.310924</v>
      </c>
      <c r="F456" s="25" t="n">
        <f aca="false">E456-D456</f>
        <v>-482144462.689076</v>
      </c>
      <c r="G456" s="25" t="n">
        <f aca="false">E456-C456</f>
        <v>-338539462.689076</v>
      </c>
      <c r="H456" s="7" t="str">
        <f aca="false">IF(F456&gt;=0,A456,"")</f>
        <v/>
      </c>
      <c r="I456" s="7" t="n">
        <f aca="false">IF(F456&lt;0,A456,0)</f>
        <v>451</v>
      </c>
      <c r="J456" s="7" t="str">
        <f aca="false">IF(G456&gt;=0,A456,"")</f>
        <v/>
      </c>
      <c r="K456" s="7" t="n">
        <f aca="false">IF(G456&lt;0,A456,0)</f>
        <v>451</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506469480</v>
      </c>
      <c r="D457" s="25" t="n">
        <f aca="false">('Chi phí'!$C$77+'Chi phí'!$D$77*B457+'Chi phí'!$E$77*A457+'Giả định'!$B$15*('Chi phí'!$F$77+'Chi phí'!$G$77*B457+'Chi phí'!$H$77*A457))*(1+'Giả định'!$B$16)</f>
        <v>650074480</v>
      </c>
      <c r="E457" s="25" t="n">
        <f aca="false">A457/'Giả định'!$B$19*'Giả định'!$B$20+A457*'Giả định'!$B$23+'Giả định'!$B$24</f>
        <v>168265546.218487</v>
      </c>
      <c r="F457" s="25" t="n">
        <f aca="false">E457-D457</f>
        <v>-481808933.781513</v>
      </c>
      <c r="G457" s="25" t="n">
        <f aca="false">E457-C457</f>
        <v>-338203933.781513</v>
      </c>
      <c r="H457" s="7" t="str">
        <f aca="false">IF(F457&gt;=0,A457,"")</f>
        <v/>
      </c>
      <c r="I457" s="7" t="n">
        <f aca="false">IF(F457&lt;0,A457,0)</f>
        <v>452</v>
      </c>
      <c r="J457" s="7" t="str">
        <f aca="false">IF(G457&gt;=0,A457,"")</f>
        <v/>
      </c>
      <c r="K457" s="7" t="n">
        <f aca="false">IF(G457&lt;0,A457,0)</f>
        <v>452</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506506220</v>
      </c>
      <c r="D458" s="25" t="n">
        <f aca="false">('Chi phí'!$C$77+'Chi phí'!$D$77*B458+'Chi phí'!$E$77*A458+'Giả định'!$B$15*('Chi phí'!$F$77+'Chi phí'!$G$77*B458+'Chi phí'!$H$77*A458))*(1+'Giả định'!$B$16)</f>
        <v>650111220</v>
      </c>
      <c r="E458" s="25" t="n">
        <f aca="false">A458/'Giả định'!$B$19*'Giả định'!$B$20+A458*'Giả định'!$B$23+'Giả định'!$B$24</f>
        <v>168637815.12605</v>
      </c>
      <c r="F458" s="25" t="n">
        <f aca="false">E458-D458</f>
        <v>-481473404.87395</v>
      </c>
      <c r="G458" s="25" t="n">
        <f aca="false">E458-C458</f>
        <v>-337868404.87395</v>
      </c>
      <c r="H458" s="7" t="str">
        <f aca="false">IF(F458&gt;=0,A458,"")</f>
        <v/>
      </c>
      <c r="I458" s="7" t="n">
        <f aca="false">IF(F458&lt;0,A458,0)</f>
        <v>453</v>
      </c>
      <c r="J458" s="7" t="str">
        <f aca="false">IF(G458&gt;=0,A458,"")</f>
        <v/>
      </c>
      <c r="K458" s="7" t="n">
        <f aca="false">IF(G458&lt;0,A458,0)</f>
        <v>453</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506542960</v>
      </c>
      <c r="D459" s="25" t="n">
        <f aca="false">('Chi phí'!$C$77+'Chi phí'!$D$77*B459+'Chi phí'!$E$77*A459+'Giả định'!$B$15*('Chi phí'!$F$77+'Chi phí'!$G$77*B459+'Chi phí'!$H$77*A459))*(1+'Giả định'!$B$16)</f>
        <v>650147960</v>
      </c>
      <c r="E459" s="25" t="n">
        <f aca="false">A459/'Giả định'!$B$19*'Giả định'!$B$20+A459*'Giả định'!$B$23+'Giả định'!$B$24</f>
        <v>169010084.033613</v>
      </c>
      <c r="F459" s="25" t="n">
        <f aca="false">E459-D459</f>
        <v>-481137875.966387</v>
      </c>
      <c r="G459" s="25" t="n">
        <f aca="false">E459-C459</f>
        <v>-337532875.966387</v>
      </c>
      <c r="H459" s="7" t="str">
        <f aca="false">IF(F459&gt;=0,A459,"")</f>
        <v/>
      </c>
      <c r="I459" s="7" t="n">
        <f aca="false">IF(F459&lt;0,A459,0)</f>
        <v>454</v>
      </c>
      <c r="J459" s="7" t="str">
        <f aca="false">IF(G459&gt;=0,A459,"")</f>
        <v/>
      </c>
      <c r="K459" s="7" t="n">
        <f aca="false">IF(G459&lt;0,A459,0)</f>
        <v>454</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506579700</v>
      </c>
      <c r="D460" s="25" t="n">
        <f aca="false">('Chi phí'!$C$77+'Chi phí'!$D$77*B460+'Chi phí'!$E$77*A460+'Giả định'!$B$15*('Chi phí'!$F$77+'Chi phí'!$G$77*B460+'Chi phí'!$H$77*A460))*(1+'Giả định'!$B$16)</f>
        <v>650184700</v>
      </c>
      <c r="E460" s="25" t="n">
        <f aca="false">A460/'Giả định'!$B$19*'Giả định'!$B$20+A460*'Giả định'!$B$23+'Giả định'!$B$24</f>
        <v>169382352.941176</v>
      </c>
      <c r="F460" s="25" t="n">
        <f aca="false">E460-D460</f>
        <v>-480802347.058824</v>
      </c>
      <c r="G460" s="25" t="n">
        <f aca="false">E460-C460</f>
        <v>-337197347.058824</v>
      </c>
      <c r="H460" s="7" t="str">
        <f aca="false">IF(F460&gt;=0,A460,"")</f>
        <v/>
      </c>
      <c r="I460" s="7" t="n">
        <f aca="false">IF(F460&lt;0,A460,0)</f>
        <v>455</v>
      </c>
      <c r="J460" s="7" t="str">
        <f aca="false">IF(G460&gt;=0,A460,"")</f>
        <v/>
      </c>
      <c r="K460" s="7" t="n">
        <f aca="false">IF(G460&lt;0,A460,0)</f>
        <v>455</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506616440</v>
      </c>
      <c r="D461" s="25" t="n">
        <f aca="false">('Chi phí'!$C$77+'Chi phí'!$D$77*B461+'Chi phí'!$E$77*A461+'Giả định'!$B$15*('Chi phí'!$F$77+'Chi phí'!$G$77*B461+'Chi phí'!$H$77*A461))*(1+'Giả định'!$B$16)</f>
        <v>650221440</v>
      </c>
      <c r="E461" s="25" t="n">
        <f aca="false">A461/'Giả định'!$B$19*'Giả định'!$B$20+A461*'Giả định'!$B$23+'Giả định'!$B$24</f>
        <v>169754621.84874</v>
      </c>
      <c r="F461" s="25" t="n">
        <f aca="false">E461-D461</f>
        <v>-480466818.151261</v>
      </c>
      <c r="G461" s="25" t="n">
        <f aca="false">E461-C461</f>
        <v>-336861818.151261</v>
      </c>
      <c r="H461" s="7" t="str">
        <f aca="false">IF(F461&gt;=0,A461,"")</f>
        <v/>
      </c>
      <c r="I461" s="7" t="n">
        <f aca="false">IF(F461&lt;0,A461,0)</f>
        <v>456</v>
      </c>
      <c r="J461" s="7" t="str">
        <f aca="false">IF(G461&gt;=0,A461,"")</f>
        <v/>
      </c>
      <c r="K461" s="7" t="n">
        <f aca="false">IF(G461&lt;0,A461,0)</f>
        <v>456</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506653180</v>
      </c>
      <c r="D462" s="25" t="n">
        <f aca="false">('Chi phí'!$C$77+'Chi phí'!$D$77*B462+'Chi phí'!$E$77*A462+'Giả định'!$B$15*('Chi phí'!$F$77+'Chi phí'!$G$77*B462+'Chi phí'!$H$77*A462))*(1+'Giả định'!$B$16)</f>
        <v>650258180</v>
      </c>
      <c r="E462" s="25" t="n">
        <f aca="false">A462/'Giả định'!$B$19*'Giả định'!$B$20+A462*'Giả định'!$B$23+'Giả định'!$B$24</f>
        <v>170126890.756303</v>
      </c>
      <c r="F462" s="25" t="n">
        <f aca="false">E462-D462</f>
        <v>-480131289.243697</v>
      </c>
      <c r="G462" s="25" t="n">
        <f aca="false">E462-C462</f>
        <v>-336526289.243698</v>
      </c>
      <c r="H462" s="7" t="str">
        <f aca="false">IF(F462&gt;=0,A462,"")</f>
        <v/>
      </c>
      <c r="I462" s="7" t="n">
        <f aca="false">IF(F462&lt;0,A462,0)</f>
        <v>457</v>
      </c>
      <c r="J462" s="7" t="str">
        <f aca="false">IF(G462&gt;=0,A462,"")</f>
        <v/>
      </c>
      <c r="K462" s="7" t="n">
        <f aca="false">IF(G462&lt;0,A462,0)</f>
        <v>457</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506689920</v>
      </c>
      <c r="D463" s="25" t="n">
        <f aca="false">('Chi phí'!$C$77+'Chi phí'!$D$77*B463+'Chi phí'!$E$77*A463+'Giả định'!$B$15*('Chi phí'!$F$77+'Chi phí'!$G$77*B463+'Chi phí'!$H$77*A463))*(1+'Giả định'!$B$16)</f>
        <v>650294920</v>
      </c>
      <c r="E463" s="25" t="n">
        <f aca="false">A463/'Giả định'!$B$19*'Giả định'!$B$20+A463*'Giả định'!$B$23+'Giả định'!$B$24</f>
        <v>170499159.663866</v>
      </c>
      <c r="F463" s="25" t="n">
        <f aca="false">E463-D463</f>
        <v>-479795760.336134</v>
      </c>
      <c r="G463" s="25" t="n">
        <f aca="false">E463-C463</f>
        <v>-336190760.336135</v>
      </c>
      <c r="H463" s="7" t="str">
        <f aca="false">IF(F463&gt;=0,A463,"")</f>
        <v/>
      </c>
      <c r="I463" s="7" t="n">
        <f aca="false">IF(F463&lt;0,A463,0)</f>
        <v>458</v>
      </c>
      <c r="J463" s="7" t="str">
        <f aca="false">IF(G463&gt;=0,A463,"")</f>
        <v/>
      </c>
      <c r="K463" s="7" t="n">
        <f aca="false">IF(G463&lt;0,A463,0)</f>
        <v>458</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506726660</v>
      </c>
      <c r="D464" s="25" t="n">
        <f aca="false">('Chi phí'!$C$77+'Chi phí'!$D$77*B464+'Chi phí'!$E$77*A464+'Giả định'!$B$15*('Chi phí'!$F$77+'Chi phí'!$G$77*B464+'Chi phí'!$H$77*A464))*(1+'Giả định'!$B$16)</f>
        <v>650331660</v>
      </c>
      <c r="E464" s="25" t="n">
        <f aca="false">A464/'Giả định'!$B$19*'Giả định'!$B$20+A464*'Giả định'!$B$23+'Giả định'!$B$24</f>
        <v>170871428.571429</v>
      </c>
      <c r="F464" s="25" t="n">
        <f aca="false">E464-D464</f>
        <v>-479460231.428571</v>
      </c>
      <c r="G464" s="25" t="n">
        <f aca="false">E464-C464</f>
        <v>-335855231.428571</v>
      </c>
      <c r="H464" s="7" t="str">
        <f aca="false">IF(F464&gt;=0,A464,"")</f>
        <v/>
      </c>
      <c r="I464" s="7" t="n">
        <f aca="false">IF(F464&lt;0,A464,0)</f>
        <v>459</v>
      </c>
      <c r="J464" s="7" t="str">
        <f aca="false">IF(G464&gt;=0,A464,"")</f>
        <v/>
      </c>
      <c r="K464" s="7" t="n">
        <f aca="false">IF(G464&lt;0,A464,0)</f>
        <v>459</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506763400</v>
      </c>
      <c r="D465" s="25" t="n">
        <f aca="false">('Chi phí'!$C$77+'Chi phí'!$D$77*B465+'Chi phí'!$E$77*A465+'Giả định'!$B$15*('Chi phí'!$F$77+'Chi phí'!$G$77*B465+'Chi phí'!$H$77*A465))*(1+'Giả định'!$B$16)</f>
        <v>650368400</v>
      </c>
      <c r="E465" s="25" t="n">
        <f aca="false">A465/'Giả định'!$B$19*'Giả định'!$B$20+A465*'Giả định'!$B$23+'Giả định'!$B$24</f>
        <v>171243697.478992</v>
      </c>
      <c r="F465" s="25" t="n">
        <f aca="false">E465-D465</f>
        <v>-479124702.521008</v>
      </c>
      <c r="G465" s="25" t="n">
        <f aca="false">E465-C465</f>
        <v>-335519702.521009</v>
      </c>
      <c r="H465" s="7" t="str">
        <f aca="false">IF(F465&gt;=0,A465,"")</f>
        <v/>
      </c>
      <c r="I465" s="7" t="n">
        <f aca="false">IF(F465&lt;0,A465,0)</f>
        <v>460</v>
      </c>
      <c r="J465" s="7" t="str">
        <f aca="false">IF(G465&gt;=0,A465,"")</f>
        <v/>
      </c>
      <c r="K465" s="7" t="n">
        <f aca="false">IF(G465&lt;0,A465,0)</f>
        <v>460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515974140</v>
      </c>
      <c r="D466" s="25" t="n">
        <f aca="false">('Chi phí'!$C$77+'Chi phí'!$D$77*B466+'Chi phí'!$E$77*A466+'Giả định'!$B$15*('Chi phí'!$F$77+'Chi phí'!$G$77*B466+'Chi phí'!$H$77*A466))*(1+'Giả định'!$B$16)</f>
        <v>659579140</v>
      </c>
      <c r="E466" s="25" t="n">
        <f aca="false">A466/'Giả định'!$B$19*'Giả định'!$B$20+A466*'Giả định'!$B$23+'Giả định'!$B$24</f>
        <v>171615966.386555</v>
      </c>
      <c r="F466" s="25" t="n">
        <f aca="false">E466-D466</f>
        <v>-487963173.613445</v>
      </c>
      <c r="G466" s="25" t="n">
        <f aca="false">E466-C466</f>
        <v>-344358173.613445</v>
      </c>
      <c r="H466" s="7" t="str">
        <f aca="false">IF(F466&gt;=0,A466,"")</f>
        <v/>
      </c>
      <c r="I466" s="7" t="n">
        <f aca="false">IF(F466&lt;0,A466,0)</f>
        <v>461</v>
      </c>
      <c r="J466" s="7" t="str">
        <f aca="false">IF(G466&gt;=0,A466,"")</f>
        <v/>
      </c>
      <c r="K466" s="7" t="n">
        <f aca="false">IF(G466&lt;0,A466,0)</f>
        <v>461</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516010880</v>
      </c>
      <c r="D467" s="25" t="n">
        <f aca="false">('Chi phí'!$C$77+'Chi phí'!$D$77*B467+'Chi phí'!$E$77*A467+'Giả định'!$B$15*('Chi phí'!$F$77+'Chi phí'!$G$77*B467+'Chi phí'!$H$77*A467))*(1+'Giả định'!$B$16)</f>
        <v>659615880</v>
      </c>
      <c r="E467" s="25" t="n">
        <f aca="false">A467/'Giả định'!$B$19*'Giả định'!$B$20+A467*'Giả định'!$B$23+'Giả định'!$B$24</f>
        <v>171988235.294118</v>
      </c>
      <c r="F467" s="25" t="n">
        <f aca="false">E467-D467</f>
        <v>-487627644.705882</v>
      </c>
      <c r="G467" s="25" t="n">
        <f aca="false">E467-C467</f>
        <v>-344022644.705882</v>
      </c>
      <c r="H467" s="7" t="str">
        <f aca="false">IF(F467&gt;=0,A467,"")</f>
        <v/>
      </c>
      <c r="I467" s="7" t="n">
        <f aca="false">IF(F467&lt;0,A467,0)</f>
        <v>462</v>
      </c>
      <c r="J467" s="7" t="str">
        <f aca="false">IF(G467&gt;=0,A467,"")</f>
        <v/>
      </c>
      <c r="K467" s="7" t="n">
        <f aca="false">IF(G467&lt;0,A467,0)</f>
        <v>462</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516047620</v>
      </c>
      <c r="D468" s="25" t="n">
        <f aca="false">('Chi phí'!$C$77+'Chi phí'!$D$77*B468+'Chi phí'!$E$77*A468+'Giả định'!$B$15*('Chi phí'!$F$77+'Chi phí'!$G$77*B468+'Chi phí'!$H$77*A468))*(1+'Giả định'!$B$16)</f>
        <v>659652620</v>
      </c>
      <c r="E468" s="25" t="n">
        <f aca="false">A468/'Giả định'!$B$19*'Giả định'!$B$20+A468*'Giả định'!$B$23+'Giả định'!$B$24</f>
        <v>172360504.201681</v>
      </c>
      <c r="F468" s="25" t="n">
        <f aca="false">E468-D468</f>
        <v>-487292115.798319</v>
      </c>
      <c r="G468" s="25" t="n">
        <f aca="false">E468-C468</f>
        <v>-343687115.798319</v>
      </c>
      <c r="H468" s="7" t="str">
        <f aca="false">IF(F468&gt;=0,A468,"")</f>
        <v/>
      </c>
      <c r="I468" s="7" t="n">
        <f aca="false">IF(F468&lt;0,A468,0)</f>
        <v>463</v>
      </c>
      <c r="J468" s="7" t="str">
        <f aca="false">IF(G468&gt;=0,A468,"")</f>
        <v/>
      </c>
      <c r="K468" s="7" t="n">
        <f aca="false">IF(G468&lt;0,A468,0)</f>
        <v>463</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516084360</v>
      </c>
      <c r="D469" s="25" t="n">
        <f aca="false">('Chi phí'!$C$77+'Chi phí'!$D$77*B469+'Chi phí'!$E$77*A469+'Giả định'!$B$15*('Chi phí'!$F$77+'Chi phí'!$G$77*B469+'Chi phí'!$H$77*A469))*(1+'Giả định'!$B$16)</f>
        <v>659689360</v>
      </c>
      <c r="E469" s="25" t="n">
        <f aca="false">A469/'Giả định'!$B$19*'Giả định'!$B$20+A469*'Giả định'!$B$23+'Giả định'!$B$24</f>
        <v>172732773.109244</v>
      </c>
      <c r="F469" s="25" t="n">
        <f aca="false">E469-D469</f>
        <v>-486956586.890756</v>
      </c>
      <c r="G469" s="25" t="n">
        <f aca="false">E469-C469</f>
        <v>-343351586.890756</v>
      </c>
      <c r="H469" s="7" t="str">
        <f aca="false">IF(F469&gt;=0,A469,"")</f>
        <v/>
      </c>
      <c r="I469" s="7" t="n">
        <f aca="false">IF(F469&lt;0,A469,0)</f>
        <v>464</v>
      </c>
      <c r="J469" s="7" t="str">
        <f aca="false">IF(G469&gt;=0,A469,"")</f>
        <v/>
      </c>
      <c r="K469" s="7" t="n">
        <f aca="false">IF(G469&lt;0,A469,0)</f>
        <v>464</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516121100</v>
      </c>
      <c r="D470" s="25" t="n">
        <f aca="false">('Chi phí'!$C$77+'Chi phí'!$D$77*B470+'Chi phí'!$E$77*A470+'Giả định'!$B$15*('Chi phí'!$F$77+'Chi phí'!$G$77*B470+'Chi phí'!$H$77*A470))*(1+'Giả định'!$B$16)</f>
        <v>659726100</v>
      </c>
      <c r="E470" s="25" t="n">
        <f aca="false">A470/'Giả định'!$B$19*'Giả định'!$B$20+A470*'Giả định'!$B$23+'Giả định'!$B$24</f>
        <v>173105042.016807</v>
      </c>
      <c r="F470" s="25" t="n">
        <f aca="false">E470-D470</f>
        <v>-486621057.983193</v>
      </c>
      <c r="G470" s="25" t="n">
        <f aca="false">E470-C470</f>
        <v>-343016057.983193</v>
      </c>
      <c r="H470" s="7" t="str">
        <f aca="false">IF(F470&gt;=0,A470,"")</f>
        <v/>
      </c>
      <c r="I470" s="7" t="n">
        <f aca="false">IF(F470&lt;0,A470,0)</f>
        <v>465</v>
      </c>
      <c r="J470" s="7" t="str">
        <f aca="false">IF(G470&gt;=0,A470,"")</f>
        <v/>
      </c>
      <c r="K470" s="7" t="n">
        <f aca="false">IF(G470&lt;0,A470,0)</f>
        <v>465</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516157840</v>
      </c>
      <c r="D471" s="25" t="n">
        <f aca="false">('Chi phí'!$C$77+'Chi phí'!$D$77*B471+'Chi phí'!$E$77*A471+'Giả định'!$B$15*('Chi phí'!$F$77+'Chi phí'!$G$77*B471+'Chi phí'!$H$77*A471))*(1+'Giả định'!$B$16)</f>
        <v>659762840</v>
      </c>
      <c r="E471" s="25" t="n">
        <f aca="false">A471/'Giả định'!$B$19*'Giả định'!$B$20+A471*'Giả định'!$B$23+'Giả định'!$B$24</f>
        <v>173477310.92437</v>
      </c>
      <c r="F471" s="25" t="n">
        <f aca="false">E471-D471</f>
        <v>-486285529.07563</v>
      </c>
      <c r="G471" s="25" t="n">
        <f aca="false">E471-C471</f>
        <v>-342680529.07563</v>
      </c>
      <c r="H471" s="7" t="str">
        <f aca="false">IF(F471&gt;=0,A471,"")</f>
        <v/>
      </c>
      <c r="I471" s="7" t="n">
        <f aca="false">IF(F471&lt;0,A471,0)</f>
        <v>466</v>
      </c>
      <c r="J471" s="7" t="str">
        <f aca="false">IF(G471&gt;=0,A471,"")</f>
        <v/>
      </c>
      <c r="K471" s="7" t="n">
        <f aca="false">IF(G471&lt;0,A471,0)</f>
        <v>466</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516194580</v>
      </c>
      <c r="D472" s="25" t="n">
        <f aca="false">('Chi phí'!$C$77+'Chi phí'!$D$77*B472+'Chi phí'!$E$77*A472+'Giả định'!$B$15*('Chi phí'!$F$77+'Chi phí'!$G$77*B472+'Chi phí'!$H$77*A472))*(1+'Giả định'!$B$16)</f>
        <v>659799580</v>
      </c>
      <c r="E472" s="25" t="n">
        <f aca="false">A472/'Giả định'!$B$19*'Giả định'!$B$20+A472*'Giả định'!$B$23+'Giả định'!$B$24</f>
        <v>173849579.831933</v>
      </c>
      <c r="F472" s="25" t="n">
        <f aca="false">E472-D472</f>
        <v>-485950000.168067</v>
      </c>
      <c r="G472" s="25" t="n">
        <f aca="false">E472-C472</f>
        <v>-342345000.168067</v>
      </c>
      <c r="H472" s="7" t="str">
        <f aca="false">IF(F472&gt;=0,A472,"")</f>
        <v/>
      </c>
      <c r="I472" s="7" t="n">
        <f aca="false">IF(F472&lt;0,A472,0)</f>
        <v>467</v>
      </c>
      <c r="J472" s="7" t="str">
        <f aca="false">IF(G472&gt;=0,A472,"")</f>
        <v/>
      </c>
      <c r="K472" s="7" t="n">
        <f aca="false">IF(G472&lt;0,A472,0)</f>
        <v>467</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516231320</v>
      </c>
      <c r="D473" s="25" t="n">
        <f aca="false">('Chi phí'!$C$77+'Chi phí'!$D$77*B473+'Chi phí'!$E$77*A473+'Giả định'!$B$15*('Chi phí'!$F$77+'Chi phí'!$G$77*B473+'Chi phí'!$H$77*A473))*(1+'Giả định'!$B$16)</f>
        <v>659836320</v>
      </c>
      <c r="E473" s="25" t="n">
        <f aca="false">A473/'Giả định'!$B$19*'Giả định'!$B$20+A473*'Giả định'!$B$23+'Giả định'!$B$24</f>
        <v>174221848.739496</v>
      </c>
      <c r="F473" s="25" t="n">
        <f aca="false">E473-D473</f>
        <v>-485614471.260504</v>
      </c>
      <c r="G473" s="25" t="n">
        <f aca="false">E473-C473</f>
        <v>-342009471.260504</v>
      </c>
      <c r="H473" s="7" t="str">
        <f aca="false">IF(F473&gt;=0,A473,"")</f>
        <v/>
      </c>
      <c r="I473" s="7" t="n">
        <f aca="false">IF(F473&lt;0,A473,0)</f>
        <v>468</v>
      </c>
      <c r="J473" s="7" t="str">
        <f aca="false">IF(G473&gt;=0,A473,"")</f>
        <v/>
      </c>
      <c r="K473" s="7" t="n">
        <f aca="false">IF(G473&lt;0,A473,0)</f>
        <v>468</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516268060</v>
      </c>
      <c r="D474" s="25" t="n">
        <f aca="false">('Chi phí'!$C$77+'Chi phí'!$D$77*B474+'Chi phí'!$E$77*A474+'Giả định'!$B$15*('Chi phí'!$F$77+'Chi phí'!$G$77*B474+'Chi phí'!$H$77*A474))*(1+'Giả định'!$B$16)</f>
        <v>659873060</v>
      </c>
      <c r="E474" s="25" t="n">
        <f aca="false">A474/'Giả định'!$B$19*'Giả định'!$B$20+A474*'Giả định'!$B$23+'Giả định'!$B$24</f>
        <v>174594117.647059</v>
      </c>
      <c r="F474" s="25" t="n">
        <f aca="false">E474-D474</f>
        <v>-485278942.352941</v>
      </c>
      <c r="G474" s="25" t="n">
        <f aca="false">E474-C474</f>
        <v>-341673942.352941</v>
      </c>
      <c r="H474" s="7" t="str">
        <f aca="false">IF(F474&gt;=0,A474,"")</f>
        <v/>
      </c>
      <c r="I474" s="7" t="n">
        <f aca="false">IF(F474&lt;0,A474,0)</f>
        <v>469</v>
      </c>
      <c r="J474" s="7" t="str">
        <f aca="false">IF(G474&gt;=0,A474,"")</f>
        <v/>
      </c>
      <c r="K474" s="7" t="n">
        <f aca="false">IF(G474&lt;0,A474,0)</f>
        <v>469</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516304800</v>
      </c>
      <c r="D475" s="25" t="n">
        <f aca="false">('Chi phí'!$C$77+'Chi phí'!$D$77*B475+'Chi phí'!$E$77*A475+'Giả định'!$B$15*('Chi phí'!$F$77+'Chi phí'!$G$77*B475+'Chi phí'!$H$77*A475))*(1+'Giả định'!$B$16)</f>
        <v>659909800</v>
      </c>
      <c r="E475" s="25" t="n">
        <f aca="false">A475/'Giả định'!$B$19*'Giả định'!$B$20+A475*'Giả định'!$B$23+'Giả định'!$B$24</f>
        <v>174966386.554622</v>
      </c>
      <c r="F475" s="25" t="n">
        <f aca="false">E475-D475</f>
        <v>-484943413.445378</v>
      </c>
      <c r="G475" s="25" t="n">
        <f aca="false">E475-C475</f>
        <v>-341338413.445378</v>
      </c>
      <c r="H475" s="7" t="str">
        <f aca="false">IF(F475&gt;=0,A475,"")</f>
        <v/>
      </c>
      <c r="I475" s="7" t="n">
        <f aca="false">IF(F475&lt;0,A475,0)</f>
        <v>470</v>
      </c>
      <c r="J475" s="7" t="str">
        <f aca="false">IF(G475&gt;=0,A475,"")</f>
        <v/>
      </c>
      <c r="K475" s="7" t="n">
        <f aca="false">IF(G475&lt;0,A475,0)</f>
        <v>470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525515540</v>
      </c>
      <c r="D476" s="25" t="n">
        <f aca="false">('Chi phí'!$C$77+'Chi phí'!$D$77*B476+'Chi phí'!$E$77*A476+'Giả định'!$B$15*('Chi phí'!$F$77+'Chi phí'!$G$77*B476+'Chi phí'!$H$77*A476))*(1+'Giả định'!$B$16)</f>
        <v>669120540</v>
      </c>
      <c r="E476" s="25" t="n">
        <f aca="false">A476/'Giả định'!$B$19*'Giả định'!$B$20+A476*'Giả định'!$B$23+'Giả định'!$B$24</f>
        <v>175338655.462185</v>
      </c>
      <c r="F476" s="25" t="n">
        <f aca="false">E476-D476</f>
        <v>-493781884.537815</v>
      </c>
      <c r="G476" s="25" t="n">
        <f aca="false">E476-C476</f>
        <v>-350176884.537815</v>
      </c>
      <c r="H476" s="7" t="str">
        <f aca="false">IF(F476&gt;=0,A476,"")</f>
        <v/>
      </c>
      <c r="I476" s="7" t="n">
        <f aca="false">IF(F476&lt;0,A476,0)</f>
        <v>471</v>
      </c>
      <c r="J476" s="7" t="str">
        <f aca="false">IF(G476&gt;=0,A476,"")</f>
        <v/>
      </c>
      <c r="K476" s="7" t="n">
        <f aca="false">IF(G476&lt;0,A476,0)</f>
        <v>471</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525552280</v>
      </c>
      <c r="D477" s="25" t="n">
        <f aca="false">('Chi phí'!$C$77+'Chi phí'!$D$77*B477+'Chi phí'!$E$77*A477+'Giả định'!$B$15*('Chi phí'!$F$77+'Chi phí'!$G$77*B477+'Chi phí'!$H$77*A477))*(1+'Giả định'!$B$16)</f>
        <v>669157280</v>
      </c>
      <c r="E477" s="25" t="n">
        <f aca="false">A477/'Giả định'!$B$19*'Giả định'!$B$20+A477*'Giả định'!$B$23+'Giả định'!$B$24</f>
        <v>175710924.369748</v>
      </c>
      <c r="F477" s="25" t="n">
        <f aca="false">E477-D477</f>
        <v>-493446355.630252</v>
      </c>
      <c r="G477" s="25" t="n">
        <f aca="false">E477-C477</f>
        <v>-349841355.630252</v>
      </c>
      <c r="H477" s="7" t="str">
        <f aca="false">IF(F477&gt;=0,A477,"")</f>
        <v/>
      </c>
      <c r="I477" s="7" t="n">
        <f aca="false">IF(F477&lt;0,A477,0)</f>
        <v>472</v>
      </c>
      <c r="J477" s="7" t="str">
        <f aca="false">IF(G477&gt;=0,A477,"")</f>
        <v/>
      </c>
      <c r="K477" s="7" t="n">
        <f aca="false">IF(G477&lt;0,A477,0)</f>
        <v>472</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525589020</v>
      </c>
      <c r="D478" s="25" t="n">
        <f aca="false">('Chi phí'!$C$77+'Chi phí'!$D$77*B478+'Chi phí'!$E$77*A478+'Giả định'!$B$15*('Chi phí'!$F$77+'Chi phí'!$G$77*B478+'Chi phí'!$H$77*A478))*(1+'Giả định'!$B$16)</f>
        <v>669194020</v>
      </c>
      <c r="E478" s="25" t="n">
        <f aca="false">A478/'Giả định'!$B$19*'Giả định'!$B$20+A478*'Giả định'!$B$23+'Giả định'!$B$24</f>
        <v>176083193.277311</v>
      </c>
      <c r="F478" s="25" t="n">
        <f aca="false">E478-D478</f>
        <v>-493110826.722689</v>
      </c>
      <c r="G478" s="25" t="n">
        <f aca="false">E478-C478</f>
        <v>-349505826.722689</v>
      </c>
      <c r="H478" s="7" t="str">
        <f aca="false">IF(F478&gt;=0,A478,"")</f>
        <v/>
      </c>
      <c r="I478" s="7" t="n">
        <f aca="false">IF(F478&lt;0,A478,0)</f>
        <v>473</v>
      </c>
      <c r="J478" s="7" t="str">
        <f aca="false">IF(G478&gt;=0,A478,"")</f>
        <v/>
      </c>
      <c r="K478" s="7" t="n">
        <f aca="false">IF(G478&lt;0,A478,0)</f>
        <v>473</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525625760</v>
      </c>
      <c r="D479" s="25" t="n">
        <f aca="false">('Chi phí'!$C$77+'Chi phí'!$D$77*B479+'Chi phí'!$E$77*A479+'Giả định'!$B$15*('Chi phí'!$F$77+'Chi phí'!$G$77*B479+'Chi phí'!$H$77*A479))*(1+'Giả định'!$B$16)</f>
        <v>669230760</v>
      </c>
      <c r="E479" s="25" t="n">
        <f aca="false">A479/'Giả định'!$B$19*'Giả định'!$B$20+A479*'Giả định'!$B$23+'Giả định'!$B$24</f>
        <v>176455462.184874</v>
      </c>
      <c r="F479" s="25" t="n">
        <f aca="false">E479-D479</f>
        <v>-492775297.815126</v>
      </c>
      <c r="G479" s="25" t="n">
        <f aca="false">E479-C479</f>
        <v>-349170297.815126</v>
      </c>
      <c r="H479" s="7" t="str">
        <f aca="false">IF(F479&gt;=0,A479,"")</f>
        <v/>
      </c>
      <c r="I479" s="7" t="n">
        <f aca="false">IF(F479&lt;0,A479,0)</f>
        <v>474</v>
      </c>
      <c r="J479" s="7" t="str">
        <f aca="false">IF(G479&gt;=0,A479,"")</f>
        <v/>
      </c>
      <c r="K479" s="7" t="n">
        <f aca="false">IF(G479&lt;0,A479,0)</f>
        <v>474</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525662500</v>
      </c>
      <c r="D480" s="25" t="n">
        <f aca="false">('Chi phí'!$C$77+'Chi phí'!$D$77*B480+'Chi phí'!$E$77*A480+'Giả định'!$B$15*('Chi phí'!$F$77+'Chi phí'!$G$77*B480+'Chi phí'!$H$77*A480))*(1+'Giả định'!$B$16)</f>
        <v>669267500</v>
      </c>
      <c r="E480" s="25" t="n">
        <f aca="false">A480/'Giả định'!$B$19*'Giả định'!$B$20+A480*'Giả định'!$B$23+'Giả định'!$B$24</f>
        <v>176827731.092437</v>
      </c>
      <c r="F480" s="25" t="n">
        <f aca="false">E480-D480</f>
        <v>-492439768.907563</v>
      </c>
      <c r="G480" s="25" t="n">
        <f aca="false">E480-C480</f>
        <v>-348834768.907563</v>
      </c>
      <c r="H480" s="7" t="str">
        <f aca="false">IF(F480&gt;=0,A480,"")</f>
        <v/>
      </c>
      <c r="I480" s="7" t="n">
        <f aca="false">IF(F480&lt;0,A480,0)</f>
        <v>475</v>
      </c>
      <c r="J480" s="7" t="str">
        <f aca="false">IF(G480&gt;=0,A480,"")</f>
        <v/>
      </c>
      <c r="K480" s="7" t="n">
        <f aca="false">IF(G480&lt;0,A480,0)</f>
        <v>475</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525699240</v>
      </c>
      <c r="D481" s="25" t="n">
        <f aca="false">('Chi phí'!$C$77+'Chi phí'!$D$77*B481+'Chi phí'!$E$77*A481+'Giả định'!$B$15*('Chi phí'!$F$77+'Chi phí'!$G$77*B481+'Chi phí'!$H$77*A481))*(1+'Giả định'!$B$16)</f>
        <v>669304240</v>
      </c>
      <c r="E481" s="25" t="n">
        <f aca="false">A481/'Giả định'!$B$19*'Giả định'!$B$20+A481*'Giả định'!$B$23+'Giả định'!$B$24</f>
        <v>177200000</v>
      </c>
      <c r="F481" s="25" t="n">
        <f aca="false">E481-D481</f>
        <v>-492104240</v>
      </c>
      <c r="G481" s="25" t="n">
        <f aca="false">E481-C481</f>
        <v>-348499240</v>
      </c>
      <c r="H481" s="7" t="str">
        <f aca="false">IF(F481&gt;=0,A481,"")</f>
        <v/>
      </c>
      <c r="I481" s="7" t="n">
        <f aca="false">IF(F481&lt;0,A481,0)</f>
        <v>476</v>
      </c>
      <c r="J481" s="7" t="str">
        <f aca="false">IF(G481&gt;=0,A481,"")</f>
        <v/>
      </c>
      <c r="K481" s="7" t="n">
        <f aca="false">IF(G481&lt;0,A481,0)</f>
        <v>476</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525735980</v>
      </c>
      <c r="D482" s="25" t="n">
        <f aca="false">('Chi phí'!$C$77+'Chi phí'!$D$77*B482+'Chi phí'!$E$77*A482+'Giả định'!$B$15*('Chi phí'!$F$77+'Chi phí'!$G$77*B482+'Chi phí'!$H$77*A482))*(1+'Giả định'!$B$16)</f>
        <v>669340980</v>
      </c>
      <c r="E482" s="25" t="n">
        <f aca="false">A482/'Giả định'!$B$19*'Giả định'!$B$20+A482*'Giả định'!$B$23+'Giả định'!$B$24</f>
        <v>177572268.907563</v>
      </c>
      <c r="F482" s="25" t="n">
        <f aca="false">E482-D482</f>
        <v>-491768711.092437</v>
      </c>
      <c r="G482" s="25" t="n">
        <f aca="false">E482-C482</f>
        <v>-348163711.092437</v>
      </c>
      <c r="H482" s="7" t="str">
        <f aca="false">IF(F482&gt;=0,A482,"")</f>
        <v/>
      </c>
      <c r="I482" s="7" t="n">
        <f aca="false">IF(F482&lt;0,A482,0)</f>
        <v>477</v>
      </c>
      <c r="J482" s="7" t="str">
        <f aca="false">IF(G482&gt;=0,A482,"")</f>
        <v/>
      </c>
      <c r="K482" s="7" t="n">
        <f aca="false">IF(G482&lt;0,A482,0)</f>
        <v>477</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525772720</v>
      </c>
      <c r="D483" s="25" t="n">
        <f aca="false">('Chi phí'!$C$77+'Chi phí'!$D$77*B483+'Chi phí'!$E$77*A483+'Giả định'!$B$15*('Chi phí'!$F$77+'Chi phí'!$G$77*B483+'Chi phí'!$H$77*A483))*(1+'Giả định'!$B$16)</f>
        <v>669377720</v>
      </c>
      <c r="E483" s="25" t="n">
        <f aca="false">A483/'Giả định'!$B$19*'Giả định'!$B$20+A483*'Giả định'!$B$23+'Giả định'!$B$24</f>
        <v>177944537.815126</v>
      </c>
      <c r="F483" s="25" t="n">
        <f aca="false">E483-D483</f>
        <v>-491433182.184874</v>
      </c>
      <c r="G483" s="25" t="n">
        <f aca="false">E483-C483</f>
        <v>-347828182.184874</v>
      </c>
      <c r="H483" s="7" t="str">
        <f aca="false">IF(F483&gt;=0,A483,"")</f>
        <v/>
      </c>
      <c r="I483" s="7" t="n">
        <f aca="false">IF(F483&lt;0,A483,0)</f>
        <v>478</v>
      </c>
      <c r="J483" s="7" t="str">
        <f aca="false">IF(G483&gt;=0,A483,"")</f>
        <v/>
      </c>
      <c r="K483" s="7" t="n">
        <f aca="false">IF(G483&lt;0,A483,0)</f>
        <v>478</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525809460</v>
      </c>
      <c r="D484" s="25" t="n">
        <f aca="false">('Chi phí'!$C$77+'Chi phí'!$D$77*B484+'Chi phí'!$E$77*A484+'Giả định'!$B$15*('Chi phí'!$F$77+'Chi phí'!$G$77*B484+'Chi phí'!$H$77*A484))*(1+'Giả định'!$B$16)</f>
        <v>669414460</v>
      </c>
      <c r="E484" s="25" t="n">
        <f aca="false">A484/'Giả định'!$B$19*'Giả định'!$B$20+A484*'Giả định'!$B$23+'Giả định'!$B$24</f>
        <v>178316806.722689</v>
      </c>
      <c r="F484" s="25" t="n">
        <f aca="false">E484-D484</f>
        <v>-491097653.277311</v>
      </c>
      <c r="G484" s="25" t="n">
        <f aca="false">E484-C484</f>
        <v>-347492653.277311</v>
      </c>
      <c r="H484" s="7" t="str">
        <f aca="false">IF(F484&gt;=0,A484,"")</f>
        <v/>
      </c>
      <c r="I484" s="7" t="n">
        <f aca="false">IF(F484&lt;0,A484,0)</f>
        <v>479</v>
      </c>
      <c r="J484" s="7" t="str">
        <f aca="false">IF(G484&gt;=0,A484,"")</f>
        <v/>
      </c>
      <c r="K484" s="7" t="n">
        <f aca="false">IF(G484&lt;0,A484,0)</f>
        <v>479</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525846200</v>
      </c>
      <c r="D485" s="25" t="n">
        <f aca="false">('Chi phí'!$C$77+'Chi phí'!$D$77*B485+'Chi phí'!$E$77*A485+'Giả định'!$B$15*('Chi phí'!$F$77+'Chi phí'!$G$77*B485+'Chi phí'!$H$77*A485))*(1+'Giả định'!$B$16)</f>
        <v>669451200</v>
      </c>
      <c r="E485" s="25" t="n">
        <f aca="false">A485/'Giả định'!$B$19*'Giả định'!$B$20+A485*'Giả định'!$B$23+'Giả định'!$B$24</f>
        <v>178689075.630252</v>
      </c>
      <c r="F485" s="25" t="n">
        <f aca="false">E485-D485</f>
        <v>-490762124.369748</v>
      </c>
      <c r="G485" s="25" t="n">
        <f aca="false">E485-C485</f>
        <v>-347157124.369748</v>
      </c>
      <c r="H485" s="7" t="str">
        <f aca="false">IF(F485&gt;=0,A485,"")</f>
        <v/>
      </c>
      <c r="I485" s="7" t="n">
        <f aca="false">IF(F485&lt;0,A485,0)</f>
        <v>480</v>
      </c>
      <c r="J485" s="7" t="str">
        <f aca="false">IF(G485&gt;=0,A485,"")</f>
        <v/>
      </c>
      <c r="K485" s="7" t="n">
        <f aca="false">IF(G485&lt;0,A485,0)</f>
        <v>480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535056940</v>
      </c>
      <c r="D486" s="25" t="n">
        <f aca="false">('Chi phí'!$C$77+'Chi phí'!$D$77*B486+'Chi phí'!$E$77*A486+'Giả định'!$B$15*('Chi phí'!$F$77+'Chi phí'!$G$77*B486+'Chi phí'!$H$77*A486))*(1+'Giả định'!$B$16)</f>
        <v>678661940</v>
      </c>
      <c r="E486" s="25" t="n">
        <f aca="false">A486/'Giả định'!$B$19*'Giả định'!$B$20+A486*'Giả định'!$B$23+'Giả định'!$B$24</f>
        <v>179061344.537815</v>
      </c>
      <c r="F486" s="25" t="n">
        <f aca="false">E486-D486</f>
        <v>-499600595.462185</v>
      </c>
      <c r="G486" s="25" t="n">
        <f aca="false">E486-C486</f>
        <v>-355995595.462185</v>
      </c>
      <c r="H486" s="7" t="str">
        <f aca="false">IF(F486&gt;=0,A486,"")</f>
        <v/>
      </c>
      <c r="I486" s="7" t="n">
        <f aca="false">IF(F486&lt;0,A486,0)</f>
        <v>481</v>
      </c>
      <c r="J486" s="7" t="str">
        <f aca="false">IF(G486&gt;=0,A486,"")</f>
        <v/>
      </c>
      <c r="K486" s="7" t="n">
        <f aca="false">IF(G486&lt;0,A486,0)</f>
        <v>481</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535093680</v>
      </c>
      <c r="D487" s="25" t="n">
        <f aca="false">('Chi phí'!$C$77+'Chi phí'!$D$77*B487+'Chi phí'!$E$77*A487+'Giả định'!$B$15*('Chi phí'!$F$77+'Chi phí'!$G$77*B487+'Chi phí'!$H$77*A487))*(1+'Giả định'!$B$16)</f>
        <v>678698680</v>
      </c>
      <c r="E487" s="25" t="n">
        <f aca="false">A487/'Giả định'!$B$19*'Giả định'!$B$20+A487*'Giả định'!$B$23+'Giả định'!$B$24</f>
        <v>179433613.445378</v>
      </c>
      <c r="F487" s="25" t="n">
        <f aca="false">E487-D487</f>
        <v>-499265066.554622</v>
      </c>
      <c r="G487" s="25" t="n">
        <f aca="false">E487-C487</f>
        <v>-355660066.554622</v>
      </c>
      <c r="H487" s="7" t="str">
        <f aca="false">IF(F487&gt;=0,A487,"")</f>
        <v/>
      </c>
      <c r="I487" s="7" t="n">
        <f aca="false">IF(F487&lt;0,A487,0)</f>
        <v>482</v>
      </c>
      <c r="J487" s="7" t="str">
        <f aca="false">IF(G487&gt;=0,A487,"")</f>
        <v/>
      </c>
      <c r="K487" s="7" t="n">
        <f aca="false">IF(G487&lt;0,A487,0)</f>
        <v>482</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535130420</v>
      </c>
      <c r="D488" s="25" t="n">
        <f aca="false">('Chi phí'!$C$77+'Chi phí'!$D$77*B488+'Chi phí'!$E$77*A488+'Giả định'!$B$15*('Chi phí'!$F$77+'Chi phí'!$G$77*B488+'Chi phí'!$H$77*A488))*(1+'Giả định'!$B$16)</f>
        <v>678735420</v>
      </c>
      <c r="E488" s="25" t="n">
        <f aca="false">A488/'Giả định'!$B$19*'Giả định'!$B$20+A488*'Giả định'!$B$23+'Giả định'!$B$24</f>
        <v>179805882.352941</v>
      </c>
      <c r="F488" s="25" t="n">
        <f aca="false">E488-D488</f>
        <v>-498929537.647059</v>
      </c>
      <c r="G488" s="25" t="n">
        <f aca="false">E488-C488</f>
        <v>-355324537.647059</v>
      </c>
      <c r="H488" s="7" t="str">
        <f aca="false">IF(F488&gt;=0,A488,"")</f>
        <v/>
      </c>
      <c r="I488" s="7" t="n">
        <f aca="false">IF(F488&lt;0,A488,0)</f>
        <v>483</v>
      </c>
      <c r="J488" s="7" t="str">
        <f aca="false">IF(G488&gt;=0,A488,"")</f>
        <v/>
      </c>
      <c r="K488" s="7" t="n">
        <f aca="false">IF(G488&lt;0,A488,0)</f>
        <v>483</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535167160</v>
      </c>
      <c r="D489" s="25" t="n">
        <f aca="false">('Chi phí'!$C$77+'Chi phí'!$D$77*B489+'Chi phí'!$E$77*A489+'Giả định'!$B$15*('Chi phí'!$F$77+'Chi phí'!$G$77*B489+'Chi phí'!$H$77*A489))*(1+'Giả định'!$B$16)</f>
        <v>678772160</v>
      </c>
      <c r="E489" s="25" t="n">
        <f aca="false">A489/'Giả định'!$B$19*'Giả định'!$B$20+A489*'Giả định'!$B$23+'Giả định'!$B$24</f>
        <v>180178151.260504</v>
      </c>
      <c r="F489" s="25" t="n">
        <f aca="false">E489-D489</f>
        <v>-498594008.739496</v>
      </c>
      <c r="G489" s="25" t="n">
        <f aca="false">E489-C489</f>
        <v>-354989008.739496</v>
      </c>
      <c r="H489" s="7" t="str">
        <f aca="false">IF(F489&gt;=0,A489,"")</f>
        <v/>
      </c>
      <c r="I489" s="7" t="n">
        <f aca="false">IF(F489&lt;0,A489,0)</f>
        <v>484</v>
      </c>
      <c r="J489" s="7" t="str">
        <f aca="false">IF(G489&gt;=0,A489,"")</f>
        <v/>
      </c>
      <c r="K489" s="7" t="n">
        <f aca="false">IF(G489&lt;0,A489,0)</f>
        <v>484</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535203900</v>
      </c>
      <c r="D490" s="25" t="n">
        <f aca="false">('Chi phí'!$C$77+'Chi phí'!$D$77*B490+'Chi phí'!$E$77*A490+'Giả định'!$B$15*('Chi phí'!$F$77+'Chi phí'!$G$77*B490+'Chi phí'!$H$77*A490))*(1+'Giả định'!$B$16)</f>
        <v>678808900</v>
      </c>
      <c r="E490" s="25" t="n">
        <f aca="false">A490/'Giả định'!$B$19*'Giả định'!$B$20+A490*'Giả định'!$B$23+'Giả định'!$B$24</f>
        <v>180550420.168067</v>
      </c>
      <c r="F490" s="25" t="n">
        <f aca="false">E490-D490</f>
        <v>-498258479.831933</v>
      </c>
      <c r="G490" s="25" t="n">
        <f aca="false">E490-C490</f>
        <v>-354653479.831933</v>
      </c>
      <c r="H490" s="7" t="str">
        <f aca="false">IF(F490&gt;=0,A490,"")</f>
        <v/>
      </c>
      <c r="I490" s="7" t="n">
        <f aca="false">IF(F490&lt;0,A490,0)</f>
        <v>485</v>
      </c>
      <c r="J490" s="7" t="str">
        <f aca="false">IF(G490&gt;=0,A490,"")</f>
        <v/>
      </c>
      <c r="K490" s="7" t="n">
        <f aca="false">IF(G490&lt;0,A490,0)</f>
        <v>485</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535240640</v>
      </c>
      <c r="D491" s="25" t="n">
        <f aca="false">('Chi phí'!$C$77+'Chi phí'!$D$77*B491+'Chi phí'!$E$77*A491+'Giả định'!$B$15*('Chi phí'!$F$77+'Chi phí'!$G$77*B491+'Chi phí'!$H$77*A491))*(1+'Giả định'!$B$16)</f>
        <v>678845640</v>
      </c>
      <c r="E491" s="25" t="n">
        <f aca="false">A491/'Giả định'!$B$19*'Giả định'!$B$20+A491*'Giả định'!$B$23+'Giả định'!$B$24</f>
        <v>180922689.07563</v>
      </c>
      <c r="F491" s="25" t="n">
        <f aca="false">E491-D491</f>
        <v>-497922950.92437</v>
      </c>
      <c r="G491" s="25" t="n">
        <f aca="false">E491-C491</f>
        <v>-354317950.92437</v>
      </c>
      <c r="H491" s="7" t="str">
        <f aca="false">IF(F491&gt;=0,A491,"")</f>
        <v/>
      </c>
      <c r="I491" s="7" t="n">
        <f aca="false">IF(F491&lt;0,A491,0)</f>
        <v>486</v>
      </c>
      <c r="J491" s="7" t="str">
        <f aca="false">IF(G491&gt;=0,A491,"")</f>
        <v/>
      </c>
      <c r="K491" s="7" t="n">
        <f aca="false">IF(G491&lt;0,A491,0)</f>
        <v>486</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535277380</v>
      </c>
      <c r="D492" s="25" t="n">
        <f aca="false">('Chi phí'!$C$77+'Chi phí'!$D$77*B492+'Chi phí'!$E$77*A492+'Giả định'!$B$15*('Chi phí'!$F$77+'Chi phí'!$G$77*B492+'Chi phí'!$H$77*A492))*(1+'Giả định'!$B$16)</f>
        <v>678882380</v>
      </c>
      <c r="E492" s="25" t="n">
        <f aca="false">A492/'Giả định'!$B$19*'Giả định'!$B$20+A492*'Giả định'!$B$23+'Giả định'!$B$24</f>
        <v>181294957.983193</v>
      </c>
      <c r="F492" s="25" t="n">
        <f aca="false">E492-D492</f>
        <v>-497587422.016807</v>
      </c>
      <c r="G492" s="25" t="n">
        <f aca="false">E492-C492</f>
        <v>-353982422.016807</v>
      </c>
      <c r="H492" s="7" t="str">
        <f aca="false">IF(F492&gt;=0,A492,"")</f>
        <v/>
      </c>
      <c r="I492" s="7" t="n">
        <f aca="false">IF(F492&lt;0,A492,0)</f>
        <v>487</v>
      </c>
      <c r="J492" s="7" t="str">
        <f aca="false">IF(G492&gt;=0,A492,"")</f>
        <v/>
      </c>
      <c r="K492" s="7" t="n">
        <f aca="false">IF(G492&lt;0,A492,0)</f>
        <v>487</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535314120</v>
      </c>
      <c r="D493" s="25" t="n">
        <f aca="false">('Chi phí'!$C$77+'Chi phí'!$D$77*B493+'Chi phí'!$E$77*A493+'Giả định'!$B$15*('Chi phí'!$F$77+'Chi phí'!$G$77*B493+'Chi phí'!$H$77*A493))*(1+'Giả định'!$B$16)</f>
        <v>678919120</v>
      </c>
      <c r="E493" s="25" t="n">
        <f aca="false">A493/'Giả định'!$B$19*'Giả định'!$B$20+A493*'Giả định'!$B$23+'Giả định'!$B$24</f>
        <v>181667226.890756</v>
      </c>
      <c r="F493" s="25" t="n">
        <f aca="false">E493-D493</f>
        <v>-497251893.109244</v>
      </c>
      <c r="G493" s="25" t="n">
        <f aca="false">E493-C493</f>
        <v>-353646893.109244</v>
      </c>
      <c r="H493" s="7" t="str">
        <f aca="false">IF(F493&gt;=0,A493,"")</f>
        <v/>
      </c>
      <c r="I493" s="7" t="n">
        <f aca="false">IF(F493&lt;0,A493,0)</f>
        <v>488</v>
      </c>
      <c r="J493" s="7" t="str">
        <f aca="false">IF(G493&gt;=0,A493,"")</f>
        <v/>
      </c>
      <c r="K493" s="7" t="n">
        <f aca="false">IF(G493&lt;0,A493,0)</f>
        <v>488</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535350860</v>
      </c>
      <c r="D494" s="25" t="n">
        <f aca="false">('Chi phí'!$C$77+'Chi phí'!$D$77*B494+'Chi phí'!$E$77*A494+'Giả định'!$B$15*('Chi phí'!$F$77+'Chi phí'!$G$77*B494+'Chi phí'!$H$77*A494))*(1+'Giả định'!$B$16)</f>
        <v>678955860</v>
      </c>
      <c r="E494" s="25" t="n">
        <f aca="false">A494/'Giả định'!$B$19*'Giả định'!$B$20+A494*'Giả định'!$B$23+'Giả định'!$B$24</f>
        <v>182039495.798319</v>
      </c>
      <c r="F494" s="25" t="n">
        <f aca="false">E494-D494</f>
        <v>-496916364.201681</v>
      </c>
      <c r="G494" s="25" t="n">
        <f aca="false">E494-C494</f>
        <v>-353311364.201681</v>
      </c>
      <c r="H494" s="7" t="str">
        <f aca="false">IF(F494&gt;=0,A494,"")</f>
        <v/>
      </c>
      <c r="I494" s="7" t="n">
        <f aca="false">IF(F494&lt;0,A494,0)</f>
        <v>489</v>
      </c>
      <c r="J494" s="7" t="str">
        <f aca="false">IF(G494&gt;=0,A494,"")</f>
        <v/>
      </c>
      <c r="K494" s="7" t="n">
        <f aca="false">IF(G494&lt;0,A494,0)</f>
        <v>489</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535387600</v>
      </c>
      <c r="D495" s="25" t="n">
        <f aca="false">('Chi phí'!$C$77+'Chi phí'!$D$77*B495+'Chi phí'!$E$77*A495+'Giả định'!$B$15*('Chi phí'!$F$77+'Chi phí'!$G$77*B495+'Chi phí'!$H$77*A495))*(1+'Giả định'!$B$16)</f>
        <v>678992600</v>
      </c>
      <c r="E495" s="25" t="n">
        <f aca="false">A495/'Giả định'!$B$19*'Giả định'!$B$20+A495*'Giả định'!$B$23+'Giả định'!$B$24</f>
        <v>182411764.705882</v>
      </c>
      <c r="F495" s="25" t="n">
        <f aca="false">E495-D495</f>
        <v>-496580835.294118</v>
      </c>
      <c r="G495" s="25" t="n">
        <f aca="false">E495-C495</f>
        <v>-352975835.294118</v>
      </c>
      <c r="H495" s="7" t="str">
        <f aca="false">IF(F495&gt;=0,A495,"")</f>
        <v/>
      </c>
      <c r="I495" s="7" t="n">
        <f aca="false">IF(F495&lt;0,A495,0)</f>
        <v>490</v>
      </c>
      <c r="J495" s="7" t="str">
        <f aca="false">IF(G495&gt;=0,A495,"")</f>
        <v/>
      </c>
      <c r="K495" s="7" t="n">
        <f aca="false">IF(G495&lt;0,A495,0)</f>
        <v>490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544598340</v>
      </c>
      <c r="D496" s="25" t="n">
        <f aca="false">('Chi phí'!$C$77+'Chi phí'!$D$77*B496+'Chi phí'!$E$77*A496+'Giả định'!$B$15*('Chi phí'!$F$77+'Chi phí'!$G$77*B496+'Chi phí'!$H$77*A496))*(1+'Giả định'!$B$16)</f>
        <v>688203340</v>
      </c>
      <c r="E496" s="25" t="n">
        <f aca="false">A496/'Giả định'!$B$19*'Giả định'!$B$20+A496*'Giả định'!$B$23+'Giả định'!$B$24</f>
        <v>182784033.613445</v>
      </c>
      <c r="F496" s="25" t="n">
        <f aca="false">E496-D496</f>
        <v>-505419306.386555</v>
      </c>
      <c r="G496" s="25" t="n">
        <f aca="false">E496-C496</f>
        <v>-361814306.386555</v>
      </c>
      <c r="H496" s="7" t="str">
        <f aca="false">IF(F496&gt;=0,A496,"")</f>
        <v/>
      </c>
      <c r="I496" s="7" t="n">
        <f aca="false">IF(F496&lt;0,A496,0)</f>
        <v>491</v>
      </c>
      <c r="J496" s="7" t="str">
        <f aca="false">IF(G496&gt;=0,A496,"")</f>
        <v/>
      </c>
      <c r="K496" s="7" t="n">
        <f aca="false">IF(G496&lt;0,A496,0)</f>
        <v>491</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544635080</v>
      </c>
      <c r="D497" s="25" t="n">
        <f aca="false">('Chi phí'!$C$77+'Chi phí'!$D$77*B497+'Chi phí'!$E$77*A497+'Giả định'!$B$15*('Chi phí'!$F$77+'Chi phí'!$G$77*B497+'Chi phí'!$H$77*A497))*(1+'Giả định'!$B$16)</f>
        <v>688240080</v>
      </c>
      <c r="E497" s="25" t="n">
        <f aca="false">A497/'Giả định'!$B$19*'Giả định'!$B$20+A497*'Giả định'!$B$23+'Giả định'!$B$24</f>
        <v>183156302.521008</v>
      </c>
      <c r="F497" s="25" t="n">
        <f aca="false">E497-D497</f>
        <v>-505083777.478992</v>
      </c>
      <c r="G497" s="25" t="n">
        <f aca="false">E497-C497</f>
        <v>-361478777.478992</v>
      </c>
      <c r="H497" s="7" t="str">
        <f aca="false">IF(F497&gt;=0,A497,"")</f>
        <v/>
      </c>
      <c r="I497" s="7" t="n">
        <f aca="false">IF(F497&lt;0,A497,0)</f>
        <v>492</v>
      </c>
      <c r="J497" s="7" t="str">
        <f aca="false">IF(G497&gt;=0,A497,"")</f>
        <v/>
      </c>
      <c r="K497" s="7" t="n">
        <f aca="false">IF(G497&lt;0,A497,0)</f>
        <v>492</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544671820</v>
      </c>
      <c r="D498" s="25" t="n">
        <f aca="false">('Chi phí'!$C$77+'Chi phí'!$D$77*B498+'Chi phí'!$E$77*A498+'Giả định'!$B$15*('Chi phí'!$F$77+'Chi phí'!$G$77*B498+'Chi phí'!$H$77*A498))*(1+'Giả định'!$B$16)</f>
        <v>688276820</v>
      </c>
      <c r="E498" s="25" t="n">
        <f aca="false">A498/'Giả định'!$B$19*'Giả định'!$B$20+A498*'Giả định'!$B$23+'Giả định'!$B$24</f>
        <v>183528571.428571</v>
      </c>
      <c r="F498" s="25" t="n">
        <f aca="false">E498-D498</f>
        <v>-504748248.571429</v>
      </c>
      <c r="G498" s="25" t="n">
        <f aca="false">E498-C498</f>
        <v>-361143248.571429</v>
      </c>
      <c r="H498" s="7" t="str">
        <f aca="false">IF(F498&gt;=0,A498,"")</f>
        <v/>
      </c>
      <c r="I498" s="7" t="n">
        <f aca="false">IF(F498&lt;0,A498,0)</f>
        <v>493</v>
      </c>
      <c r="J498" s="7" t="str">
        <f aca="false">IF(G498&gt;=0,A498,"")</f>
        <v/>
      </c>
      <c r="K498" s="7" t="n">
        <f aca="false">IF(G498&lt;0,A498,0)</f>
        <v>493</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544708560</v>
      </c>
      <c r="D499" s="25" t="n">
        <f aca="false">('Chi phí'!$C$77+'Chi phí'!$D$77*B499+'Chi phí'!$E$77*A499+'Giả định'!$B$15*('Chi phí'!$F$77+'Chi phí'!$G$77*B499+'Chi phí'!$H$77*A499))*(1+'Giả định'!$B$16)</f>
        <v>688313560</v>
      </c>
      <c r="E499" s="25" t="n">
        <f aca="false">A499/'Giả định'!$B$19*'Giả định'!$B$20+A499*'Giả định'!$B$23+'Giả định'!$B$24</f>
        <v>183900840.336134</v>
      </c>
      <c r="F499" s="25" t="n">
        <f aca="false">E499-D499</f>
        <v>-504412719.663866</v>
      </c>
      <c r="G499" s="25" t="n">
        <f aca="false">E499-C499</f>
        <v>-360807719.663866</v>
      </c>
      <c r="H499" s="7" t="str">
        <f aca="false">IF(F499&gt;=0,A499,"")</f>
        <v/>
      </c>
      <c r="I499" s="7" t="n">
        <f aca="false">IF(F499&lt;0,A499,0)</f>
        <v>494</v>
      </c>
      <c r="J499" s="7" t="str">
        <f aca="false">IF(G499&gt;=0,A499,"")</f>
        <v/>
      </c>
      <c r="K499" s="7" t="n">
        <f aca="false">IF(G499&lt;0,A499,0)</f>
        <v>494</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544745300</v>
      </c>
      <c r="D500" s="25" t="n">
        <f aca="false">('Chi phí'!$C$77+'Chi phí'!$D$77*B500+'Chi phí'!$E$77*A500+'Giả định'!$B$15*('Chi phí'!$F$77+'Chi phí'!$G$77*B500+'Chi phí'!$H$77*A500))*(1+'Giả định'!$B$16)</f>
        <v>688350300</v>
      </c>
      <c r="E500" s="25" t="n">
        <f aca="false">A500/'Giả định'!$B$19*'Giả định'!$B$20+A500*'Giả định'!$B$23+'Giả định'!$B$24</f>
        <v>184273109.243698</v>
      </c>
      <c r="F500" s="25" t="n">
        <f aca="false">E500-D500</f>
        <v>-504077190.756303</v>
      </c>
      <c r="G500" s="25" t="n">
        <f aca="false">E500-C500</f>
        <v>-360472190.756303</v>
      </c>
      <c r="H500" s="7" t="str">
        <f aca="false">IF(F500&gt;=0,A500,"")</f>
        <v/>
      </c>
      <c r="I500" s="7" t="n">
        <f aca="false">IF(F500&lt;0,A500,0)</f>
        <v>495</v>
      </c>
      <c r="J500" s="7" t="str">
        <f aca="false">IF(G500&gt;=0,A500,"")</f>
        <v/>
      </c>
      <c r="K500" s="7" t="n">
        <f aca="false">IF(G500&lt;0,A500,0)</f>
        <v>495</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544782040</v>
      </c>
      <c r="D501" s="25" t="n">
        <f aca="false">('Chi phí'!$C$77+'Chi phí'!$D$77*B501+'Chi phí'!$E$77*A501+'Giả định'!$B$15*('Chi phí'!$F$77+'Chi phí'!$G$77*B501+'Chi phí'!$H$77*A501))*(1+'Giả định'!$B$16)</f>
        <v>688387040</v>
      </c>
      <c r="E501" s="25" t="n">
        <f aca="false">A501/'Giả định'!$B$19*'Giả định'!$B$20+A501*'Giả định'!$B$23+'Giả định'!$B$24</f>
        <v>184645378.151261</v>
      </c>
      <c r="F501" s="25" t="n">
        <f aca="false">E501-D501</f>
        <v>-503741661.84874</v>
      </c>
      <c r="G501" s="25" t="n">
        <f aca="false">E501-C501</f>
        <v>-360136661.84874</v>
      </c>
      <c r="H501" s="7" t="str">
        <f aca="false">IF(F501&gt;=0,A501,"")</f>
        <v/>
      </c>
      <c r="I501" s="7" t="n">
        <f aca="false">IF(F501&lt;0,A501,0)</f>
        <v>496</v>
      </c>
      <c r="J501" s="7" t="str">
        <f aca="false">IF(G501&gt;=0,A501,"")</f>
        <v/>
      </c>
      <c r="K501" s="7" t="n">
        <f aca="false">IF(G501&lt;0,A501,0)</f>
        <v>496</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544818780</v>
      </c>
      <c r="D502" s="25" t="n">
        <f aca="false">('Chi phí'!$C$77+'Chi phí'!$D$77*B502+'Chi phí'!$E$77*A502+'Giả định'!$B$15*('Chi phí'!$F$77+'Chi phí'!$G$77*B502+'Chi phí'!$H$77*A502))*(1+'Giả định'!$B$16)</f>
        <v>688423780</v>
      </c>
      <c r="E502" s="25" t="n">
        <f aca="false">A502/'Giả định'!$B$19*'Giả định'!$B$20+A502*'Giả định'!$B$23+'Giả định'!$B$24</f>
        <v>185017647.058824</v>
      </c>
      <c r="F502" s="25" t="n">
        <f aca="false">E502-D502</f>
        <v>-503406132.941177</v>
      </c>
      <c r="G502" s="25" t="n">
        <f aca="false">E502-C502</f>
        <v>-359801132.941177</v>
      </c>
      <c r="H502" s="7" t="str">
        <f aca="false">IF(F502&gt;=0,A502,"")</f>
        <v/>
      </c>
      <c r="I502" s="7" t="n">
        <f aca="false">IF(F502&lt;0,A502,0)</f>
        <v>497</v>
      </c>
      <c r="J502" s="7" t="str">
        <f aca="false">IF(G502&gt;=0,A502,"")</f>
        <v/>
      </c>
      <c r="K502" s="7" t="n">
        <f aca="false">IF(G502&lt;0,A502,0)</f>
        <v>497</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544855520</v>
      </c>
      <c r="D503" s="25" t="n">
        <f aca="false">('Chi phí'!$C$77+'Chi phí'!$D$77*B503+'Chi phí'!$E$77*A503+'Giả định'!$B$15*('Chi phí'!$F$77+'Chi phí'!$G$77*B503+'Chi phí'!$H$77*A503))*(1+'Giả định'!$B$16)</f>
        <v>688460520</v>
      </c>
      <c r="E503" s="25" t="n">
        <f aca="false">A503/'Giả định'!$B$19*'Giả định'!$B$20+A503*'Giả định'!$B$23+'Giả định'!$B$24</f>
        <v>185389915.966387</v>
      </c>
      <c r="F503" s="25" t="n">
        <f aca="false">E503-D503</f>
        <v>-503070604.033613</v>
      </c>
      <c r="G503" s="25" t="n">
        <f aca="false">E503-C503</f>
        <v>-359465604.033613</v>
      </c>
      <c r="H503" s="7" t="str">
        <f aca="false">IF(F503&gt;=0,A503,"")</f>
        <v/>
      </c>
      <c r="I503" s="7" t="n">
        <f aca="false">IF(F503&lt;0,A503,0)</f>
        <v>498</v>
      </c>
      <c r="J503" s="7" t="str">
        <f aca="false">IF(G503&gt;=0,A503,"")</f>
        <v/>
      </c>
      <c r="K503" s="7" t="n">
        <f aca="false">IF(G503&lt;0,A503,0)</f>
        <v>498</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544892260</v>
      </c>
      <c r="D504" s="25" t="n">
        <f aca="false">('Chi phí'!$C$77+'Chi phí'!$D$77*B504+'Chi phí'!$E$77*A504+'Giả định'!$B$15*('Chi phí'!$F$77+'Chi phí'!$G$77*B504+'Chi phí'!$H$77*A504))*(1+'Giả định'!$B$16)</f>
        <v>688497260</v>
      </c>
      <c r="E504" s="25" t="n">
        <f aca="false">A504/'Giả định'!$B$19*'Giả định'!$B$20+A504*'Giả định'!$B$23+'Giả định'!$B$24</f>
        <v>185762184.87395</v>
      </c>
      <c r="F504" s="25" t="n">
        <f aca="false">E504-D504</f>
        <v>-502735075.12605</v>
      </c>
      <c r="G504" s="25" t="n">
        <f aca="false">E504-C504</f>
        <v>-359130075.12605</v>
      </c>
      <c r="H504" s="7" t="str">
        <f aca="false">IF(F504&gt;=0,A504,"")</f>
        <v/>
      </c>
      <c r="I504" s="7" t="n">
        <f aca="false">IF(F504&lt;0,A504,0)</f>
        <v>499</v>
      </c>
      <c r="J504" s="7" t="str">
        <f aca="false">IF(G504&gt;=0,A504,"")</f>
        <v/>
      </c>
      <c r="K504" s="7" t="n">
        <f aca="false">IF(G504&lt;0,A504,0)</f>
        <v>499</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544929000</v>
      </c>
      <c r="D505" s="25" t="n">
        <f aca="false">('Chi phí'!$C$77+'Chi phí'!$D$77*B505+'Chi phí'!$E$77*A505+'Giả định'!$B$15*('Chi phí'!$F$77+'Chi phí'!$G$77*B505+'Chi phí'!$H$77*A505))*(1+'Giả định'!$B$16)</f>
        <v>688534000</v>
      </c>
      <c r="E505" s="25" t="n">
        <f aca="false">A505/'Giả định'!$B$19*'Giả định'!$B$20+A505*'Giả định'!$B$23+'Giả định'!$B$24</f>
        <v>186134453.781513</v>
      </c>
      <c r="F505" s="25" t="n">
        <f aca="false">E505-D505</f>
        <v>-502399546.218487</v>
      </c>
      <c r="G505" s="25" t="n">
        <f aca="false">E505-C505</f>
        <v>-358794546.218487</v>
      </c>
      <c r="H505" s="7" t="str">
        <f aca="false">IF(F505&gt;=0,A505,"")</f>
        <v/>
      </c>
      <c r="I505" s="7" t="n">
        <f aca="false">IF(F505&lt;0,A505,0)</f>
        <v>500</v>
      </c>
      <c r="J505" s="7" t="str">
        <f aca="false">IF(G505&gt;=0,A505,"")</f>
        <v/>
      </c>
      <c r="K505" s="7" t="n">
        <f aca="false">IF(G505&lt;0,A505,0)</f>
        <v>500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554139740</v>
      </c>
      <c r="D506" s="25" t="n">
        <f aca="false">('Chi phí'!$C$77+'Chi phí'!$D$77*B506+'Chi phí'!$E$77*A506+'Giả định'!$B$15*('Chi phí'!$F$77+'Chi phí'!$G$77*B506+'Chi phí'!$H$77*A506))*(1+'Giả định'!$B$16)</f>
        <v>697744740</v>
      </c>
      <c r="E506" s="25" t="n">
        <f aca="false">A506/'Giả định'!$B$19*'Giả định'!$B$20+A506*'Giả định'!$B$23+'Giả định'!$B$24</f>
        <v>186506722.689076</v>
      </c>
      <c r="F506" s="25" t="n">
        <f aca="false">E506-D506</f>
        <v>-511238017.310924</v>
      </c>
      <c r="G506" s="25" t="n">
        <f aca="false">E506-C506</f>
        <v>-367633017.310924</v>
      </c>
      <c r="H506" s="7" t="str">
        <f aca="false">IF(F506&gt;=0,A506,"")</f>
        <v/>
      </c>
      <c r="I506" s="7" t="n">
        <f aca="false">IF(F506&lt;0,A506,0)</f>
        <v>501</v>
      </c>
      <c r="J506" s="7" t="str">
        <f aca="false">IF(G506&gt;=0,A506,"")</f>
        <v/>
      </c>
      <c r="K506" s="7" t="n">
        <f aca="false">IF(G506&lt;0,A506,0)</f>
        <v>501</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554176480</v>
      </c>
      <c r="D507" s="25" t="n">
        <f aca="false">('Chi phí'!$C$77+'Chi phí'!$D$77*B507+'Chi phí'!$E$77*A507+'Giả định'!$B$15*('Chi phí'!$F$77+'Chi phí'!$G$77*B507+'Chi phí'!$H$77*A507))*(1+'Giả định'!$B$16)</f>
        <v>697781480</v>
      </c>
      <c r="E507" s="25" t="n">
        <f aca="false">A507/'Giả định'!$B$19*'Giả định'!$B$20+A507*'Giả định'!$B$23+'Giả định'!$B$24</f>
        <v>186878991.596639</v>
      </c>
      <c r="F507" s="25" t="n">
        <f aca="false">E507-D507</f>
        <v>-510902488.403361</v>
      </c>
      <c r="G507" s="25" t="n">
        <f aca="false">E507-C507</f>
        <v>-367297488.403361</v>
      </c>
      <c r="H507" s="7" t="str">
        <f aca="false">IF(F507&gt;=0,A507,"")</f>
        <v/>
      </c>
      <c r="I507" s="7" t="n">
        <f aca="false">IF(F507&lt;0,A507,0)</f>
        <v>502</v>
      </c>
      <c r="J507" s="7" t="str">
        <f aca="false">IF(G507&gt;=0,A507,"")</f>
        <v/>
      </c>
      <c r="K507" s="7" t="n">
        <f aca="false">IF(G507&lt;0,A507,0)</f>
        <v>502</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554213220</v>
      </c>
      <c r="D508" s="25" t="n">
        <f aca="false">('Chi phí'!$C$77+'Chi phí'!$D$77*B508+'Chi phí'!$E$77*A508+'Giả định'!$B$15*('Chi phí'!$F$77+'Chi phí'!$G$77*B508+'Chi phí'!$H$77*A508))*(1+'Giả định'!$B$16)</f>
        <v>697818220</v>
      </c>
      <c r="E508" s="25" t="n">
        <f aca="false">A508/'Giả định'!$B$19*'Giả định'!$B$20+A508*'Giả định'!$B$23+'Giả định'!$B$24</f>
        <v>187251260.504202</v>
      </c>
      <c r="F508" s="25" t="n">
        <f aca="false">E508-D508</f>
        <v>-510566959.495798</v>
      </c>
      <c r="G508" s="25" t="n">
        <f aca="false">E508-C508</f>
        <v>-366961959.495798</v>
      </c>
      <c r="H508" s="7" t="str">
        <f aca="false">IF(F508&gt;=0,A508,"")</f>
        <v/>
      </c>
      <c r="I508" s="7" t="n">
        <f aca="false">IF(F508&lt;0,A508,0)</f>
        <v>503</v>
      </c>
      <c r="J508" s="7" t="str">
        <f aca="false">IF(G508&gt;=0,A508,"")</f>
        <v/>
      </c>
      <c r="K508" s="7" t="n">
        <f aca="false">IF(G508&lt;0,A508,0)</f>
        <v>503</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554249960</v>
      </c>
      <c r="D509" s="25" t="n">
        <f aca="false">('Chi phí'!$C$77+'Chi phí'!$D$77*B509+'Chi phí'!$E$77*A509+'Giả định'!$B$15*('Chi phí'!$F$77+'Chi phí'!$G$77*B509+'Chi phí'!$H$77*A509))*(1+'Giả định'!$B$16)</f>
        <v>697854960</v>
      </c>
      <c r="E509" s="25" t="n">
        <f aca="false">A509/'Giả định'!$B$19*'Giả định'!$B$20+A509*'Giả định'!$B$23+'Giả định'!$B$24</f>
        <v>187623529.411765</v>
      </c>
      <c r="F509" s="25" t="n">
        <f aca="false">E509-D509</f>
        <v>-510231430.588235</v>
      </c>
      <c r="G509" s="25" t="n">
        <f aca="false">E509-C509</f>
        <v>-366626430.588235</v>
      </c>
      <c r="H509" s="7" t="str">
        <f aca="false">IF(F509&gt;=0,A509,"")</f>
        <v/>
      </c>
      <c r="I509" s="7" t="n">
        <f aca="false">IF(F509&lt;0,A509,0)</f>
        <v>504</v>
      </c>
      <c r="J509" s="7" t="str">
        <f aca="false">IF(G509&gt;=0,A509,"")</f>
        <v/>
      </c>
      <c r="K509" s="7" t="n">
        <f aca="false">IF(G509&lt;0,A509,0)</f>
        <v>504</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554286700</v>
      </c>
      <c r="D510" s="25" t="n">
        <f aca="false">('Chi phí'!$C$77+'Chi phí'!$D$77*B510+'Chi phí'!$E$77*A510+'Giả định'!$B$15*('Chi phí'!$F$77+'Chi phí'!$G$77*B510+'Chi phí'!$H$77*A510))*(1+'Giả định'!$B$16)</f>
        <v>697891700</v>
      </c>
      <c r="E510" s="25" t="n">
        <f aca="false">A510/'Giả định'!$B$19*'Giả định'!$B$20+A510*'Giả định'!$B$23+'Giả định'!$B$24</f>
        <v>187995798.319328</v>
      </c>
      <c r="F510" s="25" t="n">
        <f aca="false">E510-D510</f>
        <v>-509895901.680672</v>
      </c>
      <c r="G510" s="25" t="n">
        <f aca="false">E510-C510</f>
        <v>-366290901.680672</v>
      </c>
      <c r="H510" s="7" t="str">
        <f aca="false">IF(F510&gt;=0,A510,"")</f>
        <v/>
      </c>
      <c r="I510" s="7" t="n">
        <f aca="false">IF(F510&lt;0,A510,0)</f>
        <v>505</v>
      </c>
      <c r="J510" s="7" t="str">
        <f aca="false">IF(G510&gt;=0,A510,"")</f>
        <v/>
      </c>
      <c r="K510" s="7" t="n">
        <f aca="false">IF(G510&lt;0,A510,0)</f>
        <v>505</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554323440</v>
      </c>
      <c r="D511" s="25" t="n">
        <f aca="false">('Chi phí'!$C$77+'Chi phí'!$D$77*B511+'Chi phí'!$E$77*A511+'Giả định'!$B$15*('Chi phí'!$F$77+'Chi phí'!$G$77*B511+'Chi phí'!$H$77*A511))*(1+'Giả định'!$B$16)</f>
        <v>697928440</v>
      </c>
      <c r="E511" s="25" t="n">
        <f aca="false">A511/'Giả định'!$B$19*'Giả định'!$B$20+A511*'Giả định'!$B$23+'Giả định'!$B$24</f>
        <v>188368067.226891</v>
      </c>
      <c r="F511" s="25" t="n">
        <f aca="false">E511-D511</f>
        <v>-509560372.773109</v>
      </c>
      <c r="G511" s="25" t="n">
        <f aca="false">E511-C511</f>
        <v>-365955372.773109</v>
      </c>
      <c r="H511" s="7" t="str">
        <f aca="false">IF(F511&gt;=0,A511,"")</f>
        <v/>
      </c>
      <c r="I511" s="7" t="n">
        <f aca="false">IF(F511&lt;0,A511,0)</f>
        <v>506</v>
      </c>
      <c r="J511" s="7" t="str">
        <f aca="false">IF(G511&gt;=0,A511,"")</f>
        <v/>
      </c>
      <c r="K511" s="7" t="n">
        <f aca="false">IF(G511&lt;0,A511,0)</f>
        <v>506</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554360180</v>
      </c>
      <c r="D512" s="25" t="n">
        <f aca="false">('Chi phí'!$C$77+'Chi phí'!$D$77*B512+'Chi phí'!$E$77*A512+'Giả định'!$B$15*('Chi phí'!$F$77+'Chi phí'!$G$77*B512+'Chi phí'!$H$77*A512))*(1+'Giả định'!$B$16)</f>
        <v>697965180</v>
      </c>
      <c r="E512" s="25" t="n">
        <f aca="false">A512/'Giả định'!$B$19*'Giả định'!$B$20+A512*'Giả định'!$B$23+'Giả định'!$B$24</f>
        <v>188740336.134454</v>
      </c>
      <c r="F512" s="25" t="n">
        <f aca="false">E512-D512</f>
        <v>-509224843.865546</v>
      </c>
      <c r="G512" s="25" t="n">
        <f aca="false">E512-C512</f>
        <v>-365619843.865546</v>
      </c>
      <c r="H512" s="7" t="str">
        <f aca="false">IF(F512&gt;=0,A512,"")</f>
        <v/>
      </c>
      <c r="I512" s="7" t="n">
        <f aca="false">IF(F512&lt;0,A512,0)</f>
        <v>507</v>
      </c>
      <c r="J512" s="7" t="str">
        <f aca="false">IF(G512&gt;=0,A512,"")</f>
        <v/>
      </c>
      <c r="K512" s="7" t="n">
        <f aca="false">IF(G512&lt;0,A512,0)</f>
        <v>507</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554396920</v>
      </c>
      <c r="D513" s="25" t="n">
        <f aca="false">('Chi phí'!$C$77+'Chi phí'!$D$77*B513+'Chi phí'!$E$77*A513+'Giả định'!$B$15*('Chi phí'!$F$77+'Chi phí'!$G$77*B513+'Chi phí'!$H$77*A513))*(1+'Giả định'!$B$16)</f>
        <v>698001920</v>
      </c>
      <c r="E513" s="25" t="n">
        <f aca="false">A513/'Giả định'!$B$19*'Giả định'!$B$20+A513*'Giả định'!$B$23+'Giả định'!$B$24</f>
        <v>189112605.042017</v>
      </c>
      <c r="F513" s="25" t="n">
        <f aca="false">E513-D513</f>
        <v>-508889314.957983</v>
      </c>
      <c r="G513" s="25" t="n">
        <f aca="false">E513-C513</f>
        <v>-365284314.957983</v>
      </c>
      <c r="H513" s="7" t="str">
        <f aca="false">IF(F513&gt;=0,A513,"")</f>
        <v/>
      </c>
      <c r="I513" s="7" t="n">
        <f aca="false">IF(F513&lt;0,A513,0)</f>
        <v>508</v>
      </c>
      <c r="J513" s="7" t="str">
        <f aca="false">IF(G513&gt;=0,A513,"")</f>
        <v/>
      </c>
      <c r="K513" s="7" t="n">
        <f aca="false">IF(G513&lt;0,A513,0)</f>
        <v>508</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554433660</v>
      </c>
      <c r="D514" s="25" t="n">
        <f aca="false">('Chi phí'!$C$77+'Chi phí'!$D$77*B514+'Chi phí'!$E$77*A514+'Giả định'!$B$15*('Chi phí'!$F$77+'Chi phí'!$G$77*B514+'Chi phí'!$H$77*A514))*(1+'Giả định'!$B$16)</f>
        <v>698038660</v>
      </c>
      <c r="E514" s="25" t="n">
        <f aca="false">A514/'Giả định'!$B$19*'Giả định'!$B$20+A514*'Giả định'!$B$23+'Giả định'!$B$24</f>
        <v>189484873.94958</v>
      </c>
      <c r="F514" s="25" t="n">
        <f aca="false">E514-D514</f>
        <v>-508553786.05042</v>
      </c>
      <c r="G514" s="25" t="n">
        <f aca="false">E514-C514</f>
        <v>-364948786.05042</v>
      </c>
      <c r="H514" s="7" t="str">
        <f aca="false">IF(F514&gt;=0,A514,"")</f>
        <v/>
      </c>
      <c r="I514" s="7" t="n">
        <f aca="false">IF(F514&lt;0,A514,0)</f>
        <v>509</v>
      </c>
      <c r="J514" s="7" t="str">
        <f aca="false">IF(G514&gt;=0,A514,"")</f>
        <v/>
      </c>
      <c r="K514" s="7" t="n">
        <f aca="false">IF(G514&lt;0,A514,0)</f>
        <v>509</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554470400</v>
      </c>
      <c r="D515" s="25" t="n">
        <f aca="false">('Chi phí'!$C$77+'Chi phí'!$D$77*B515+'Chi phí'!$E$77*A515+'Giả định'!$B$15*('Chi phí'!$F$77+'Chi phí'!$G$77*B515+'Chi phí'!$H$77*A515))*(1+'Giả định'!$B$16)</f>
        <v>698075400</v>
      </c>
      <c r="E515" s="25" t="n">
        <f aca="false">A515/'Giả định'!$B$19*'Giả định'!$B$20+A515*'Giả định'!$B$23+'Giả định'!$B$24</f>
        <v>189857142.857143</v>
      </c>
      <c r="F515" s="25" t="n">
        <f aca="false">E515-D515</f>
        <v>-508218257.142857</v>
      </c>
      <c r="G515" s="25" t="n">
        <f aca="false">E515-C515</f>
        <v>-364613257.142857</v>
      </c>
      <c r="H515" s="7" t="str">
        <f aca="false">IF(F515&gt;=0,A515,"")</f>
        <v/>
      </c>
      <c r="I515" s="7" t="n">
        <f aca="false">IF(F515&lt;0,A515,0)</f>
        <v>510</v>
      </c>
      <c r="J515" s="7" t="str">
        <f aca="false">IF(G515&gt;=0,A515,"")</f>
        <v/>
      </c>
      <c r="K515" s="7" t="n">
        <f aca="false">IF(G515&lt;0,A515,0)</f>
        <v>510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563681140</v>
      </c>
      <c r="D516" s="25" t="n">
        <f aca="false">('Chi phí'!$C$77+'Chi phí'!$D$77*B516+'Chi phí'!$E$77*A516+'Giả định'!$B$15*('Chi phí'!$F$77+'Chi phí'!$G$77*B516+'Chi phí'!$H$77*A516))*(1+'Giả định'!$B$16)</f>
        <v>707286140</v>
      </c>
      <c r="E516" s="25" t="n">
        <f aca="false">A516/'Giả định'!$B$19*'Giả định'!$B$20+A516*'Giả định'!$B$23+'Giả định'!$B$24</f>
        <v>190229411.764706</v>
      </c>
      <c r="F516" s="25" t="n">
        <f aca="false">E516-D516</f>
        <v>-517056728.235294</v>
      </c>
      <c r="G516" s="25" t="n">
        <f aca="false">E516-C516</f>
        <v>-373451728.235294</v>
      </c>
      <c r="H516" s="7" t="str">
        <f aca="false">IF(F516&gt;=0,A516,"")</f>
        <v/>
      </c>
      <c r="I516" s="7" t="n">
        <f aca="false">IF(F516&lt;0,A516,0)</f>
        <v>511</v>
      </c>
      <c r="J516" s="7" t="str">
        <f aca="false">IF(G516&gt;=0,A516,"")</f>
        <v/>
      </c>
      <c r="K516" s="7" t="n">
        <f aca="false">IF(G516&lt;0,A516,0)</f>
        <v>511</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563717880</v>
      </c>
      <c r="D517" s="25" t="n">
        <f aca="false">('Chi phí'!$C$77+'Chi phí'!$D$77*B517+'Chi phí'!$E$77*A517+'Giả định'!$B$15*('Chi phí'!$F$77+'Chi phí'!$G$77*B517+'Chi phí'!$H$77*A517))*(1+'Giả định'!$B$16)</f>
        <v>707322880</v>
      </c>
      <c r="E517" s="25" t="n">
        <f aca="false">A517/'Giả định'!$B$19*'Giả định'!$B$20+A517*'Giả định'!$B$23+'Giả định'!$B$24</f>
        <v>190601680.672269</v>
      </c>
      <c r="F517" s="25" t="n">
        <f aca="false">E517-D517</f>
        <v>-516721199.327731</v>
      </c>
      <c r="G517" s="25" t="n">
        <f aca="false">E517-C517</f>
        <v>-373116199.327731</v>
      </c>
      <c r="H517" s="7" t="str">
        <f aca="false">IF(F517&gt;=0,A517,"")</f>
        <v/>
      </c>
      <c r="I517" s="7" t="n">
        <f aca="false">IF(F517&lt;0,A517,0)</f>
        <v>512</v>
      </c>
      <c r="J517" s="7" t="str">
        <f aca="false">IF(G517&gt;=0,A517,"")</f>
        <v/>
      </c>
      <c r="K517" s="7" t="n">
        <f aca="false">IF(G517&lt;0,A517,0)</f>
        <v>512</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563754620</v>
      </c>
      <c r="D518" s="25" t="n">
        <f aca="false">('Chi phí'!$C$77+'Chi phí'!$D$77*B518+'Chi phí'!$E$77*A518+'Giả định'!$B$15*('Chi phí'!$F$77+'Chi phí'!$G$77*B518+'Chi phí'!$H$77*A518))*(1+'Giả định'!$B$16)</f>
        <v>707359620</v>
      </c>
      <c r="E518" s="25" t="n">
        <f aca="false">A518/'Giả định'!$B$19*'Giả định'!$B$20+A518*'Giả định'!$B$23+'Giả định'!$B$24</f>
        <v>190973949.579832</v>
      </c>
      <c r="F518" s="25" t="n">
        <f aca="false">E518-D518</f>
        <v>-516385670.420168</v>
      </c>
      <c r="G518" s="25" t="n">
        <f aca="false">E518-C518</f>
        <v>-372780670.420168</v>
      </c>
      <c r="H518" s="7" t="str">
        <f aca="false">IF(F518&gt;=0,A518,"")</f>
        <v/>
      </c>
      <c r="I518" s="7" t="n">
        <f aca="false">IF(F518&lt;0,A518,0)</f>
        <v>513</v>
      </c>
      <c r="J518" s="7" t="str">
        <f aca="false">IF(G518&gt;=0,A518,"")</f>
        <v/>
      </c>
      <c r="K518" s="7" t="n">
        <f aca="false">IF(G518&lt;0,A518,0)</f>
        <v>513</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563791360</v>
      </c>
      <c r="D519" s="25" t="n">
        <f aca="false">('Chi phí'!$C$77+'Chi phí'!$D$77*B519+'Chi phí'!$E$77*A519+'Giả định'!$B$15*('Chi phí'!$F$77+'Chi phí'!$G$77*B519+'Chi phí'!$H$77*A519))*(1+'Giả định'!$B$16)</f>
        <v>707396360</v>
      </c>
      <c r="E519" s="25" t="n">
        <f aca="false">A519/'Giả định'!$B$19*'Giả định'!$B$20+A519*'Giả định'!$B$23+'Giả định'!$B$24</f>
        <v>191346218.487395</v>
      </c>
      <c r="F519" s="25" t="n">
        <f aca="false">E519-D519</f>
        <v>-516050141.512605</v>
      </c>
      <c r="G519" s="25" t="n">
        <f aca="false">E519-C519</f>
        <v>-372445141.512605</v>
      </c>
      <c r="H519" s="7" t="str">
        <f aca="false">IF(F519&gt;=0,A519,"")</f>
        <v/>
      </c>
      <c r="I519" s="7" t="n">
        <f aca="false">IF(F519&lt;0,A519,0)</f>
        <v>514</v>
      </c>
      <c r="J519" s="7" t="str">
        <f aca="false">IF(G519&gt;=0,A519,"")</f>
        <v/>
      </c>
      <c r="K519" s="7" t="n">
        <f aca="false">IF(G519&lt;0,A519,0)</f>
        <v>514</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563828100</v>
      </c>
      <c r="D520" s="25" t="n">
        <f aca="false">('Chi phí'!$C$77+'Chi phí'!$D$77*B520+'Chi phí'!$E$77*A520+'Giả định'!$B$15*('Chi phí'!$F$77+'Chi phí'!$G$77*B520+'Chi phí'!$H$77*A520))*(1+'Giả định'!$B$16)</f>
        <v>707433100</v>
      </c>
      <c r="E520" s="25" t="n">
        <f aca="false">A520/'Giả định'!$B$19*'Giả định'!$B$20+A520*'Giả định'!$B$23+'Giả định'!$B$24</f>
        <v>191718487.394958</v>
      </c>
      <c r="F520" s="25" t="n">
        <f aca="false">E520-D520</f>
        <v>-515714612.605042</v>
      </c>
      <c r="G520" s="25" t="n">
        <f aca="false">E520-C520</f>
        <v>-372109612.605042</v>
      </c>
      <c r="H520" s="7" t="str">
        <f aca="false">IF(F520&gt;=0,A520,"")</f>
        <v/>
      </c>
      <c r="I520" s="7" t="n">
        <f aca="false">IF(F520&lt;0,A520,0)</f>
        <v>515</v>
      </c>
      <c r="J520" s="7" t="str">
        <f aca="false">IF(G520&gt;=0,A520,"")</f>
        <v/>
      </c>
      <c r="K520" s="7" t="n">
        <f aca="false">IF(G520&lt;0,A520,0)</f>
        <v>515</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563864840</v>
      </c>
      <c r="D521" s="25" t="n">
        <f aca="false">('Chi phí'!$C$77+'Chi phí'!$D$77*B521+'Chi phí'!$E$77*A521+'Giả định'!$B$15*('Chi phí'!$F$77+'Chi phí'!$G$77*B521+'Chi phí'!$H$77*A521))*(1+'Giả định'!$B$16)</f>
        <v>707469840</v>
      </c>
      <c r="E521" s="25" t="n">
        <f aca="false">A521/'Giả định'!$B$19*'Giả định'!$B$20+A521*'Giả định'!$B$23+'Giả định'!$B$24</f>
        <v>192090756.302521</v>
      </c>
      <c r="F521" s="25" t="n">
        <f aca="false">E521-D521</f>
        <v>-515379083.697479</v>
      </c>
      <c r="G521" s="25" t="n">
        <f aca="false">E521-C521</f>
        <v>-371774083.697479</v>
      </c>
      <c r="H521" s="7" t="str">
        <f aca="false">IF(F521&gt;=0,A521,"")</f>
        <v/>
      </c>
      <c r="I521" s="7" t="n">
        <f aca="false">IF(F521&lt;0,A521,0)</f>
        <v>516</v>
      </c>
      <c r="J521" s="7" t="str">
        <f aca="false">IF(G521&gt;=0,A521,"")</f>
        <v/>
      </c>
      <c r="K521" s="7" t="n">
        <f aca="false">IF(G521&lt;0,A521,0)</f>
        <v>516</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563901580</v>
      </c>
      <c r="D522" s="25" t="n">
        <f aca="false">('Chi phí'!$C$77+'Chi phí'!$D$77*B522+'Chi phí'!$E$77*A522+'Giả định'!$B$15*('Chi phí'!$F$77+'Chi phí'!$G$77*B522+'Chi phí'!$H$77*A522))*(1+'Giả định'!$B$16)</f>
        <v>707506580</v>
      </c>
      <c r="E522" s="25" t="n">
        <f aca="false">A522/'Giả định'!$B$19*'Giả định'!$B$20+A522*'Giả định'!$B$23+'Giả định'!$B$24</f>
        <v>192463025.210084</v>
      </c>
      <c r="F522" s="25" t="n">
        <f aca="false">E522-D522</f>
        <v>-515043554.789916</v>
      </c>
      <c r="G522" s="25" t="n">
        <f aca="false">E522-C522</f>
        <v>-371438554.789916</v>
      </c>
      <c r="H522" s="7" t="str">
        <f aca="false">IF(F522&gt;=0,A522,"")</f>
        <v/>
      </c>
      <c r="I522" s="7" t="n">
        <f aca="false">IF(F522&lt;0,A522,0)</f>
        <v>517</v>
      </c>
      <c r="J522" s="7" t="str">
        <f aca="false">IF(G522&gt;=0,A522,"")</f>
        <v/>
      </c>
      <c r="K522" s="7" t="n">
        <f aca="false">IF(G522&lt;0,A522,0)</f>
        <v>517</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563938320</v>
      </c>
      <c r="D523" s="25" t="n">
        <f aca="false">('Chi phí'!$C$77+'Chi phí'!$D$77*B523+'Chi phí'!$E$77*A523+'Giả định'!$B$15*('Chi phí'!$F$77+'Chi phí'!$G$77*B523+'Chi phí'!$H$77*A523))*(1+'Giả định'!$B$16)</f>
        <v>707543320</v>
      </c>
      <c r="E523" s="25" t="n">
        <f aca="false">A523/'Giả định'!$B$19*'Giả định'!$B$20+A523*'Giả định'!$B$23+'Giả định'!$B$24</f>
        <v>192835294.117647</v>
      </c>
      <c r="F523" s="25" t="n">
        <f aca="false">E523-D523</f>
        <v>-514708025.882353</v>
      </c>
      <c r="G523" s="25" t="n">
        <f aca="false">E523-C523</f>
        <v>-371103025.882353</v>
      </c>
      <c r="H523" s="7" t="str">
        <f aca="false">IF(F523&gt;=0,A523,"")</f>
        <v/>
      </c>
      <c r="I523" s="7" t="n">
        <f aca="false">IF(F523&lt;0,A523,0)</f>
        <v>518</v>
      </c>
      <c r="J523" s="7" t="str">
        <f aca="false">IF(G523&gt;=0,A523,"")</f>
        <v/>
      </c>
      <c r="K523" s="7" t="n">
        <f aca="false">IF(G523&lt;0,A523,0)</f>
        <v>518</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563975060</v>
      </c>
      <c r="D524" s="25" t="n">
        <f aca="false">('Chi phí'!$C$77+'Chi phí'!$D$77*B524+'Chi phí'!$E$77*A524+'Giả định'!$B$15*('Chi phí'!$F$77+'Chi phí'!$G$77*B524+'Chi phí'!$H$77*A524))*(1+'Giả định'!$B$16)</f>
        <v>707580060</v>
      </c>
      <c r="E524" s="25" t="n">
        <f aca="false">A524/'Giả định'!$B$19*'Giả định'!$B$20+A524*'Giả định'!$B$23+'Giả định'!$B$24</f>
        <v>193207563.02521</v>
      </c>
      <c r="F524" s="25" t="n">
        <f aca="false">E524-D524</f>
        <v>-514372496.97479</v>
      </c>
      <c r="G524" s="25" t="n">
        <f aca="false">E524-C524</f>
        <v>-370767496.97479</v>
      </c>
      <c r="H524" s="7" t="str">
        <f aca="false">IF(F524&gt;=0,A524,"")</f>
        <v/>
      </c>
      <c r="I524" s="7" t="n">
        <f aca="false">IF(F524&lt;0,A524,0)</f>
        <v>519</v>
      </c>
      <c r="J524" s="7" t="str">
        <f aca="false">IF(G524&gt;=0,A524,"")</f>
        <v/>
      </c>
      <c r="K524" s="7" t="n">
        <f aca="false">IF(G524&lt;0,A524,0)</f>
        <v>519</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564011800</v>
      </c>
      <c r="D525" s="25" t="n">
        <f aca="false">('Chi phí'!$C$77+'Chi phí'!$D$77*B525+'Chi phí'!$E$77*A525+'Giả định'!$B$15*('Chi phí'!$F$77+'Chi phí'!$G$77*B525+'Chi phí'!$H$77*A525))*(1+'Giả định'!$B$16)</f>
        <v>707616800</v>
      </c>
      <c r="E525" s="25" t="n">
        <f aca="false">A525/'Giả định'!$B$19*'Giả định'!$B$20+A525*'Giả định'!$B$23+'Giả định'!$B$24</f>
        <v>193579831.932773</v>
      </c>
      <c r="F525" s="25" t="n">
        <f aca="false">E525-D525</f>
        <v>-514036968.067227</v>
      </c>
      <c r="G525" s="25" t="n">
        <f aca="false">E525-C525</f>
        <v>-370431968.067227</v>
      </c>
      <c r="H525" s="7" t="str">
        <f aca="false">IF(F525&gt;=0,A525,"")</f>
        <v/>
      </c>
      <c r="I525" s="7" t="n">
        <f aca="false">IF(F525&lt;0,A525,0)</f>
        <v>520</v>
      </c>
      <c r="J525" s="7" t="str">
        <f aca="false">IF(G525&gt;=0,A525,"")</f>
        <v/>
      </c>
      <c r="K525" s="7" t="n">
        <f aca="false">IF(G525&lt;0,A525,0)</f>
        <v>520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573222540</v>
      </c>
      <c r="D526" s="25" t="n">
        <f aca="false">('Chi phí'!$C$77+'Chi phí'!$D$77*B526+'Chi phí'!$E$77*A526+'Giả định'!$B$15*('Chi phí'!$F$77+'Chi phí'!$G$77*B526+'Chi phí'!$H$77*A526))*(1+'Giả định'!$B$16)</f>
        <v>716827540</v>
      </c>
      <c r="E526" s="25" t="n">
        <f aca="false">A526/'Giả định'!$B$19*'Giả định'!$B$20+A526*'Giả định'!$B$23+'Giả định'!$B$24</f>
        <v>193952100.840336</v>
      </c>
      <c r="F526" s="25" t="n">
        <f aca="false">E526-D526</f>
        <v>-522875439.159664</v>
      </c>
      <c r="G526" s="25" t="n">
        <f aca="false">E526-C526</f>
        <v>-379270439.159664</v>
      </c>
      <c r="H526" s="7" t="str">
        <f aca="false">IF(F526&gt;=0,A526,"")</f>
        <v/>
      </c>
      <c r="I526" s="7" t="n">
        <f aca="false">IF(F526&lt;0,A526,0)</f>
        <v>521</v>
      </c>
      <c r="J526" s="7" t="str">
        <f aca="false">IF(G526&gt;=0,A526,"")</f>
        <v/>
      </c>
      <c r="K526" s="7" t="n">
        <f aca="false">IF(G526&lt;0,A526,0)</f>
        <v>521</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573259280</v>
      </c>
      <c r="D527" s="25" t="n">
        <f aca="false">('Chi phí'!$C$77+'Chi phí'!$D$77*B527+'Chi phí'!$E$77*A527+'Giả định'!$B$15*('Chi phí'!$F$77+'Chi phí'!$G$77*B527+'Chi phí'!$H$77*A527))*(1+'Giả định'!$B$16)</f>
        <v>716864280</v>
      </c>
      <c r="E527" s="25" t="n">
        <f aca="false">A527/'Giả định'!$B$19*'Giả định'!$B$20+A527*'Giả định'!$B$23+'Giả định'!$B$24</f>
        <v>194324369.747899</v>
      </c>
      <c r="F527" s="25" t="n">
        <f aca="false">E527-D527</f>
        <v>-522539910.252101</v>
      </c>
      <c r="G527" s="25" t="n">
        <f aca="false">E527-C527</f>
        <v>-378934910.252101</v>
      </c>
      <c r="H527" s="7" t="str">
        <f aca="false">IF(F527&gt;=0,A527,"")</f>
        <v/>
      </c>
      <c r="I527" s="7" t="n">
        <f aca="false">IF(F527&lt;0,A527,0)</f>
        <v>522</v>
      </c>
      <c r="J527" s="7" t="str">
        <f aca="false">IF(G527&gt;=0,A527,"")</f>
        <v/>
      </c>
      <c r="K527" s="7" t="n">
        <f aca="false">IF(G527&lt;0,A527,0)</f>
        <v>522</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573296020</v>
      </c>
      <c r="D528" s="25" t="n">
        <f aca="false">('Chi phí'!$C$77+'Chi phí'!$D$77*B528+'Chi phí'!$E$77*A528+'Giả định'!$B$15*('Chi phí'!$F$77+'Chi phí'!$G$77*B528+'Chi phí'!$H$77*A528))*(1+'Giả định'!$B$16)</f>
        <v>716901020</v>
      </c>
      <c r="E528" s="25" t="n">
        <f aca="false">A528/'Giả định'!$B$19*'Giả định'!$B$20+A528*'Giả định'!$B$23+'Giả định'!$B$24</f>
        <v>194696638.655462</v>
      </c>
      <c r="F528" s="25" t="n">
        <f aca="false">E528-D528</f>
        <v>-522204381.344538</v>
      </c>
      <c r="G528" s="25" t="n">
        <f aca="false">E528-C528</f>
        <v>-378599381.344538</v>
      </c>
      <c r="H528" s="7" t="str">
        <f aca="false">IF(F528&gt;=0,A528,"")</f>
        <v/>
      </c>
      <c r="I528" s="7" t="n">
        <f aca="false">IF(F528&lt;0,A528,0)</f>
        <v>523</v>
      </c>
      <c r="J528" s="7" t="str">
        <f aca="false">IF(G528&gt;=0,A528,"")</f>
        <v/>
      </c>
      <c r="K528" s="7" t="n">
        <f aca="false">IF(G528&lt;0,A528,0)</f>
        <v>523</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573332760</v>
      </c>
      <c r="D529" s="25" t="n">
        <f aca="false">('Chi phí'!$C$77+'Chi phí'!$D$77*B529+'Chi phí'!$E$77*A529+'Giả định'!$B$15*('Chi phí'!$F$77+'Chi phí'!$G$77*B529+'Chi phí'!$H$77*A529))*(1+'Giả định'!$B$16)</f>
        <v>716937760</v>
      </c>
      <c r="E529" s="25" t="n">
        <f aca="false">A529/'Giả định'!$B$19*'Giả định'!$B$20+A529*'Giả định'!$B$23+'Giả định'!$B$24</f>
        <v>195068907.563025</v>
      </c>
      <c r="F529" s="25" t="n">
        <f aca="false">E529-D529</f>
        <v>-521868852.436975</v>
      </c>
      <c r="G529" s="25" t="n">
        <f aca="false">E529-C529</f>
        <v>-378263852.436975</v>
      </c>
      <c r="H529" s="7" t="str">
        <f aca="false">IF(F529&gt;=0,A529,"")</f>
        <v/>
      </c>
      <c r="I529" s="7" t="n">
        <f aca="false">IF(F529&lt;0,A529,0)</f>
        <v>524</v>
      </c>
      <c r="J529" s="7" t="str">
        <f aca="false">IF(G529&gt;=0,A529,"")</f>
        <v/>
      </c>
      <c r="K529" s="7" t="n">
        <f aca="false">IF(G529&lt;0,A529,0)</f>
        <v>524</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573369500</v>
      </c>
      <c r="D530" s="25" t="n">
        <f aca="false">('Chi phí'!$C$77+'Chi phí'!$D$77*B530+'Chi phí'!$E$77*A530+'Giả định'!$B$15*('Chi phí'!$F$77+'Chi phí'!$G$77*B530+'Chi phí'!$H$77*A530))*(1+'Giả định'!$B$16)</f>
        <v>716974500</v>
      </c>
      <c r="E530" s="25" t="n">
        <f aca="false">A530/'Giả định'!$B$19*'Giả định'!$B$20+A530*'Giả định'!$B$23+'Giả định'!$B$24</f>
        <v>195441176.470588</v>
      </c>
      <c r="F530" s="25" t="n">
        <f aca="false">E530-D530</f>
        <v>-521533323.529412</v>
      </c>
      <c r="G530" s="25" t="n">
        <f aca="false">E530-C530</f>
        <v>-377928323.529412</v>
      </c>
      <c r="H530" s="7" t="str">
        <f aca="false">IF(F530&gt;=0,A530,"")</f>
        <v/>
      </c>
      <c r="I530" s="7" t="n">
        <f aca="false">IF(F530&lt;0,A530,0)</f>
        <v>525</v>
      </c>
      <c r="J530" s="7" t="str">
        <f aca="false">IF(G530&gt;=0,A530,"")</f>
        <v/>
      </c>
      <c r="K530" s="7" t="n">
        <f aca="false">IF(G530&lt;0,A530,0)</f>
        <v>525</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573406240</v>
      </c>
      <c r="D531" s="25" t="n">
        <f aca="false">('Chi phí'!$C$77+'Chi phí'!$D$77*B531+'Chi phí'!$E$77*A531+'Giả định'!$B$15*('Chi phí'!$F$77+'Chi phí'!$G$77*B531+'Chi phí'!$H$77*A531))*(1+'Giả định'!$B$16)</f>
        <v>717011240</v>
      </c>
      <c r="E531" s="25" t="n">
        <f aca="false">A531/'Giả định'!$B$19*'Giả định'!$B$20+A531*'Giả định'!$B$23+'Giả định'!$B$24</f>
        <v>195813445.378151</v>
      </c>
      <c r="F531" s="25" t="n">
        <f aca="false">E531-D531</f>
        <v>-521197794.621849</v>
      </c>
      <c r="G531" s="25" t="n">
        <f aca="false">E531-C531</f>
        <v>-377592794.621849</v>
      </c>
      <c r="H531" s="7" t="str">
        <f aca="false">IF(F531&gt;=0,A531,"")</f>
        <v/>
      </c>
      <c r="I531" s="7" t="n">
        <f aca="false">IF(F531&lt;0,A531,0)</f>
        <v>526</v>
      </c>
      <c r="J531" s="7" t="str">
        <f aca="false">IF(G531&gt;=0,A531,"")</f>
        <v/>
      </c>
      <c r="K531" s="7" t="n">
        <f aca="false">IF(G531&lt;0,A531,0)</f>
        <v>526</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573442980</v>
      </c>
      <c r="D532" s="25" t="n">
        <f aca="false">('Chi phí'!$C$77+'Chi phí'!$D$77*B532+'Chi phí'!$E$77*A532+'Giả định'!$B$15*('Chi phí'!$F$77+'Chi phí'!$G$77*B532+'Chi phí'!$H$77*A532))*(1+'Giả định'!$B$16)</f>
        <v>717047980</v>
      </c>
      <c r="E532" s="25" t="n">
        <f aca="false">A532/'Giả định'!$B$19*'Giả định'!$B$20+A532*'Giả định'!$B$23+'Giả định'!$B$24</f>
        <v>196185714.285714</v>
      </c>
      <c r="F532" s="25" t="n">
        <f aca="false">E532-D532</f>
        <v>-520862265.714286</v>
      </c>
      <c r="G532" s="25" t="n">
        <f aca="false">E532-C532</f>
        <v>-377257265.714286</v>
      </c>
      <c r="H532" s="7" t="str">
        <f aca="false">IF(F532&gt;=0,A532,"")</f>
        <v/>
      </c>
      <c r="I532" s="7" t="n">
        <f aca="false">IF(F532&lt;0,A532,0)</f>
        <v>527</v>
      </c>
      <c r="J532" s="7" t="str">
        <f aca="false">IF(G532&gt;=0,A532,"")</f>
        <v/>
      </c>
      <c r="K532" s="7" t="n">
        <f aca="false">IF(G532&lt;0,A532,0)</f>
        <v>527</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573479720</v>
      </c>
      <c r="D533" s="25" t="n">
        <f aca="false">('Chi phí'!$C$77+'Chi phí'!$D$77*B533+'Chi phí'!$E$77*A533+'Giả định'!$B$15*('Chi phí'!$F$77+'Chi phí'!$G$77*B533+'Chi phí'!$H$77*A533))*(1+'Giả định'!$B$16)</f>
        <v>717084720</v>
      </c>
      <c r="E533" s="25" t="n">
        <f aca="false">A533/'Giả định'!$B$19*'Giả định'!$B$20+A533*'Giả định'!$B$23+'Giả định'!$B$24</f>
        <v>196557983.193277</v>
      </c>
      <c r="F533" s="25" t="n">
        <f aca="false">E533-D533</f>
        <v>-520526736.806723</v>
      </c>
      <c r="G533" s="25" t="n">
        <f aca="false">E533-C533</f>
        <v>-376921736.806723</v>
      </c>
      <c r="H533" s="7" t="str">
        <f aca="false">IF(F533&gt;=0,A533,"")</f>
        <v/>
      </c>
      <c r="I533" s="7" t="n">
        <f aca="false">IF(F533&lt;0,A533,0)</f>
        <v>528</v>
      </c>
      <c r="J533" s="7" t="str">
        <f aca="false">IF(G533&gt;=0,A533,"")</f>
        <v/>
      </c>
      <c r="K533" s="7" t="n">
        <f aca="false">IF(G533&lt;0,A533,0)</f>
        <v>528</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573516460</v>
      </c>
      <c r="D534" s="25" t="n">
        <f aca="false">('Chi phí'!$C$77+'Chi phí'!$D$77*B534+'Chi phí'!$E$77*A534+'Giả định'!$B$15*('Chi phí'!$F$77+'Chi phí'!$G$77*B534+'Chi phí'!$H$77*A534))*(1+'Giả định'!$B$16)</f>
        <v>717121460</v>
      </c>
      <c r="E534" s="25" t="n">
        <f aca="false">A534/'Giả định'!$B$19*'Giả định'!$B$20+A534*'Giả định'!$B$23+'Giả định'!$B$24</f>
        <v>196930252.10084</v>
      </c>
      <c r="F534" s="25" t="n">
        <f aca="false">E534-D534</f>
        <v>-520191207.89916</v>
      </c>
      <c r="G534" s="25" t="n">
        <f aca="false">E534-C534</f>
        <v>-376586207.89916</v>
      </c>
      <c r="H534" s="7" t="str">
        <f aca="false">IF(F534&gt;=0,A534,"")</f>
        <v/>
      </c>
      <c r="I534" s="7" t="n">
        <f aca="false">IF(F534&lt;0,A534,0)</f>
        <v>529</v>
      </c>
      <c r="J534" s="7" t="str">
        <f aca="false">IF(G534&gt;=0,A534,"")</f>
        <v/>
      </c>
      <c r="K534" s="7" t="n">
        <f aca="false">IF(G534&lt;0,A534,0)</f>
        <v>529</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573553200</v>
      </c>
      <c r="D535" s="25" t="n">
        <f aca="false">('Chi phí'!$C$77+'Chi phí'!$D$77*B535+'Chi phí'!$E$77*A535+'Giả định'!$B$15*('Chi phí'!$F$77+'Chi phí'!$G$77*B535+'Chi phí'!$H$77*A535))*(1+'Giả định'!$B$16)</f>
        <v>717158200</v>
      </c>
      <c r="E535" s="25" t="n">
        <f aca="false">A535/'Giả định'!$B$19*'Giả định'!$B$20+A535*'Giả định'!$B$23+'Giả định'!$B$24</f>
        <v>197302521.008403</v>
      </c>
      <c r="F535" s="25" t="n">
        <f aca="false">E535-D535</f>
        <v>-519855678.991597</v>
      </c>
      <c r="G535" s="25" t="n">
        <f aca="false">E535-C535</f>
        <v>-376250678.991597</v>
      </c>
      <c r="H535" s="7" t="str">
        <f aca="false">IF(F535&gt;=0,A535,"")</f>
        <v/>
      </c>
      <c r="I535" s="7" t="n">
        <f aca="false">IF(F535&lt;0,A535,0)</f>
        <v>530</v>
      </c>
      <c r="J535" s="7" t="str">
        <f aca="false">IF(G535&gt;=0,A535,"")</f>
        <v/>
      </c>
      <c r="K535" s="7" t="n">
        <f aca="false">IF(G535&lt;0,A535,0)</f>
        <v>530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582763940</v>
      </c>
      <c r="D536" s="25" t="n">
        <f aca="false">('Chi phí'!$C$77+'Chi phí'!$D$77*B536+'Chi phí'!$E$77*A536+'Giả định'!$B$15*('Chi phí'!$F$77+'Chi phí'!$G$77*B536+'Chi phí'!$H$77*A536))*(1+'Giả định'!$B$16)</f>
        <v>726368940</v>
      </c>
      <c r="E536" s="25" t="n">
        <f aca="false">A536/'Giả định'!$B$19*'Giả định'!$B$20+A536*'Giả định'!$B$23+'Giả định'!$B$24</f>
        <v>197674789.915966</v>
      </c>
      <c r="F536" s="25" t="n">
        <f aca="false">E536-D536</f>
        <v>-528694150.084034</v>
      </c>
      <c r="G536" s="25" t="n">
        <f aca="false">E536-C536</f>
        <v>-385089150.084034</v>
      </c>
      <c r="H536" s="7" t="str">
        <f aca="false">IF(F536&gt;=0,A536,"")</f>
        <v/>
      </c>
      <c r="I536" s="7" t="n">
        <f aca="false">IF(F536&lt;0,A536,0)</f>
        <v>531</v>
      </c>
      <c r="J536" s="7" t="str">
        <f aca="false">IF(G536&gt;=0,A536,"")</f>
        <v/>
      </c>
      <c r="K536" s="7" t="n">
        <f aca="false">IF(G536&lt;0,A536,0)</f>
        <v>531</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582800680</v>
      </c>
      <c r="D537" s="25" t="n">
        <f aca="false">('Chi phí'!$C$77+'Chi phí'!$D$77*B537+'Chi phí'!$E$77*A537+'Giả định'!$B$15*('Chi phí'!$F$77+'Chi phí'!$G$77*B537+'Chi phí'!$H$77*A537))*(1+'Giả định'!$B$16)</f>
        <v>726405680</v>
      </c>
      <c r="E537" s="25" t="n">
        <f aca="false">A537/'Giả định'!$B$19*'Giả định'!$B$20+A537*'Giả định'!$B$23+'Giả định'!$B$24</f>
        <v>198047058.823529</v>
      </c>
      <c r="F537" s="25" t="n">
        <f aca="false">E537-D537</f>
        <v>-528358621.176471</v>
      </c>
      <c r="G537" s="25" t="n">
        <f aca="false">E537-C537</f>
        <v>-384753621.176471</v>
      </c>
      <c r="H537" s="7" t="str">
        <f aca="false">IF(F537&gt;=0,A537,"")</f>
        <v/>
      </c>
      <c r="I537" s="7" t="n">
        <f aca="false">IF(F537&lt;0,A537,0)</f>
        <v>532</v>
      </c>
      <c r="J537" s="7" t="str">
        <f aca="false">IF(G537&gt;=0,A537,"")</f>
        <v/>
      </c>
      <c r="K537" s="7" t="n">
        <f aca="false">IF(G537&lt;0,A537,0)</f>
        <v>532</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582837420</v>
      </c>
      <c r="D538" s="25" t="n">
        <f aca="false">('Chi phí'!$C$77+'Chi phí'!$D$77*B538+'Chi phí'!$E$77*A538+'Giả định'!$B$15*('Chi phí'!$F$77+'Chi phí'!$G$77*B538+'Chi phí'!$H$77*A538))*(1+'Giả định'!$B$16)</f>
        <v>726442420</v>
      </c>
      <c r="E538" s="25" t="n">
        <f aca="false">A538/'Giả định'!$B$19*'Giả định'!$B$20+A538*'Giả định'!$B$23+'Giả định'!$B$24</f>
        <v>198419327.731092</v>
      </c>
      <c r="F538" s="25" t="n">
        <f aca="false">E538-D538</f>
        <v>-528023092.268908</v>
      </c>
      <c r="G538" s="25" t="n">
        <f aca="false">E538-C538</f>
        <v>-384418092.268908</v>
      </c>
      <c r="H538" s="7" t="str">
        <f aca="false">IF(F538&gt;=0,A538,"")</f>
        <v/>
      </c>
      <c r="I538" s="7" t="n">
        <f aca="false">IF(F538&lt;0,A538,0)</f>
        <v>533</v>
      </c>
      <c r="J538" s="7" t="str">
        <f aca="false">IF(G538&gt;=0,A538,"")</f>
        <v/>
      </c>
      <c r="K538" s="7" t="n">
        <f aca="false">IF(G538&lt;0,A538,0)</f>
        <v>533</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582874160</v>
      </c>
      <c r="D539" s="25" t="n">
        <f aca="false">('Chi phí'!$C$77+'Chi phí'!$D$77*B539+'Chi phí'!$E$77*A539+'Giả định'!$B$15*('Chi phí'!$F$77+'Chi phí'!$G$77*B539+'Chi phí'!$H$77*A539))*(1+'Giả định'!$B$16)</f>
        <v>726479160</v>
      </c>
      <c r="E539" s="25" t="n">
        <f aca="false">A539/'Giả định'!$B$19*'Giả định'!$B$20+A539*'Giả định'!$B$23+'Giả định'!$B$24</f>
        <v>198791596.638655</v>
      </c>
      <c r="F539" s="25" t="n">
        <f aca="false">E539-D539</f>
        <v>-527687563.361345</v>
      </c>
      <c r="G539" s="25" t="n">
        <f aca="false">E539-C539</f>
        <v>-384082563.361345</v>
      </c>
      <c r="H539" s="7" t="str">
        <f aca="false">IF(F539&gt;=0,A539,"")</f>
        <v/>
      </c>
      <c r="I539" s="7" t="n">
        <f aca="false">IF(F539&lt;0,A539,0)</f>
        <v>534</v>
      </c>
      <c r="J539" s="7" t="str">
        <f aca="false">IF(G539&gt;=0,A539,"")</f>
        <v/>
      </c>
      <c r="K539" s="7" t="n">
        <f aca="false">IF(G539&lt;0,A539,0)</f>
        <v>534</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582910900</v>
      </c>
      <c r="D540" s="25" t="n">
        <f aca="false">('Chi phí'!$C$77+'Chi phí'!$D$77*B540+'Chi phí'!$E$77*A540+'Giả định'!$B$15*('Chi phí'!$F$77+'Chi phí'!$G$77*B540+'Chi phí'!$H$77*A540))*(1+'Giả định'!$B$16)</f>
        <v>726515900</v>
      </c>
      <c r="E540" s="25" t="n">
        <f aca="false">A540/'Giả định'!$B$19*'Giả định'!$B$20+A540*'Giả định'!$B$23+'Giả định'!$B$24</f>
        <v>199163865.546219</v>
      </c>
      <c r="F540" s="25" t="n">
        <f aca="false">E540-D540</f>
        <v>-527352034.453782</v>
      </c>
      <c r="G540" s="25" t="n">
        <f aca="false">E540-C540</f>
        <v>-383747034.453782</v>
      </c>
      <c r="H540" s="7" t="str">
        <f aca="false">IF(F540&gt;=0,A540,"")</f>
        <v/>
      </c>
      <c r="I540" s="7" t="n">
        <f aca="false">IF(F540&lt;0,A540,0)</f>
        <v>535</v>
      </c>
      <c r="J540" s="7" t="str">
        <f aca="false">IF(G540&gt;=0,A540,"")</f>
        <v/>
      </c>
      <c r="K540" s="7" t="n">
        <f aca="false">IF(G540&lt;0,A540,0)</f>
        <v>535</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582947640</v>
      </c>
      <c r="D541" s="25" t="n">
        <f aca="false">('Chi phí'!$C$77+'Chi phí'!$D$77*B541+'Chi phí'!$E$77*A541+'Giả định'!$B$15*('Chi phí'!$F$77+'Chi phí'!$G$77*B541+'Chi phí'!$H$77*A541))*(1+'Giả định'!$B$16)</f>
        <v>726552640</v>
      </c>
      <c r="E541" s="25" t="n">
        <f aca="false">A541/'Giả định'!$B$19*'Giả định'!$B$20+A541*'Giả định'!$B$23+'Giả định'!$B$24</f>
        <v>199536134.453782</v>
      </c>
      <c r="F541" s="25" t="n">
        <f aca="false">E541-D541</f>
        <v>-527016505.546219</v>
      </c>
      <c r="G541" s="25" t="n">
        <f aca="false">E541-C541</f>
        <v>-383411505.546219</v>
      </c>
      <c r="H541" s="7" t="str">
        <f aca="false">IF(F541&gt;=0,A541,"")</f>
        <v/>
      </c>
      <c r="I541" s="7" t="n">
        <f aca="false">IF(F541&lt;0,A541,0)</f>
        <v>536</v>
      </c>
      <c r="J541" s="7" t="str">
        <f aca="false">IF(G541&gt;=0,A541,"")</f>
        <v/>
      </c>
      <c r="K541" s="7" t="n">
        <f aca="false">IF(G541&lt;0,A541,0)</f>
        <v>536</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582984380</v>
      </c>
      <c r="D542" s="25" t="n">
        <f aca="false">('Chi phí'!$C$77+'Chi phí'!$D$77*B542+'Chi phí'!$E$77*A542+'Giả định'!$B$15*('Chi phí'!$F$77+'Chi phí'!$G$77*B542+'Chi phí'!$H$77*A542))*(1+'Giả định'!$B$16)</f>
        <v>726589380</v>
      </c>
      <c r="E542" s="25" t="n">
        <f aca="false">A542/'Giả định'!$B$19*'Giả định'!$B$20+A542*'Giả định'!$B$23+'Giả định'!$B$24</f>
        <v>199908403.361345</v>
      </c>
      <c r="F542" s="25" t="n">
        <f aca="false">E542-D542</f>
        <v>-526680976.638655</v>
      </c>
      <c r="G542" s="25" t="n">
        <f aca="false">E542-C542</f>
        <v>-383075976.638655</v>
      </c>
      <c r="H542" s="7" t="str">
        <f aca="false">IF(F542&gt;=0,A542,"")</f>
        <v/>
      </c>
      <c r="I542" s="7" t="n">
        <f aca="false">IF(F542&lt;0,A542,0)</f>
        <v>537</v>
      </c>
      <c r="J542" s="7" t="str">
        <f aca="false">IF(G542&gt;=0,A542,"")</f>
        <v/>
      </c>
      <c r="K542" s="7" t="n">
        <f aca="false">IF(G542&lt;0,A542,0)</f>
        <v>537</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583021120</v>
      </c>
      <c r="D543" s="25" t="n">
        <f aca="false">('Chi phí'!$C$77+'Chi phí'!$D$77*B543+'Chi phí'!$E$77*A543+'Giả định'!$B$15*('Chi phí'!$F$77+'Chi phí'!$G$77*B543+'Chi phí'!$H$77*A543))*(1+'Giả định'!$B$16)</f>
        <v>726626120</v>
      </c>
      <c r="E543" s="25" t="n">
        <f aca="false">A543/'Giả định'!$B$19*'Giả định'!$B$20+A543*'Giả định'!$B$23+'Giả định'!$B$24</f>
        <v>200280672.268908</v>
      </c>
      <c r="F543" s="25" t="n">
        <f aca="false">E543-D543</f>
        <v>-526345447.731092</v>
      </c>
      <c r="G543" s="25" t="n">
        <f aca="false">E543-C543</f>
        <v>-382740447.731092</v>
      </c>
      <c r="H543" s="7" t="str">
        <f aca="false">IF(F543&gt;=0,A543,"")</f>
        <v/>
      </c>
      <c r="I543" s="7" t="n">
        <f aca="false">IF(F543&lt;0,A543,0)</f>
        <v>538</v>
      </c>
      <c r="J543" s="7" t="str">
        <f aca="false">IF(G543&gt;=0,A543,"")</f>
        <v/>
      </c>
      <c r="K543" s="7" t="n">
        <f aca="false">IF(G543&lt;0,A543,0)</f>
        <v>538</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583057860</v>
      </c>
      <c r="D544" s="25" t="n">
        <f aca="false">('Chi phí'!$C$77+'Chi phí'!$D$77*B544+'Chi phí'!$E$77*A544+'Giả định'!$B$15*('Chi phí'!$F$77+'Chi phí'!$G$77*B544+'Chi phí'!$H$77*A544))*(1+'Giả định'!$B$16)</f>
        <v>726662860</v>
      </c>
      <c r="E544" s="25" t="n">
        <f aca="false">A544/'Giả định'!$B$19*'Giả định'!$B$20+A544*'Giả định'!$B$23+'Giả định'!$B$24</f>
        <v>200652941.176471</v>
      </c>
      <c r="F544" s="25" t="n">
        <f aca="false">E544-D544</f>
        <v>-526009918.823529</v>
      </c>
      <c r="G544" s="25" t="n">
        <f aca="false">E544-C544</f>
        <v>-382404918.823529</v>
      </c>
      <c r="H544" s="7" t="str">
        <f aca="false">IF(F544&gt;=0,A544,"")</f>
        <v/>
      </c>
      <c r="I544" s="7" t="n">
        <f aca="false">IF(F544&lt;0,A544,0)</f>
        <v>539</v>
      </c>
      <c r="J544" s="7" t="str">
        <f aca="false">IF(G544&gt;=0,A544,"")</f>
        <v/>
      </c>
      <c r="K544" s="7" t="n">
        <f aca="false">IF(G544&lt;0,A544,0)</f>
        <v>539</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583094600</v>
      </c>
      <c r="D545" s="25" t="n">
        <f aca="false">('Chi phí'!$C$77+'Chi phí'!$D$77*B545+'Chi phí'!$E$77*A545+'Giả định'!$B$15*('Chi phí'!$F$77+'Chi phí'!$G$77*B545+'Chi phí'!$H$77*A545))*(1+'Giả định'!$B$16)</f>
        <v>726699600</v>
      </c>
      <c r="E545" s="25" t="n">
        <f aca="false">A545/'Giả định'!$B$19*'Giả định'!$B$20+A545*'Giả định'!$B$23+'Giả định'!$B$24</f>
        <v>201025210.084034</v>
      </c>
      <c r="F545" s="25" t="n">
        <f aca="false">E545-D545</f>
        <v>-525674389.915966</v>
      </c>
      <c r="G545" s="25" t="n">
        <f aca="false">E545-C545</f>
        <v>-382069389.915966</v>
      </c>
      <c r="H545" s="7" t="str">
        <f aca="false">IF(F545&gt;=0,A545,"")</f>
        <v/>
      </c>
      <c r="I545" s="7" t="n">
        <f aca="false">IF(F545&lt;0,A545,0)</f>
        <v>540</v>
      </c>
      <c r="J545" s="7" t="str">
        <f aca="false">IF(G545&gt;=0,A545,"")</f>
        <v/>
      </c>
      <c r="K545" s="7" t="n">
        <f aca="false">IF(G545&lt;0,A545,0)</f>
        <v>540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592305340</v>
      </c>
      <c r="D546" s="25" t="n">
        <f aca="false">('Chi phí'!$C$77+'Chi phí'!$D$77*B546+'Chi phí'!$E$77*A546+'Giả định'!$B$15*('Chi phí'!$F$77+'Chi phí'!$G$77*B546+'Chi phí'!$H$77*A546))*(1+'Giả định'!$B$16)</f>
        <v>735910340</v>
      </c>
      <c r="E546" s="25" t="n">
        <f aca="false">A546/'Giả định'!$B$19*'Giả định'!$B$20+A546*'Giả định'!$B$23+'Giả định'!$B$24</f>
        <v>201397478.991597</v>
      </c>
      <c r="F546" s="25" t="n">
        <f aca="false">E546-D546</f>
        <v>-534512861.008403</v>
      </c>
      <c r="G546" s="25" t="n">
        <f aca="false">E546-C546</f>
        <v>-390907861.008403</v>
      </c>
      <c r="H546" s="7" t="str">
        <f aca="false">IF(F546&gt;=0,A546,"")</f>
        <v/>
      </c>
      <c r="I546" s="7" t="n">
        <f aca="false">IF(F546&lt;0,A546,0)</f>
        <v>541</v>
      </c>
      <c r="J546" s="7" t="str">
        <f aca="false">IF(G546&gt;=0,A546,"")</f>
        <v/>
      </c>
      <c r="K546" s="7" t="n">
        <f aca="false">IF(G546&lt;0,A546,0)</f>
        <v>541</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592342080</v>
      </c>
      <c r="D547" s="25" t="n">
        <f aca="false">('Chi phí'!$C$77+'Chi phí'!$D$77*B547+'Chi phí'!$E$77*A547+'Giả định'!$B$15*('Chi phí'!$F$77+'Chi phí'!$G$77*B547+'Chi phí'!$H$77*A547))*(1+'Giả định'!$B$16)</f>
        <v>735947080</v>
      </c>
      <c r="E547" s="25" t="n">
        <f aca="false">A547/'Giả định'!$B$19*'Giả định'!$B$20+A547*'Giả định'!$B$23+'Giả định'!$B$24</f>
        <v>201769747.89916</v>
      </c>
      <c r="F547" s="25" t="n">
        <f aca="false">E547-D547</f>
        <v>-534177332.10084</v>
      </c>
      <c r="G547" s="25" t="n">
        <f aca="false">E547-C547</f>
        <v>-390572332.10084</v>
      </c>
      <c r="H547" s="7" t="str">
        <f aca="false">IF(F547&gt;=0,A547,"")</f>
        <v/>
      </c>
      <c r="I547" s="7" t="n">
        <f aca="false">IF(F547&lt;0,A547,0)</f>
        <v>542</v>
      </c>
      <c r="J547" s="7" t="str">
        <f aca="false">IF(G547&gt;=0,A547,"")</f>
        <v/>
      </c>
      <c r="K547" s="7" t="n">
        <f aca="false">IF(G547&lt;0,A547,0)</f>
        <v>542</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592378820</v>
      </c>
      <c r="D548" s="25" t="n">
        <f aca="false">('Chi phí'!$C$77+'Chi phí'!$D$77*B548+'Chi phí'!$E$77*A548+'Giả định'!$B$15*('Chi phí'!$F$77+'Chi phí'!$G$77*B548+'Chi phí'!$H$77*A548))*(1+'Giả định'!$B$16)</f>
        <v>735983820</v>
      </c>
      <c r="E548" s="25" t="n">
        <f aca="false">A548/'Giả định'!$B$19*'Giả định'!$B$20+A548*'Giả định'!$B$23+'Giả định'!$B$24</f>
        <v>202142016.806723</v>
      </c>
      <c r="F548" s="25" t="n">
        <f aca="false">E548-D548</f>
        <v>-533841803.193277</v>
      </c>
      <c r="G548" s="25" t="n">
        <f aca="false">E548-C548</f>
        <v>-390236803.193277</v>
      </c>
      <c r="H548" s="7" t="str">
        <f aca="false">IF(F548&gt;=0,A548,"")</f>
        <v/>
      </c>
      <c r="I548" s="7" t="n">
        <f aca="false">IF(F548&lt;0,A548,0)</f>
        <v>543</v>
      </c>
      <c r="J548" s="7" t="str">
        <f aca="false">IF(G548&gt;=0,A548,"")</f>
        <v/>
      </c>
      <c r="K548" s="7" t="n">
        <f aca="false">IF(G548&lt;0,A548,0)</f>
        <v>543</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592415560</v>
      </c>
      <c r="D549" s="25" t="n">
        <f aca="false">('Chi phí'!$C$77+'Chi phí'!$D$77*B549+'Chi phí'!$E$77*A549+'Giả định'!$B$15*('Chi phí'!$F$77+'Chi phí'!$G$77*B549+'Chi phí'!$H$77*A549))*(1+'Giả định'!$B$16)</f>
        <v>736020560</v>
      </c>
      <c r="E549" s="25" t="n">
        <f aca="false">A549/'Giả định'!$B$19*'Giả định'!$B$20+A549*'Giả định'!$B$23+'Giả định'!$B$24</f>
        <v>202514285.714286</v>
      </c>
      <c r="F549" s="25" t="n">
        <f aca="false">E549-D549</f>
        <v>-533506274.285714</v>
      </c>
      <c r="G549" s="25" t="n">
        <f aca="false">E549-C549</f>
        <v>-389901274.285714</v>
      </c>
      <c r="H549" s="7" t="str">
        <f aca="false">IF(F549&gt;=0,A549,"")</f>
        <v/>
      </c>
      <c r="I549" s="7" t="n">
        <f aca="false">IF(F549&lt;0,A549,0)</f>
        <v>544</v>
      </c>
      <c r="J549" s="7" t="str">
        <f aca="false">IF(G549&gt;=0,A549,"")</f>
        <v/>
      </c>
      <c r="K549" s="7" t="n">
        <f aca="false">IF(G549&lt;0,A549,0)</f>
        <v>544</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592452300</v>
      </c>
      <c r="D550" s="25" t="n">
        <f aca="false">('Chi phí'!$C$77+'Chi phí'!$D$77*B550+'Chi phí'!$E$77*A550+'Giả định'!$B$15*('Chi phí'!$F$77+'Chi phí'!$G$77*B550+'Chi phí'!$H$77*A550))*(1+'Giả định'!$B$16)</f>
        <v>736057300</v>
      </c>
      <c r="E550" s="25" t="n">
        <f aca="false">A550/'Giả định'!$B$19*'Giả định'!$B$20+A550*'Giả định'!$B$23+'Giả định'!$B$24</f>
        <v>202886554.621849</v>
      </c>
      <c r="F550" s="25" t="n">
        <f aca="false">E550-D550</f>
        <v>-533170745.378151</v>
      </c>
      <c r="G550" s="25" t="n">
        <f aca="false">E550-C550</f>
        <v>-389565745.378151</v>
      </c>
      <c r="H550" s="7" t="str">
        <f aca="false">IF(F550&gt;=0,A550,"")</f>
        <v/>
      </c>
      <c r="I550" s="7" t="n">
        <f aca="false">IF(F550&lt;0,A550,0)</f>
        <v>545</v>
      </c>
      <c r="J550" s="7" t="str">
        <f aca="false">IF(G550&gt;=0,A550,"")</f>
        <v/>
      </c>
      <c r="K550" s="7" t="n">
        <f aca="false">IF(G550&lt;0,A550,0)</f>
        <v>545</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592489040</v>
      </c>
      <c r="D551" s="25" t="n">
        <f aca="false">('Chi phí'!$C$77+'Chi phí'!$D$77*B551+'Chi phí'!$E$77*A551+'Giả định'!$B$15*('Chi phí'!$F$77+'Chi phí'!$G$77*B551+'Chi phí'!$H$77*A551))*(1+'Giả định'!$B$16)</f>
        <v>736094040</v>
      </c>
      <c r="E551" s="25" t="n">
        <f aca="false">A551/'Giả định'!$B$19*'Giả định'!$B$20+A551*'Giả định'!$B$23+'Giả định'!$B$24</f>
        <v>203258823.529412</v>
      </c>
      <c r="F551" s="25" t="n">
        <f aca="false">E551-D551</f>
        <v>-532835216.470588</v>
      </c>
      <c r="G551" s="25" t="n">
        <f aca="false">E551-C551</f>
        <v>-389230216.470588</v>
      </c>
      <c r="H551" s="7" t="str">
        <f aca="false">IF(F551&gt;=0,A551,"")</f>
        <v/>
      </c>
      <c r="I551" s="7" t="n">
        <f aca="false">IF(F551&lt;0,A551,0)</f>
        <v>546</v>
      </c>
      <c r="J551" s="7" t="str">
        <f aca="false">IF(G551&gt;=0,A551,"")</f>
        <v/>
      </c>
      <c r="K551" s="7" t="n">
        <f aca="false">IF(G551&lt;0,A551,0)</f>
        <v>546</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592525780</v>
      </c>
      <c r="D552" s="25" t="n">
        <f aca="false">('Chi phí'!$C$77+'Chi phí'!$D$77*B552+'Chi phí'!$E$77*A552+'Giả định'!$B$15*('Chi phí'!$F$77+'Chi phí'!$G$77*B552+'Chi phí'!$H$77*A552))*(1+'Giả định'!$B$16)</f>
        <v>736130780</v>
      </c>
      <c r="E552" s="25" t="n">
        <f aca="false">A552/'Giả định'!$B$19*'Giả định'!$B$20+A552*'Giả định'!$B$23+'Giả định'!$B$24</f>
        <v>203631092.436975</v>
      </c>
      <c r="F552" s="25" t="n">
        <f aca="false">E552-D552</f>
        <v>-532499687.563025</v>
      </c>
      <c r="G552" s="25" t="n">
        <f aca="false">E552-C552</f>
        <v>-388894687.563025</v>
      </c>
      <c r="H552" s="7" t="str">
        <f aca="false">IF(F552&gt;=0,A552,"")</f>
        <v/>
      </c>
      <c r="I552" s="7" t="n">
        <f aca="false">IF(F552&lt;0,A552,0)</f>
        <v>547</v>
      </c>
      <c r="J552" s="7" t="str">
        <f aca="false">IF(G552&gt;=0,A552,"")</f>
        <v/>
      </c>
      <c r="K552" s="7" t="n">
        <f aca="false">IF(G552&lt;0,A552,0)</f>
        <v>547</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592562520</v>
      </c>
      <c r="D553" s="25" t="n">
        <f aca="false">('Chi phí'!$C$77+'Chi phí'!$D$77*B553+'Chi phí'!$E$77*A553+'Giả định'!$B$15*('Chi phí'!$F$77+'Chi phí'!$G$77*B553+'Chi phí'!$H$77*A553))*(1+'Giả định'!$B$16)</f>
        <v>736167520</v>
      </c>
      <c r="E553" s="25" t="n">
        <f aca="false">A553/'Giả định'!$B$19*'Giả định'!$B$20+A553*'Giả định'!$B$23+'Giả định'!$B$24</f>
        <v>204003361.344538</v>
      </c>
      <c r="F553" s="25" t="n">
        <f aca="false">E553-D553</f>
        <v>-532164158.655462</v>
      </c>
      <c r="G553" s="25" t="n">
        <f aca="false">E553-C553</f>
        <v>-388559158.655462</v>
      </c>
      <c r="H553" s="7" t="str">
        <f aca="false">IF(F553&gt;=0,A553,"")</f>
        <v/>
      </c>
      <c r="I553" s="7" t="n">
        <f aca="false">IF(F553&lt;0,A553,0)</f>
        <v>548</v>
      </c>
      <c r="J553" s="7" t="str">
        <f aca="false">IF(G553&gt;=0,A553,"")</f>
        <v/>
      </c>
      <c r="K553" s="7" t="n">
        <f aca="false">IF(G553&lt;0,A553,0)</f>
        <v>548</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592599260</v>
      </c>
      <c r="D554" s="25" t="n">
        <f aca="false">('Chi phí'!$C$77+'Chi phí'!$D$77*B554+'Chi phí'!$E$77*A554+'Giả định'!$B$15*('Chi phí'!$F$77+'Chi phí'!$G$77*B554+'Chi phí'!$H$77*A554))*(1+'Giả định'!$B$16)</f>
        <v>736204260</v>
      </c>
      <c r="E554" s="25" t="n">
        <f aca="false">A554/'Giả định'!$B$19*'Giả định'!$B$20+A554*'Giả định'!$B$23+'Giả định'!$B$24</f>
        <v>204375630.252101</v>
      </c>
      <c r="F554" s="25" t="n">
        <f aca="false">E554-D554</f>
        <v>-531828629.747899</v>
      </c>
      <c r="G554" s="25" t="n">
        <f aca="false">E554-C554</f>
        <v>-388223629.747899</v>
      </c>
      <c r="H554" s="7" t="str">
        <f aca="false">IF(F554&gt;=0,A554,"")</f>
        <v/>
      </c>
      <c r="I554" s="7" t="n">
        <f aca="false">IF(F554&lt;0,A554,0)</f>
        <v>549</v>
      </c>
      <c r="J554" s="7" t="str">
        <f aca="false">IF(G554&gt;=0,A554,"")</f>
        <v/>
      </c>
      <c r="K554" s="7" t="n">
        <f aca="false">IF(G554&lt;0,A554,0)</f>
        <v>549</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592636000</v>
      </c>
      <c r="D555" s="25" t="n">
        <f aca="false">('Chi phí'!$C$77+'Chi phí'!$D$77*B555+'Chi phí'!$E$77*A555+'Giả định'!$B$15*('Chi phí'!$F$77+'Chi phí'!$G$77*B555+'Chi phí'!$H$77*A555))*(1+'Giả định'!$B$16)</f>
        <v>736241000</v>
      </c>
      <c r="E555" s="25" t="n">
        <f aca="false">A555/'Giả định'!$B$19*'Giả định'!$B$20+A555*'Giả định'!$B$23+'Giả định'!$B$24</f>
        <v>204747899.159664</v>
      </c>
      <c r="F555" s="25" t="n">
        <f aca="false">E555-D555</f>
        <v>-531493100.840336</v>
      </c>
      <c r="G555" s="25" t="n">
        <f aca="false">E555-C555</f>
        <v>-387888100.840336</v>
      </c>
      <c r="H555" s="7" t="str">
        <f aca="false">IF(F555&gt;=0,A555,"")</f>
        <v/>
      </c>
      <c r="I555" s="7" t="n">
        <f aca="false">IF(F555&lt;0,A555,0)</f>
        <v>550</v>
      </c>
      <c r="J555" s="7" t="str">
        <f aca="false">IF(G555&gt;=0,A555,"")</f>
        <v/>
      </c>
      <c r="K555" s="7" t="n">
        <f aca="false">IF(G555&lt;0,A555,0)</f>
        <v>550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601846740</v>
      </c>
      <c r="D556" s="25" t="n">
        <f aca="false">('Chi phí'!$C$77+'Chi phí'!$D$77*B556+'Chi phí'!$E$77*A556+'Giả định'!$B$15*('Chi phí'!$F$77+'Chi phí'!$G$77*B556+'Chi phí'!$H$77*A556))*(1+'Giả định'!$B$16)</f>
        <v>745451740</v>
      </c>
      <c r="E556" s="25" t="n">
        <f aca="false">A556/'Giả định'!$B$19*'Giả định'!$B$20+A556*'Giả định'!$B$23+'Giả định'!$B$24</f>
        <v>205120168.067227</v>
      </c>
      <c r="F556" s="25" t="n">
        <f aca="false">E556-D556</f>
        <v>-540331571.932773</v>
      </c>
      <c r="G556" s="25" t="n">
        <f aca="false">E556-C556</f>
        <v>-396726571.932773</v>
      </c>
      <c r="H556" s="7" t="str">
        <f aca="false">IF(F556&gt;=0,A556,"")</f>
        <v/>
      </c>
      <c r="I556" s="7" t="n">
        <f aca="false">IF(F556&lt;0,A556,0)</f>
        <v>551</v>
      </c>
      <c r="J556" s="7" t="str">
        <f aca="false">IF(G556&gt;=0,A556,"")</f>
        <v/>
      </c>
      <c r="K556" s="7" t="n">
        <f aca="false">IF(G556&lt;0,A556,0)</f>
        <v>551</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601883480</v>
      </c>
      <c r="D557" s="25" t="n">
        <f aca="false">('Chi phí'!$C$77+'Chi phí'!$D$77*B557+'Chi phí'!$E$77*A557+'Giả định'!$B$15*('Chi phí'!$F$77+'Chi phí'!$G$77*B557+'Chi phí'!$H$77*A557))*(1+'Giả định'!$B$16)</f>
        <v>745488480</v>
      </c>
      <c r="E557" s="25" t="n">
        <f aca="false">A557/'Giả định'!$B$19*'Giả định'!$B$20+A557*'Giả định'!$B$23+'Giả định'!$B$24</f>
        <v>205492436.97479</v>
      </c>
      <c r="F557" s="25" t="n">
        <f aca="false">E557-D557</f>
        <v>-539996043.02521</v>
      </c>
      <c r="G557" s="25" t="n">
        <f aca="false">E557-C557</f>
        <v>-396391043.02521</v>
      </c>
      <c r="H557" s="7" t="str">
        <f aca="false">IF(F557&gt;=0,A557,"")</f>
        <v/>
      </c>
      <c r="I557" s="7" t="n">
        <f aca="false">IF(F557&lt;0,A557,0)</f>
        <v>552</v>
      </c>
      <c r="J557" s="7" t="str">
        <f aca="false">IF(G557&gt;=0,A557,"")</f>
        <v/>
      </c>
      <c r="K557" s="7" t="n">
        <f aca="false">IF(G557&lt;0,A557,0)</f>
        <v>552</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601920220</v>
      </c>
      <c r="D558" s="25" t="n">
        <f aca="false">('Chi phí'!$C$77+'Chi phí'!$D$77*B558+'Chi phí'!$E$77*A558+'Giả định'!$B$15*('Chi phí'!$F$77+'Chi phí'!$G$77*B558+'Chi phí'!$H$77*A558))*(1+'Giả định'!$B$16)</f>
        <v>745525220</v>
      </c>
      <c r="E558" s="25" t="n">
        <f aca="false">A558/'Giả định'!$B$19*'Giả định'!$B$20+A558*'Giả định'!$B$23+'Giả định'!$B$24</f>
        <v>205864705.882353</v>
      </c>
      <c r="F558" s="25" t="n">
        <f aca="false">E558-D558</f>
        <v>-539660514.117647</v>
      </c>
      <c r="G558" s="25" t="n">
        <f aca="false">E558-C558</f>
        <v>-396055514.117647</v>
      </c>
      <c r="H558" s="7" t="str">
        <f aca="false">IF(F558&gt;=0,A558,"")</f>
        <v/>
      </c>
      <c r="I558" s="7" t="n">
        <f aca="false">IF(F558&lt;0,A558,0)</f>
        <v>553</v>
      </c>
      <c r="J558" s="7" t="str">
        <f aca="false">IF(G558&gt;=0,A558,"")</f>
        <v/>
      </c>
      <c r="K558" s="7" t="n">
        <f aca="false">IF(G558&lt;0,A558,0)</f>
        <v>553</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601956960</v>
      </c>
      <c r="D559" s="25" t="n">
        <f aca="false">('Chi phí'!$C$77+'Chi phí'!$D$77*B559+'Chi phí'!$E$77*A559+'Giả định'!$B$15*('Chi phí'!$F$77+'Chi phí'!$G$77*B559+'Chi phí'!$H$77*A559))*(1+'Giả định'!$B$16)</f>
        <v>745561960</v>
      </c>
      <c r="E559" s="25" t="n">
        <f aca="false">A559/'Giả định'!$B$19*'Giả định'!$B$20+A559*'Giả định'!$B$23+'Giả định'!$B$24</f>
        <v>206236974.789916</v>
      </c>
      <c r="F559" s="25" t="n">
        <f aca="false">E559-D559</f>
        <v>-539324985.210084</v>
      </c>
      <c r="G559" s="25" t="n">
        <f aca="false">E559-C559</f>
        <v>-395719985.210084</v>
      </c>
      <c r="H559" s="7" t="str">
        <f aca="false">IF(F559&gt;=0,A559,"")</f>
        <v/>
      </c>
      <c r="I559" s="7" t="n">
        <f aca="false">IF(F559&lt;0,A559,0)</f>
        <v>554</v>
      </c>
      <c r="J559" s="7" t="str">
        <f aca="false">IF(G559&gt;=0,A559,"")</f>
        <v/>
      </c>
      <c r="K559" s="7" t="n">
        <f aca="false">IF(G559&lt;0,A559,0)</f>
        <v>554</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601993700</v>
      </c>
      <c r="D560" s="25" t="n">
        <f aca="false">('Chi phí'!$C$77+'Chi phí'!$D$77*B560+'Chi phí'!$E$77*A560+'Giả định'!$B$15*('Chi phí'!$F$77+'Chi phí'!$G$77*B560+'Chi phí'!$H$77*A560))*(1+'Giả định'!$B$16)</f>
        <v>745598700</v>
      </c>
      <c r="E560" s="25" t="n">
        <f aca="false">A560/'Giả định'!$B$19*'Giả định'!$B$20+A560*'Giả định'!$B$23+'Giả định'!$B$24</f>
        <v>206609243.697479</v>
      </c>
      <c r="F560" s="25" t="n">
        <f aca="false">E560-D560</f>
        <v>-538989456.302521</v>
      </c>
      <c r="G560" s="25" t="n">
        <f aca="false">E560-C560</f>
        <v>-395384456.302521</v>
      </c>
      <c r="H560" s="7" t="str">
        <f aca="false">IF(F560&gt;=0,A560,"")</f>
        <v/>
      </c>
      <c r="I560" s="7" t="n">
        <f aca="false">IF(F560&lt;0,A560,0)</f>
        <v>555</v>
      </c>
      <c r="J560" s="7" t="str">
        <f aca="false">IF(G560&gt;=0,A560,"")</f>
        <v/>
      </c>
      <c r="K560" s="7" t="n">
        <f aca="false">IF(G560&lt;0,A560,0)</f>
        <v>555</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602030440</v>
      </c>
      <c r="D561" s="25" t="n">
        <f aca="false">('Chi phí'!$C$77+'Chi phí'!$D$77*B561+'Chi phí'!$E$77*A561+'Giả định'!$B$15*('Chi phí'!$F$77+'Chi phí'!$G$77*B561+'Chi phí'!$H$77*A561))*(1+'Giả định'!$B$16)</f>
        <v>745635440</v>
      </c>
      <c r="E561" s="25" t="n">
        <f aca="false">A561/'Giả định'!$B$19*'Giả định'!$B$20+A561*'Giả định'!$B$23+'Giả định'!$B$24</f>
        <v>206981512.605042</v>
      </c>
      <c r="F561" s="25" t="n">
        <f aca="false">E561-D561</f>
        <v>-538653927.394958</v>
      </c>
      <c r="G561" s="25" t="n">
        <f aca="false">E561-C561</f>
        <v>-395048927.394958</v>
      </c>
      <c r="H561" s="7" t="str">
        <f aca="false">IF(F561&gt;=0,A561,"")</f>
        <v/>
      </c>
      <c r="I561" s="7" t="n">
        <f aca="false">IF(F561&lt;0,A561,0)</f>
        <v>556</v>
      </c>
      <c r="J561" s="7" t="str">
        <f aca="false">IF(G561&gt;=0,A561,"")</f>
        <v/>
      </c>
      <c r="K561" s="7" t="n">
        <f aca="false">IF(G561&lt;0,A561,0)</f>
        <v>556</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602067180</v>
      </c>
      <c r="D562" s="25" t="n">
        <f aca="false">('Chi phí'!$C$77+'Chi phí'!$D$77*B562+'Chi phí'!$E$77*A562+'Giả định'!$B$15*('Chi phí'!$F$77+'Chi phí'!$G$77*B562+'Chi phí'!$H$77*A562))*(1+'Giả định'!$B$16)</f>
        <v>745672180</v>
      </c>
      <c r="E562" s="25" t="n">
        <f aca="false">A562/'Giả định'!$B$19*'Giả định'!$B$20+A562*'Giả định'!$B$23+'Giả định'!$B$24</f>
        <v>207353781.512605</v>
      </c>
      <c r="F562" s="25" t="n">
        <f aca="false">E562-D562</f>
        <v>-538318398.487395</v>
      </c>
      <c r="G562" s="25" t="n">
        <f aca="false">E562-C562</f>
        <v>-394713398.487395</v>
      </c>
      <c r="H562" s="7" t="str">
        <f aca="false">IF(F562&gt;=0,A562,"")</f>
        <v/>
      </c>
      <c r="I562" s="7" t="n">
        <f aca="false">IF(F562&lt;0,A562,0)</f>
        <v>557</v>
      </c>
      <c r="J562" s="7" t="str">
        <f aca="false">IF(G562&gt;=0,A562,"")</f>
        <v/>
      </c>
      <c r="K562" s="7" t="n">
        <f aca="false">IF(G562&lt;0,A562,0)</f>
        <v>557</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602103920</v>
      </c>
      <c r="D563" s="25" t="n">
        <f aca="false">('Chi phí'!$C$77+'Chi phí'!$D$77*B563+'Chi phí'!$E$77*A563+'Giả định'!$B$15*('Chi phí'!$F$77+'Chi phí'!$G$77*B563+'Chi phí'!$H$77*A563))*(1+'Giả định'!$B$16)</f>
        <v>745708920</v>
      </c>
      <c r="E563" s="25" t="n">
        <f aca="false">A563/'Giả định'!$B$19*'Giả định'!$B$20+A563*'Giả định'!$B$23+'Giả định'!$B$24</f>
        <v>207726050.420168</v>
      </c>
      <c r="F563" s="25" t="n">
        <f aca="false">E563-D563</f>
        <v>-537982869.579832</v>
      </c>
      <c r="G563" s="25" t="n">
        <f aca="false">E563-C563</f>
        <v>-394377869.579832</v>
      </c>
      <c r="H563" s="7" t="str">
        <f aca="false">IF(F563&gt;=0,A563,"")</f>
        <v/>
      </c>
      <c r="I563" s="7" t="n">
        <f aca="false">IF(F563&lt;0,A563,0)</f>
        <v>558</v>
      </c>
      <c r="J563" s="7" t="str">
        <f aca="false">IF(G563&gt;=0,A563,"")</f>
        <v/>
      </c>
      <c r="K563" s="7" t="n">
        <f aca="false">IF(G563&lt;0,A563,0)</f>
        <v>558</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602140660</v>
      </c>
      <c r="D564" s="25" t="n">
        <f aca="false">('Chi phí'!$C$77+'Chi phí'!$D$77*B564+'Chi phí'!$E$77*A564+'Giả định'!$B$15*('Chi phí'!$F$77+'Chi phí'!$G$77*B564+'Chi phí'!$H$77*A564))*(1+'Giả định'!$B$16)</f>
        <v>745745660</v>
      </c>
      <c r="E564" s="25" t="n">
        <f aca="false">A564/'Giả định'!$B$19*'Giả định'!$B$20+A564*'Giả định'!$B$23+'Giả định'!$B$24</f>
        <v>208098319.327731</v>
      </c>
      <c r="F564" s="25" t="n">
        <f aca="false">E564-D564</f>
        <v>-537647340.672269</v>
      </c>
      <c r="G564" s="25" t="n">
        <f aca="false">E564-C564</f>
        <v>-394042340.672269</v>
      </c>
      <c r="H564" s="7" t="str">
        <f aca="false">IF(F564&gt;=0,A564,"")</f>
        <v/>
      </c>
      <c r="I564" s="7" t="n">
        <f aca="false">IF(F564&lt;0,A564,0)</f>
        <v>559</v>
      </c>
      <c r="J564" s="7" t="str">
        <f aca="false">IF(G564&gt;=0,A564,"")</f>
        <v/>
      </c>
      <c r="K564" s="7" t="n">
        <f aca="false">IF(G564&lt;0,A564,0)</f>
        <v>559</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602177400</v>
      </c>
      <c r="D565" s="25" t="n">
        <f aca="false">('Chi phí'!$C$77+'Chi phí'!$D$77*B565+'Chi phí'!$E$77*A565+'Giả định'!$B$15*('Chi phí'!$F$77+'Chi phí'!$G$77*B565+'Chi phí'!$H$77*A565))*(1+'Giả định'!$B$16)</f>
        <v>745782400</v>
      </c>
      <c r="E565" s="25" t="n">
        <f aca="false">A565/'Giả định'!$B$19*'Giả định'!$B$20+A565*'Giả định'!$B$23+'Giả định'!$B$24</f>
        <v>208470588.235294</v>
      </c>
      <c r="F565" s="25" t="n">
        <f aca="false">E565-D565</f>
        <v>-537311811.764706</v>
      </c>
      <c r="G565" s="25" t="n">
        <f aca="false">E565-C565</f>
        <v>-393706811.764706</v>
      </c>
      <c r="H565" s="7" t="str">
        <f aca="false">IF(F565&gt;=0,A565,"")</f>
        <v/>
      </c>
      <c r="I565" s="7" t="n">
        <f aca="false">IF(F565&lt;0,A565,0)</f>
        <v>560</v>
      </c>
      <c r="J565" s="7" t="str">
        <f aca="false">IF(G565&gt;=0,A565,"")</f>
        <v/>
      </c>
      <c r="K565" s="7" t="n">
        <f aca="false">IF(G565&lt;0,A565,0)</f>
        <v>560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611388140</v>
      </c>
      <c r="D566" s="25" t="n">
        <f aca="false">('Chi phí'!$C$77+'Chi phí'!$D$77*B566+'Chi phí'!$E$77*A566+'Giả định'!$B$15*('Chi phí'!$F$77+'Chi phí'!$G$77*B566+'Chi phí'!$H$77*A566))*(1+'Giả định'!$B$16)</f>
        <v>754993140</v>
      </c>
      <c r="E566" s="25" t="n">
        <f aca="false">A566/'Giả định'!$B$19*'Giả định'!$B$20+A566*'Giả định'!$B$23+'Giả định'!$B$24</f>
        <v>208842857.142857</v>
      </c>
      <c r="F566" s="25" t="n">
        <f aca="false">E566-D566</f>
        <v>-546150282.857143</v>
      </c>
      <c r="G566" s="25" t="n">
        <f aca="false">E566-C566</f>
        <v>-402545282.857143</v>
      </c>
      <c r="H566" s="7" t="str">
        <f aca="false">IF(F566&gt;=0,A566,"")</f>
        <v/>
      </c>
      <c r="I566" s="7" t="n">
        <f aca="false">IF(F566&lt;0,A566,0)</f>
        <v>561</v>
      </c>
      <c r="J566" s="7" t="str">
        <f aca="false">IF(G566&gt;=0,A566,"")</f>
        <v/>
      </c>
      <c r="K566" s="7" t="n">
        <f aca="false">IF(G566&lt;0,A566,0)</f>
        <v>561</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611424880</v>
      </c>
      <c r="D567" s="25" t="n">
        <f aca="false">('Chi phí'!$C$77+'Chi phí'!$D$77*B567+'Chi phí'!$E$77*A567+'Giả định'!$B$15*('Chi phí'!$F$77+'Chi phí'!$G$77*B567+'Chi phí'!$H$77*A567))*(1+'Giả định'!$B$16)</f>
        <v>755029880</v>
      </c>
      <c r="E567" s="25" t="n">
        <f aca="false">A567/'Giả định'!$B$19*'Giả định'!$B$20+A567*'Giả định'!$B$23+'Giả định'!$B$24</f>
        <v>209215126.05042</v>
      </c>
      <c r="F567" s="25" t="n">
        <f aca="false">E567-D567</f>
        <v>-545814753.94958</v>
      </c>
      <c r="G567" s="25" t="n">
        <f aca="false">E567-C567</f>
        <v>-402209753.94958</v>
      </c>
      <c r="H567" s="7" t="str">
        <f aca="false">IF(F567&gt;=0,A567,"")</f>
        <v/>
      </c>
      <c r="I567" s="7" t="n">
        <f aca="false">IF(F567&lt;0,A567,0)</f>
        <v>562</v>
      </c>
      <c r="J567" s="7" t="str">
        <f aca="false">IF(G567&gt;=0,A567,"")</f>
        <v/>
      </c>
      <c r="K567" s="7" t="n">
        <f aca="false">IF(G567&lt;0,A567,0)</f>
        <v>562</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611461620</v>
      </c>
      <c r="D568" s="25" t="n">
        <f aca="false">('Chi phí'!$C$77+'Chi phí'!$D$77*B568+'Chi phí'!$E$77*A568+'Giả định'!$B$15*('Chi phí'!$F$77+'Chi phí'!$G$77*B568+'Chi phí'!$H$77*A568))*(1+'Giả định'!$B$16)</f>
        <v>755066620</v>
      </c>
      <c r="E568" s="25" t="n">
        <f aca="false">A568/'Giả định'!$B$19*'Giả định'!$B$20+A568*'Giả định'!$B$23+'Giả định'!$B$24</f>
        <v>209587394.957983</v>
      </c>
      <c r="F568" s="25" t="n">
        <f aca="false">E568-D568</f>
        <v>-545479225.042017</v>
      </c>
      <c r="G568" s="25" t="n">
        <f aca="false">E568-C568</f>
        <v>-401874225.042017</v>
      </c>
      <c r="H568" s="7" t="str">
        <f aca="false">IF(F568&gt;=0,A568,"")</f>
        <v/>
      </c>
      <c r="I568" s="7" t="n">
        <f aca="false">IF(F568&lt;0,A568,0)</f>
        <v>563</v>
      </c>
      <c r="J568" s="7" t="str">
        <f aca="false">IF(G568&gt;=0,A568,"")</f>
        <v/>
      </c>
      <c r="K568" s="7" t="n">
        <f aca="false">IF(G568&lt;0,A568,0)</f>
        <v>563</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611498360</v>
      </c>
      <c r="D569" s="25" t="n">
        <f aca="false">('Chi phí'!$C$77+'Chi phí'!$D$77*B569+'Chi phí'!$E$77*A569+'Giả định'!$B$15*('Chi phí'!$F$77+'Chi phí'!$G$77*B569+'Chi phí'!$H$77*A569))*(1+'Giả định'!$B$16)</f>
        <v>755103360</v>
      </c>
      <c r="E569" s="25" t="n">
        <f aca="false">A569/'Giả định'!$B$19*'Giả định'!$B$20+A569*'Giả định'!$B$23+'Giả định'!$B$24</f>
        <v>209959663.865546</v>
      </c>
      <c r="F569" s="25" t="n">
        <f aca="false">E569-D569</f>
        <v>-545143696.134454</v>
      </c>
      <c r="G569" s="25" t="n">
        <f aca="false">E569-C569</f>
        <v>-401538696.134454</v>
      </c>
      <c r="H569" s="7" t="str">
        <f aca="false">IF(F569&gt;=0,A569,"")</f>
        <v/>
      </c>
      <c r="I569" s="7" t="n">
        <f aca="false">IF(F569&lt;0,A569,0)</f>
        <v>564</v>
      </c>
      <c r="J569" s="7" t="str">
        <f aca="false">IF(G569&gt;=0,A569,"")</f>
        <v/>
      </c>
      <c r="K569" s="7" t="n">
        <f aca="false">IF(G569&lt;0,A569,0)</f>
        <v>564</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611535100</v>
      </c>
      <c r="D570" s="25" t="n">
        <f aca="false">('Chi phí'!$C$77+'Chi phí'!$D$77*B570+'Chi phí'!$E$77*A570+'Giả định'!$B$15*('Chi phí'!$F$77+'Chi phí'!$G$77*B570+'Chi phí'!$H$77*A570))*(1+'Giả định'!$B$16)</f>
        <v>755140100</v>
      </c>
      <c r="E570" s="25" t="n">
        <f aca="false">A570/'Giả định'!$B$19*'Giả định'!$B$20+A570*'Giả định'!$B$23+'Giả định'!$B$24</f>
        <v>210331932.773109</v>
      </c>
      <c r="F570" s="25" t="n">
        <f aca="false">E570-D570</f>
        <v>-544808167.226891</v>
      </c>
      <c r="G570" s="25" t="n">
        <f aca="false">E570-C570</f>
        <v>-401203167.226891</v>
      </c>
      <c r="H570" s="7" t="str">
        <f aca="false">IF(F570&gt;=0,A570,"")</f>
        <v/>
      </c>
      <c r="I570" s="7" t="n">
        <f aca="false">IF(F570&lt;0,A570,0)</f>
        <v>565</v>
      </c>
      <c r="J570" s="7" t="str">
        <f aca="false">IF(G570&gt;=0,A570,"")</f>
        <v/>
      </c>
      <c r="K570" s="7" t="n">
        <f aca="false">IF(G570&lt;0,A570,0)</f>
        <v>565</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611571840</v>
      </c>
      <c r="D571" s="25" t="n">
        <f aca="false">('Chi phí'!$C$77+'Chi phí'!$D$77*B571+'Chi phí'!$E$77*A571+'Giả định'!$B$15*('Chi phí'!$F$77+'Chi phí'!$G$77*B571+'Chi phí'!$H$77*A571))*(1+'Giả định'!$B$16)</f>
        <v>755176840</v>
      </c>
      <c r="E571" s="25" t="n">
        <f aca="false">A571/'Giả định'!$B$19*'Giả định'!$B$20+A571*'Giả định'!$B$23+'Giả định'!$B$24</f>
        <v>210704201.680672</v>
      </c>
      <c r="F571" s="25" t="n">
        <f aca="false">E571-D571</f>
        <v>-544472638.319328</v>
      </c>
      <c r="G571" s="25" t="n">
        <f aca="false">E571-C571</f>
        <v>-400867638.319328</v>
      </c>
      <c r="H571" s="7" t="str">
        <f aca="false">IF(F571&gt;=0,A571,"")</f>
        <v/>
      </c>
      <c r="I571" s="7" t="n">
        <f aca="false">IF(F571&lt;0,A571,0)</f>
        <v>566</v>
      </c>
      <c r="J571" s="7" t="str">
        <f aca="false">IF(G571&gt;=0,A571,"")</f>
        <v/>
      </c>
      <c r="K571" s="7" t="n">
        <f aca="false">IF(G571&lt;0,A571,0)</f>
        <v>566</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611608580</v>
      </c>
      <c r="D572" s="25" t="n">
        <f aca="false">('Chi phí'!$C$77+'Chi phí'!$D$77*B572+'Chi phí'!$E$77*A572+'Giả định'!$B$15*('Chi phí'!$F$77+'Chi phí'!$G$77*B572+'Chi phí'!$H$77*A572))*(1+'Giả định'!$B$16)</f>
        <v>755213580</v>
      </c>
      <c r="E572" s="25" t="n">
        <f aca="false">A572/'Giả định'!$B$19*'Giả định'!$B$20+A572*'Giả định'!$B$23+'Giả định'!$B$24</f>
        <v>211076470.588235</v>
      </c>
      <c r="F572" s="25" t="n">
        <f aca="false">E572-D572</f>
        <v>-544137109.411765</v>
      </c>
      <c r="G572" s="25" t="n">
        <f aca="false">E572-C572</f>
        <v>-400532109.411765</v>
      </c>
      <c r="H572" s="7" t="str">
        <f aca="false">IF(F572&gt;=0,A572,"")</f>
        <v/>
      </c>
      <c r="I572" s="7" t="n">
        <f aca="false">IF(F572&lt;0,A572,0)</f>
        <v>567</v>
      </c>
      <c r="J572" s="7" t="str">
        <f aca="false">IF(G572&gt;=0,A572,"")</f>
        <v/>
      </c>
      <c r="K572" s="7" t="n">
        <f aca="false">IF(G572&lt;0,A572,0)</f>
        <v>567</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611645320</v>
      </c>
      <c r="D573" s="25" t="n">
        <f aca="false">('Chi phí'!$C$77+'Chi phí'!$D$77*B573+'Chi phí'!$E$77*A573+'Giả định'!$B$15*('Chi phí'!$F$77+'Chi phí'!$G$77*B573+'Chi phí'!$H$77*A573))*(1+'Giả định'!$B$16)</f>
        <v>755250320</v>
      </c>
      <c r="E573" s="25" t="n">
        <f aca="false">A573/'Giả định'!$B$19*'Giả định'!$B$20+A573*'Giả định'!$B$23+'Giả định'!$B$24</f>
        <v>211448739.495798</v>
      </c>
      <c r="F573" s="25" t="n">
        <f aca="false">E573-D573</f>
        <v>-543801580.504202</v>
      </c>
      <c r="G573" s="25" t="n">
        <f aca="false">E573-C573</f>
        <v>-400196580.504202</v>
      </c>
      <c r="H573" s="7" t="str">
        <f aca="false">IF(F573&gt;=0,A573,"")</f>
        <v/>
      </c>
      <c r="I573" s="7" t="n">
        <f aca="false">IF(F573&lt;0,A573,0)</f>
        <v>568</v>
      </c>
      <c r="J573" s="7" t="str">
        <f aca="false">IF(G573&gt;=0,A573,"")</f>
        <v/>
      </c>
      <c r="K573" s="7" t="n">
        <f aca="false">IF(G573&lt;0,A573,0)</f>
        <v>568</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611682060</v>
      </c>
      <c r="D574" s="25" t="n">
        <f aca="false">('Chi phí'!$C$77+'Chi phí'!$D$77*B574+'Chi phí'!$E$77*A574+'Giả định'!$B$15*('Chi phí'!$F$77+'Chi phí'!$G$77*B574+'Chi phí'!$H$77*A574))*(1+'Giả định'!$B$16)</f>
        <v>755287060</v>
      </c>
      <c r="E574" s="25" t="n">
        <f aca="false">A574/'Giả định'!$B$19*'Giả định'!$B$20+A574*'Giả định'!$B$23+'Giả định'!$B$24</f>
        <v>211821008.403361</v>
      </c>
      <c r="F574" s="25" t="n">
        <f aca="false">E574-D574</f>
        <v>-543466051.596639</v>
      </c>
      <c r="G574" s="25" t="n">
        <f aca="false">E574-C574</f>
        <v>-399861051.596639</v>
      </c>
      <c r="H574" s="7" t="str">
        <f aca="false">IF(F574&gt;=0,A574,"")</f>
        <v/>
      </c>
      <c r="I574" s="7" t="n">
        <f aca="false">IF(F574&lt;0,A574,0)</f>
        <v>569</v>
      </c>
      <c r="J574" s="7" t="str">
        <f aca="false">IF(G574&gt;=0,A574,"")</f>
        <v/>
      </c>
      <c r="K574" s="7" t="n">
        <f aca="false">IF(G574&lt;0,A574,0)</f>
        <v>569</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611718800</v>
      </c>
      <c r="D575" s="25" t="n">
        <f aca="false">('Chi phí'!$C$77+'Chi phí'!$D$77*B575+'Chi phí'!$E$77*A575+'Giả định'!$B$15*('Chi phí'!$F$77+'Chi phí'!$G$77*B575+'Chi phí'!$H$77*A575))*(1+'Giả định'!$B$16)</f>
        <v>755323800</v>
      </c>
      <c r="E575" s="25" t="n">
        <f aca="false">A575/'Giả định'!$B$19*'Giả định'!$B$20+A575*'Giả định'!$B$23+'Giả định'!$B$24</f>
        <v>212193277.310924</v>
      </c>
      <c r="F575" s="25" t="n">
        <f aca="false">E575-D575</f>
        <v>-543130522.689076</v>
      </c>
      <c r="G575" s="25" t="n">
        <f aca="false">E575-C575</f>
        <v>-399525522.689076</v>
      </c>
      <c r="H575" s="7" t="str">
        <f aca="false">IF(F575&gt;=0,A575,"")</f>
        <v/>
      </c>
      <c r="I575" s="7" t="n">
        <f aca="false">IF(F575&lt;0,A575,0)</f>
        <v>570</v>
      </c>
      <c r="J575" s="7" t="str">
        <f aca="false">IF(G575&gt;=0,A575,"")</f>
        <v/>
      </c>
      <c r="K575" s="7" t="n">
        <f aca="false">IF(G575&lt;0,A575,0)</f>
        <v>570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620929540</v>
      </c>
      <c r="D576" s="25" t="n">
        <f aca="false">('Chi phí'!$C$77+'Chi phí'!$D$77*B576+'Chi phí'!$E$77*A576+'Giả định'!$B$15*('Chi phí'!$F$77+'Chi phí'!$G$77*B576+'Chi phí'!$H$77*A576))*(1+'Giả định'!$B$16)</f>
        <v>764534540</v>
      </c>
      <c r="E576" s="25" t="n">
        <f aca="false">A576/'Giả định'!$B$19*'Giả định'!$B$20+A576*'Giả định'!$B$23+'Giả định'!$B$24</f>
        <v>212565546.218487</v>
      </c>
      <c r="F576" s="25" t="n">
        <f aca="false">E576-D576</f>
        <v>-551968993.781513</v>
      </c>
      <c r="G576" s="25" t="n">
        <f aca="false">E576-C576</f>
        <v>-408363993.781513</v>
      </c>
      <c r="H576" s="7" t="str">
        <f aca="false">IF(F576&gt;=0,A576,"")</f>
        <v/>
      </c>
      <c r="I576" s="7" t="n">
        <f aca="false">IF(F576&lt;0,A576,0)</f>
        <v>571</v>
      </c>
      <c r="J576" s="7" t="str">
        <f aca="false">IF(G576&gt;=0,A576,"")</f>
        <v/>
      </c>
      <c r="K576" s="7" t="n">
        <f aca="false">IF(G576&lt;0,A576,0)</f>
        <v>571</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620966280</v>
      </c>
      <c r="D577" s="25" t="n">
        <f aca="false">('Chi phí'!$C$77+'Chi phí'!$D$77*B577+'Chi phí'!$E$77*A577+'Giả định'!$B$15*('Chi phí'!$F$77+'Chi phí'!$G$77*B577+'Chi phí'!$H$77*A577))*(1+'Giả định'!$B$16)</f>
        <v>764571280</v>
      </c>
      <c r="E577" s="25" t="n">
        <f aca="false">A577/'Giả định'!$B$19*'Giả định'!$B$20+A577*'Giả định'!$B$23+'Giả định'!$B$24</f>
        <v>212937815.12605</v>
      </c>
      <c r="F577" s="25" t="n">
        <f aca="false">E577-D577</f>
        <v>-551633464.87395</v>
      </c>
      <c r="G577" s="25" t="n">
        <f aca="false">E577-C577</f>
        <v>-408028464.87395</v>
      </c>
      <c r="H577" s="7" t="str">
        <f aca="false">IF(F577&gt;=0,A577,"")</f>
        <v/>
      </c>
      <c r="I577" s="7" t="n">
        <f aca="false">IF(F577&lt;0,A577,0)</f>
        <v>572</v>
      </c>
      <c r="J577" s="7" t="str">
        <f aca="false">IF(G577&gt;=0,A577,"")</f>
        <v/>
      </c>
      <c r="K577" s="7" t="n">
        <f aca="false">IF(G577&lt;0,A577,0)</f>
        <v>572</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621003020</v>
      </c>
      <c r="D578" s="25" t="n">
        <f aca="false">('Chi phí'!$C$77+'Chi phí'!$D$77*B578+'Chi phí'!$E$77*A578+'Giả định'!$B$15*('Chi phí'!$F$77+'Chi phí'!$G$77*B578+'Chi phí'!$H$77*A578))*(1+'Giả định'!$B$16)</f>
        <v>764608020</v>
      </c>
      <c r="E578" s="25" t="n">
        <f aca="false">A578/'Giả định'!$B$19*'Giả định'!$B$20+A578*'Giả định'!$B$23+'Giả định'!$B$24</f>
        <v>213310084.033613</v>
      </c>
      <c r="F578" s="25" t="n">
        <f aca="false">E578-D578</f>
        <v>-551297935.966387</v>
      </c>
      <c r="G578" s="25" t="n">
        <f aca="false">E578-C578</f>
        <v>-407692935.966387</v>
      </c>
      <c r="H578" s="7" t="str">
        <f aca="false">IF(F578&gt;=0,A578,"")</f>
        <v/>
      </c>
      <c r="I578" s="7" t="n">
        <f aca="false">IF(F578&lt;0,A578,0)</f>
        <v>573</v>
      </c>
      <c r="J578" s="7" t="str">
        <f aca="false">IF(G578&gt;=0,A578,"")</f>
        <v/>
      </c>
      <c r="K578" s="7" t="n">
        <f aca="false">IF(G578&lt;0,A578,0)</f>
        <v>573</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621039760</v>
      </c>
      <c r="D579" s="25" t="n">
        <f aca="false">('Chi phí'!$C$77+'Chi phí'!$D$77*B579+'Chi phí'!$E$77*A579+'Giả định'!$B$15*('Chi phí'!$F$77+'Chi phí'!$G$77*B579+'Chi phí'!$H$77*A579))*(1+'Giả định'!$B$16)</f>
        <v>764644760</v>
      </c>
      <c r="E579" s="25" t="n">
        <f aca="false">A579/'Giả định'!$B$19*'Giả định'!$B$20+A579*'Giả định'!$B$23+'Giả định'!$B$24</f>
        <v>213682352.941176</v>
      </c>
      <c r="F579" s="25" t="n">
        <f aca="false">E579-D579</f>
        <v>-550962407.058824</v>
      </c>
      <c r="G579" s="25" t="n">
        <f aca="false">E579-C579</f>
        <v>-407357407.058824</v>
      </c>
      <c r="H579" s="7" t="str">
        <f aca="false">IF(F579&gt;=0,A579,"")</f>
        <v/>
      </c>
      <c r="I579" s="7" t="n">
        <f aca="false">IF(F579&lt;0,A579,0)</f>
        <v>574</v>
      </c>
      <c r="J579" s="7" t="str">
        <f aca="false">IF(G579&gt;=0,A579,"")</f>
        <v/>
      </c>
      <c r="K579" s="7" t="n">
        <f aca="false">IF(G579&lt;0,A579,0)</f>
        <v>574</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621076500</v>
      </c>
      <c r="D580" s="25" t="n">
        <f aca="false">('Chi phí'!$C$77+'Chi phí'!$D$77*B580+'Chi phí'!$E$77*A580+'Giả định'!$B$15*('Chi phí'!$F$77+'Chi phí'!$G$77*B580+'Chi phí'!$H$77*A580))*(1+'Giả định'!$B$16)</f>
        <v>764681500</v>
      </c>
      <c r="E580" s="25" t="n">
        <f aca="false">A580/'Giả định'!$B$19*'Giả định'!$B$20+A580*'Giả định'!$B$23+'Giả định'!$B$24</f>
        <v>214054621.84874</v>
      </c>
      <c r="F580" s="25" t="n">
        <f aca="false">E580-D580</f>
        <v>-550626878.151261</v>
      </c>
      <c r="G580" s="25" t="n">
        <f aca="false">E580-C580</f>
        <v>-407021878.151261</v>
      </c>
      <c r="H580" s="7" t="str">
        <f aca="false">IF(F580&gt;=0,A580,"")</f>
        <v/>
      </c>
      <c r="I580" s="7" t="n">
        <f aca="false">IF(F580&lt;0,A580,0)</f>
        <v>575</v>
      </c>
      <c r="J580" s="7" t="str">
        <f aca="false">IF(G580&gt;=0,A580,"")</f>
        <v/>
      </c>
      <c r="K580" s="7" t="n">
        <f aca="false">IF(G580&lt;0,A580,0)</f>
        <v>575</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621113240</v>
      </c>
      <c r="D581" s="25" t="n">
        <f aca="false">('Chi phí'!$C$77+'Chi phí'!$D$77*B581+'Chi phí'!$E$77*A581+'Giả định'!$B$15*('Chi phí'!$F$77+'Chi phí'!$G$77*B581+'Chi phí'!$H$77*A581))*(1+'Giả định'!$B$16)</f>
        <v>764718240</v>
      </c>
      <c r="E581" s="25" t="n">
        <f aca="false">A581/'Giả định'!$B$19*'Giả định'!$B$20+A581*'Giả định'!$B$23+'Giả định'!$B$24</f>
        <v>214426890.756303</v>
      </c>
      <c r="F581" s="25" t="n">
        <f aca="false">E581-D581</f>
        <v>-550291349.243698</v>
      </c>
      <c r="G581" s="25" t="n">
        <f aca="false">E581-C581</f>
        <v>-406686349.243697</v>
      </c>
      <c r="H581" s="7" t="str">
        <f aca="false">IF(F581&gt;=0,A581,"")</f>
        <v/>
      </c>
      <c r="I581" s="7" t="n">
        <f aca="false">IF(F581&lt;0,A581,0)</f>
        <v>576</v>
      </c>
      <c r="J581" s="7" t="str">
        <f aca="false">IF(G581&gt;=0,A581,"")</f>
        <v/>
      </c>
      <c r="K581" s="7" t="n">
        <f aca="false">IF(G581&lt;0,A581,0)</f>
        <v>576</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621149980</v>
      </c>
      <c r="D582" s="25" t="n">
        <f aca="false">('Chi phí'!$C$77+'Chi phí'!$D$77*B582+'Chi phí'!$E$77*A582+'Giả định'!$B$15*('Chi phí'!$F$77+'Chi phí'!$G$77*B582+'Chi phí'!$H$77*A582))*(1+'Giả định'!$B$16)</f>
        <v>764754980</v>
      </c>
      <c r="E582" s="25" t="n">
        <f aca="false">A582/'Giả định'!$B$19*'Giả định'!$B$20+A582*'Giả định'!$B$23+'Giả định'!$B$24</f>
        <v>214799159.663866</v>
      </c>
      <c r="F582" s="25" t="n">
        <f aca="false">E582-D582</f>
        <v>-549955820.336135</v>
      </c>
      <c r="G582" s="25" t="n">
        <f aca="false">E582-C582</f>
        <v>-406350820.336134</v>
      </c>
      <c r="H582" s="7" t="str">
        <f aca="false">IF(F582&gt;=0,A582,"")</f>
        <v/>
      </c>
      <c r="I582" s="7" t="n">
        <f aca="false">IF(F582&lt;0,A582,0)</f>
        <v>577</v>
      </c>
      <c r="J582" s="7" t="str">
        <f aca="false">IF(G582&gt;=0,A582,"")</f>
        <v/>
      </c>
      <c r="K582" s="7" t="n">
        <f aca="false">IF(G582&lt;0,A582,0)</f>
        <v>577</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621186720</v>
      </c>
      <c r="D583" s="25" t="n">
        <f aca="false">('Chi phí'!$C$77+'Chi phí'!$D$77*B583+'Chi phí'!$E$77*A583+'Giả định'!$B$15*('Chi phí'!$F$77+'Chi phí'!$G$77*B583+'Chi phí'!$H$77*A583))*(1+'Giả định'!$B$16)</f>
        <v>764791720</v>
      </c>
      <c r="E583" s="25" t="n">
        <f aca="false">A583/'Giả định'!$B$19*'Giả định'!$B$20+A583*'Giả định'!$B$23+'Giả định'!$B$24</f>
        <v>215171428.571429</v>
      </c>
      <c r="F583" s="25" t="n">
        <f aca="false">E583-D583</f>
        <v>-549620291.428572</v>
      </c>
      <c r="G583" s="25" t="n">
        <f aca="false">E583-C583</f>
        <v>-406015291.428571</v>
      </c>
      <c r="H583" s="7" t="str">
        <f aca="false">IF(F583&gt;=0,A583,"")</f>
        <v/>
      </c>
      <c r="I583" s="7" t="n">
        <f aca="false">IF(F583&lt;0,A583,0)</f>
        <v>578</v>
      </c>
      <c r="J583" s="7" t="str">
        <f aca="false">IF(G583&gt;=0,A583,"")</f>
        <v/>
      </c>
      <c r="K583" s="7" t="n">
        <f aca="false">IF(G583&lt;0,A583,0)</f>
        <v>578</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621223460</v>
      </c>
      <c r="D584" s="25" t="n">
        <f aca="false">('Chi phí'!$C$77+'Chi phí'!$D$77*B584+'Chi phí'!$E$77*A584+'Giả định'!$B$15*('Chi phí'!$F$77+'Chi phí'!$G$77*B584+'Chi phí'!$H$77*A584))*(1+'Giả định'!$B$16)</f>
        <v>764828460</v>
      </c>
      <c r="E584" s="25" t="n">
        <f aca="false">A584/'Giả định'!$B$19*'Giả định'!$B$20+A584*'Giả định'!$B$23+'Giả định'!$B$24</f>
        <v>215543697.478992</v>
      </c>
      <c r="F584" s="25" t="n">
        <f aca="false">E584-D584</f>
        <v>-549284762.521009</v>
      </c>
      <c r="G584" s="25" t="n">
        <f aca="false">E584-C584</f>
        <v>-405679762.521008</v>
      </c>
      <c r="H584" s="7" t="str">
        <f aca="false">IF(F584&gt;=0,A584,"")</f>
        <v/>
      </c>
      <c r="I584" s="7" t="n">
        <f aca="false">IF(F584&lt;0,A584,0)</f>
        <v>579</v>
      </c>
      <c r="J584" s="7" t="str">
        <f aca="false">IF(G584&gt;=0,A584,"")</f>
        <v/>
      </c>
      <c r="K584" s="7" t="n">
        <f aca="false">IF(G584&lt;0,A584,0)</f>
        <v>579</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621260200</v>
      </c>
      <c r="D585" s="25" t="n">
        <f aca="false">('Chi phí'!$C$77+'Chi phí'!$D$77*B585+'Chi phí'!$E$77*A585+'Giả định'!$B$15*('Chi phí'!$F$77+'Chi phí'!$G$77*B585+'Chi phí'!$H$77*A585))*(1+'Giả định'!$B$16)</f>
        <v>764865200</v>
      </c>
      <c r="E585" s="25" t="n">
        <f aca="false">A585/'Giả định'!$B$19*'Giả định'!$B$20+A585*'Giả định'!$B$23+'Giả định'!$B$24</f>
        <v>215915966.386555</v>
      </c>
      <c r="F585" s="25" t="n">
        <f aca="false">E585-D585</f>
        <v>-548949233.613446</v>
      </c>
      <c r="G585" s="25" t="n">
        <f aca="false">E585-C585</f>
        <v>-405344233.613445</v>
      </c>
      <c r="H585" s="7" t="str">
        <f aca="false">IF(F585&gt;=0,A585,"")</f>
        <v/>
      </c>
      <c r="I585" s="7" t="n">
        <f aca="false">IF(F585&lt;0,A585,0)</f>
        <v>580</v>
      </c>
      <c r="J585" s="7" t="str">
        <f aca="false">IF(G585&gt;=0,A585,"")</f>
        <v/>
      </c>
      <c r="K585" s="7" t="n">
        <f aca="false">IF(G585&lt;0,A585,0)</f>
        <v>580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630470940</v>
      </c>
      <c r="D586" s="25" t="n">
        <f aca="false">('Chi phí'!$C$77+'Chi phí'!$D$77*B586+'Chi phí'!$E$77*A586+'Giả định'!$B$15*('Chi phí'!$F$77+'Chi phí'!$G$77*B586+'Chi phí'!$H$77*A586))*(1+'Giả định'!$B$16)</f>
        <v>774075940</v>
      </c>
      <c r="E586" s="25" t="n">
        <f aca="false">A586/'Giả định'!$B$19*'Giả định'!$B$20+A586*'Giả định'!$B$23+'Giả định'!$B$24</f>
        <v>216288235.294118</v>
      </c>
      <c r="F586" s="25" t="n">
        <f aca="false">E586-D586</f>
        <v>-557787704.705882</v>
      </c>
      <c r="G586" s="25" t="n">
        <f aca="false">E586-C586</f>
        <v>-414182704.705882</v>
      </c>
      <c r="H586" s="7" t="str">
        <f aca="false">IF(F586&gt;=0,A586,"")</f>
        <v/>
      </c>
      <c r="I586" s="7" t="n">
        <f aca="false">IF(F586&lt;0,A586,0)</f>
        <v>581</v>
      </c>
      <c r="J586" s="7" t="str">
        <f aca="false">IF(G586&gt;=0,A586,"")</f>
        <v/>
      </c>
      <c r="K586" s="7" t="n">
        <f aca="false">IF(G586&lt;0,A586,0)</f>
        <v>581</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630507680</v>
      </c>
      <c r="D587" s="25" t="n">
        <f aca="false">('Chi phí'!$C$77+'Chi phí'!$D$77*B587+'Chi phí'!$E$77*A587+'Giả định'!$B$15*('Chi phí'!$F$77+'Chi phí'!$G$77*B587+'Chi phí'!$H$77*A587))*(1+'Giả định'!$B$16)</f>
        <v>774112680</v>
      </c>
      <c r="E587" s="25" t="n">
        <f aca="false">A587/'Giả định'!$B$19*'Giả định'!$B$20+A587*'Giả định'!$B$23+'Giả định'!$B$24</f>
        <v>216660504.201681</v>
      </c>
      <c r="F587" s="25" t="n">
        <f aca="false">E587-D587</f>
        <v>-557452175.79832</v>
      </c>
      <c r="G587" s="25" t="n">
        <f aca="false">E587-C587</f>
        <v>-413847175.798319</v>
      </c>
      <c r="H587" s="7" t="str">
        <f aca="false">IF(F587&gt;=0,A587,"")</f>
        <v/>
      </c>
      <c r="I587" s="7" t="n">
        <f aca="false">IF(F587&lt;0,A587,0)</f>
        <v>582</v>
      </c>
      <c r="J587" s="7" t="str">
        <f aca="false">IF(G587&gt;=0,A587,"")</f>
        <v/>
      </c>
      <c r="K587" s="7" t="n">
        <f aca="false">IF(G587&lt;0,A587,0)</f>
        <v>582</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630544420</v>
      </c>
      <c r="D588" s="25" t="n">
        <f aca="false">('Chi phí'!$C$77+'Chi phí'!$D$77*B588+'Chi phí'!$E$77*A588+'Giả định'!$B$15*('Chi phí'!$F$77+'Chi phí'!$G$77*B588+'Chi phí'!$H$77*A588))*(1+'Giả định'!$B$16)</f>
        <v>774149420</v>
      </c>
      <c r="E588" s="25" t="n">
        <f aca="false">A588/'Giả định'!$B$19*'Giả định'!$B$20+A588*'Giả định'!$B$23+'Giả định'!$B$24</f>
        <v>217032773.109244</v>
      </c>
      <c r="F588" s="25" t="n">
        <f aca="false">E588-D588</f>
        <v>-557116646.890756</v>
      </c>
      <c r="G588" s="25" t="n">
        <f aca="false">E588-C588</f>
        <v>-413511646.890756</v>
      </c>
      <c r="H588" s="7" t="str">
        <f aca="false">IF(F588&gt;=0,A588,"")</f>
        <v/>
      </c>
      <c r="I588" s="7" t="n">
        <f aca="false">IF(F588&lt;0,A588,0)</f>
        <v>583</v>
      </c>
      <c r="J588" s="7" t="str">
        <f aca="false">IF(G588&gt;=0,A588,"")</f>
        <v/>
      </c>
      <c r="K588" s="7" t="n">
        <f aca="false">IF(G588&lt;0,A588,0)</f>
        <v>583</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630581160</v>
      </c>
      <c r="D589" s="25" t="n">
        <f aca="false">('Chi phí'!$C$77+'Chi phí'!$D$77*B589+'Chi phí'!$E$77*A589+'Giả định'!$B$15*('Chi phí'!$F$77+'Chi phí'!$G$77*B589+'Chi phí'!$H$77*A589))*(1+'Giả định'!$B$16)</f>
        <v>774186160</v>
      </c>
      <c r="E589" s="25" t="n">
        <f aca="false">A589/'Giả định'!$B$19*'Giả định'!$B$20+A589*'Giả định'!$B$23+'Giả định'!$B$24</f>
        <v>217405042.016807</v>
      </c>
      <c r="F589" s="25" t="n">
        <f aca="false">E589-D589</f>
        <v>-556781117.983193</v>
      </c>
      <c r="G589" s="25" t="n">
        <f aca="false">E589-C589</f>
        <v>-413176117.983193</v>
      </c>
      <c r="H589" s="7" t="str">
        <f aca="false">IF(F589&gt;=0,A589,"")</f>
        <v/>
      </c>
      <c r="I589" s="7" t="n">
        <f aca="false">IF(F589&lt;0,A589,0)</f>
        <v>584</v>
      </c>
      <c r="J589" s="7" t="str">
        <f aca="false">IF(G589&gt;=0,A589,"")</f>
        <v/>
      </c>
      <c r="K589" s="7" t="n">
        <f aca="false">IF(G589&lt;0,A589,0)</f>
        <v>584</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630617900</v>
      </c>
      <c r="D590" s="25" t="n">
        <f aca="false">('Chi phí'!$C$77+'Chi phí'!$D$77*B590+'Chi phí'!$E$77*A590+'Giả định'!$B$15*('Chi phí'!$F$77+'Chi phí'!$G$77*B590+'Chi phí'!$H$77*A590))*(1+'Giả định'!$B$16)</f>
        <v>774222900</v>
      </c>
      <c r="E590" s="25" t="n">
        <f aca="false">A590/'Giả định'!$B$19*'Giả định'!$B$20+A590*'Giả định'!$B$23+'Giả định'!$B$24</f>
        <v>217777310.92437</v>
      </c>
      <c r="F590" s="25" t="n">
        <f aca="false">E590-D590</f>
        <v>-556445589.07563</v>
      </c>
      <c r="G590" s="25" t="n">
        <f aca="false">E590-C590</f>
        <v>-412840589.07563</v>
      </c>
      <c r="H590" s="7" t="str">
        <f aca="false">IF(F590&gt;=0,A590,"")</f>
        <v/>
      </c>
      <c r="I590" s="7" t="n">
        <f aca="false">IF(F590&lt;0,A590,0)</f>
        <v>585</v>
      </c>
      <c r="J590" s="7" t="str">
        <f aca="false">IF(G590&gt;=0,A590,"")</f>
        <v/>
      </c>
      <c r="K590" s="7" t="n">
        <f aca="false">IF(G590&lt;0,A590,0)</f>
        <v>585</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630654640</v>
      </c>
      <c r="D591" s="25" t="n">
        <f aca="false">('Chi phí'!$C$77+'Chi phí'!$D$77*B591+'Chi phí'!$E$77*A591+'Giả định'!$B$15*('Chi phí'!$F$77+'Chi phí'!$G$77*B591+'Chi phí'!$H$77*A591))*(1+'Giả định'!$B$16)</f>
        <v>774259640</v>
      </c>
      <c r="E591" s="25" t="n">
        <f aca="false">A591/'Giả định'!$B$19*'Giả định'!$B$20+A591*'Giả định'!$B$23+'Giả định'!$B$24</f>
        <v>218149579.831933</v>
      </c>
      <c r="F591" s="25" t="n">
        <f aca="false">E591-D591</f>
        <v>-556110060.168067</v>
      </c>
      <c r="G591" s="25" t="n">
        <f aca="false">E591-C591</f>
        <v>-412505060.168067</v>
      </c>
      <c r="H591" s="7" t="str">
        <f aca="false">IF(F591&gt;=0,A591,"")</f>
        <v/>
      </c>
      <c r="I591" s="7" t="n">
        <f aca="false">IF(F591&lt;0,A591,0)</f>
        <v>586</v>
      </c>
      <c r="J591" s="7" t="str">
        <f aca="false">IF(G591&gt;=0,A591,"")</f>
        <v/>
      </c>
      <c r="K591" s="7" t="n">
        <f aca="false">IF(G591&lt;0,A591,0)</f>
        <v>586</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630691380</v>
      </c>
      <c r="D592" s="25" t="n">
        <f aca="false">('Chi phí'!$C$77+'Chi phí'!$D$77*B592+'Chi phí'!$E$77*A592+'Giả định'!$B$15*('Chi phí'!$F$77+'Chi phí'!$G$77*B592+'Chi phí'!$H$77*A592))*(1+'Giả định'!$B$16)</f>
        <v>774296380</v>
      </c>
      <c r="E592" s="25" t="n">
        <f aca="false">A592/'Giả định'!$B$19*'Giả định'!$B$20+A592*'Giả định'!$B$23+'Giả định'!$B$24</f>
        <v>218521848.739496</v>
      </c>
      <c r="F592" s="25" t="n">
        <f aca="false">E592-D592</f>
        <v>-555774531.260504</v>
      </c>
      <c r="G592" s="25" t="n">
        <f aca="false">E592-C592</f>
        <v>-412169531.260504</v>
      </c>
      <c r="H592" s="7" t="str">
        <f aca="false">IF(F592&gt;=0,A592,"")</f>
        <v/>
      </c>
      <c r="I592" s="7" t="n">
        <f aca="false">IF(F592&lt;0,A592,0)</f>
        <v>587</v>
      </c>
      <c r="J592" s="7" t="str">
        <f aca="false">IF(G592&gt;=0,A592,"")</f>
        <v/>
      </c>
      <c r="K592" s="7" t="n">
        <f aca="false">IF(G592&lt;0,A592,0)</f>
        <v>587</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630728120</v>
      </c>
      <c r="D593" s="25" t="n">
        <f aca="false">('Chi phí'!$C$77+'Chi phí'!$D$77*B593+'Chi phí'!$E$77*A593+'Giả định'!$B$15*('Chi phí'!$F$77+'Chi phí'!$G$77*B593+'Chi phí'!$H$77*A593))*(1+'Giả định'!$B$16)</f>
        <v>774333120</v>
      </c>
      <c r="E593" s="25" t="n">
        <f aca="false">A593/'Giả định'!$B$19*'Giả định'!$B$20+A593*'Giả định'!$B$23+'Giả định'!$B$24</f>
        <v>218894117.647059</v>
      </c>
      <c r="F593" s="25" t="n">
        <f aca="false">E593-D593</f>
        <v>-555439002.352941</v>
      </c>
      <c r="G593" s="25" t="n">
        <f aca="false">E593-C593</f>
        <v>-411834002.352941</v>
      </c>
      <c r="H593" s="7" t="str">
        <f aca="false">IF(F593&gt;=0,A593,"")</f>
        <v/>
      </c>
      <c r="I593" s="7" t="n">
        <f aca="false">IF(F593&lt;0,A593,0)</f>
        <v>588</v>
      </c>
      <c r="J593" s="7" t="str">
        <f aca="false">IF(G593&gt;=0,A593,"")</f>
        <v/>
      </c>
      <c r="K593" s="7" t="n">
        <f aca="false">IF(G593&lt;0,A593,0)</f>
        <v>588</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630764860</v>
      </c>
      <c r="D594" s="25" t="n">
        <f aca="false">('Chi phí'!$C$77+'Chi phí'!$D$77*B594+'Chi phí'!$E$77*A594+'Giả định'!$B$15*('Chi phí'!$F$77+'Chi phí'!$G$77*B594+'Chi phí'!$H$77*A594))*(1+'Giả định'!$B$16)</f>
        <v>774369860</v>
      </c>
      <c r="E594" s="25" t="n">
        <f aca="false">A594/'Giả định'!$B$19*'Giả định'!$B$20+A594*'Giả định'!$B$23+'Giả định'!$B$24</f>
        <v>219266386.554622</v>
      </c>
      <c r="F594" s="25" t="n">
        <f aca="false">E594-D594</f>
        <v>-555103473.445378</v>
      </c>
      <c r="G594" s="25" t="n">
        <f aca="false">E594-C594</f>
        <v>-411498473.445378</v>
      </c>
      <c r="H594" s="7" t="str">
        <f aca="false">IF(F594&gt;=0,A594,"")</f>
        <v/>
      </c>
      <c r="I594" s="7" t="n">
        <f aca="false">IF(F594&lt;0,A594,0)</f>
        <v>589</v>
      </c>
      <c r="J594" s="7" t="str">
        <f aca="false">IF(G594&gt;=0,A594,"")</f>
        <v/>
      </c>
      <c r="K594" s="7" t="n">
        <f aca="false">IF(G594&lt;0,A594,0)</f>
        <v>589</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630801600</v>
      </c>
      <c r="D595" s="25" t="n">
        <f aca="false">('Chi phí'!$C$77+'Chi phí'!$D$77*B595+'Chi phí'!$E$77*A595+'Giả định'!$B$15*('Chi phí'!$F$77+'Chi phí'!$G$77*B595+'Chi phí'!$H$77*A595))*(1+'Giả định'!$B$16)</f>
        <v>774406600</v>
      </c>
      <c r="E595" s="25" t="n">
        <f aca="false">A595/'Giả định'!$B$19*'Giả định'!$B$20+A595*'Giả định'!$B$23+'Giả định'!$B$24</f>
        <v>219638655.462185</v>
      </c>
      <c r="F595" s="25" t="n">
        <f aca="false">E595-D595</f>
        <v>-554767944.537815</v>
      </c>
      <c r="G595" s="25" t="n">
        <f aca="false">E595-C595</f>
        <v>-411162944.537815</v>
      </c>
      <c r="H595" s="7" t="str">
        <f aca="false">IF(F595&gt;=0,A595,"")</f>
        <v/>
      </c>
      <c r="I595" s="7" t="n">
        <f aca="false">IF(F595&lt;0,A595,0)</f>
        <v>590</v>
      </c>
      <c r="J595" s="7" t="str">
        <f aca="false">IF(G595&gt;=0,A595,"")</f>
        <v/>
      </c>
      <c r="K595" s="7" t="n">
        <f aca="false">IF(G595&lt;0,A595,0)</f>
        <v>590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640012340</v>
      </c>
      <c r="D596" s="25" t="n">
        <f aca="false">('Chi phí'!$C$77+'Chi phí'!$D$77*B596+'Chi phí'!$E$77*A596+'Giả định'!$B$15*('Chi phí'!$F$77+'Chi phí'!$G$77*B596+'Chi phí'!$H$77*A596))*(1+'Giả định'!$B$16)</f>
        <v>783617340</v>
      </c>
      <c r="E596" s="25" t="n">
        <f aca="false">A596/'Giả định'!$B$19*'Giả định'!$B$20+A596*'Giả định'!$B$23+'Giả định'!$B$24</f>
        <v>220010924.369748</v>
      </c>
      <c r="F596" s="25" t="n">
        <f aca="false">E596-D596</f>
        <v>-563606415.630252</v>
      </c>
      <c r="G596" s="25" t="n">
        <f aca="false">E596-C596</f>
        <v>-420001415.630252</v>
      </c>
      <c r="H596" s="7" t="str">
        <f aca="false">IF(F596&gt;=0,A596,"")</f>
        <v/>
      </c>
      <c r="I596" s="7" t="n">
        <f aca="false">IF(F596&lt;0,A596,0)</f>
        <v>591</v>
      </c>
      <c r="J596" s="7" t="str">
        <f aca="false">IF(G596&gt;=0,A596,"")</f>
        <v/>
      </c>
      <c r="K596" s="7" t="n">
        <f aca="false">IF(G596&lt;0,A596,0)</f>
        <v>591</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640049080</v>
      </c>
      <c r="D597" s="25" t="n">
        <f aca="false">('Chi phí'!$C$77+'Chi phí'!$D$77*B597+'Chi phí'!$E$77*A597+'Giả định'!$B$15*('Chi phí'!$F$77+'Chi phí'!$G$77*B597+'Chi phí'!$H$77*A597))*(1+'Giả định'!$B$16)</f>
        <v>783654080</v>
      </c>
      <c r="E597" s="25" t="n">
        <f aca="false">A597/'Giả định'!$B$19*'Giả định'!$B$20+A597*'Giả định'!$B$23+'Giả định'!$B$24</f>
        <v>220383193.277311</v>
      </c>
      <c r="F597" s="25" t="n">
        <f aca="false">E597-D597</f>
        <v>-563270886.722689</v>
      </c>
      <c r="G597" s="25" t="n">
        <f aca="false">E597-C597</f>
        <v>-419665886.722689</v>
      </c>
      <c r="H597" s="7" t="str">
        <f aca="false">IF(F597&gt;=0,A597,"")</f>
        <v/>
      </c>
      <c r="I597" s="7" t="n">
        <f aca="false">IF(F597&lt;0,A597,0)</f>
        <v>592</v>
      </c>
      <c r="J597" s="7" t="str">
        <f aca="false">IF(G597&gt;=0,A597,"")</f>
        <v/>
      </c>
      <c r="K597" s="7" t="n">
        <f aca="false">IF(G597&lt;0,A597,0)</f>
        <v>592</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640085820</v>
      </c>
      <c r="D598" s="25" t="n">
        <f aca="false">('Chi phí'!$C$77+'Chi phí'!$D$77*B598+'Chi phí'!$E$77*A598+'Giả định'!$B$15*('Chi phí'!$F$77+'Chi phí'!$G$77*B598+'Chi phí'!$H$77*A598))*(1+'Giả định'!$B$16)</f>
        <v>783690820</v>
      </c>
      <c r="E598" s="25" t="n">
        <f aca="false">A598/'Giả định'!$B$19*'Giả định'!$B$20+A598*'Giả định'!$B$23+'Giả định'!$B$24</f>
        <v>220755462.184874</v>
      </c>
      <c r="F598" s="25" t="n">
        <f aca="false">E598-D598</f>
        <v>-562935357.815126</v>
      </c>
      <c r="G598" s="25" t="n">
        <f aca="false">E598-C598</f>
        <v>-419330357.815126</v>
      </c>
      <c r="H598" s="7" t="str">
        <f aca="false">IF(F598&gt;=0,A598,"")</f>
        <v/>
      </c>
      <c r="I598" s="7" t="n">
        <f aca="false">IF(F598&lt;0,A598,0)</f>
        <v>593</v>
      </c>
      <c r="J598" s="7" t="str">
        <f aca="false">IF(G598&gt;=0,A598,"")</f>
        <v/>
      </c>
      <c r="K598" s="7" t="n">
        <f aca="false">IF(G598&lt;0,A598,0)</f>
        <v>593</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640122560</v>
      </c>
      <c r="D599" s="25" t="n">
        <f aca="false">('Chi phí'!$C$77+'Chi phí'!$D$77*B599+'Chi phí'!$E$77*A599+'Giả định'!$B$15*('Chi phí'!$F$77+'Chi phí'!$G$77*B599+'Chi phí'!$H$77*A599))*(1+'Giả định'!$B$16)</f>
        <v>783727560</v>
      </c>
      <c r="E599" s="25" t="n">
        <f aca="false">A599/'Giả định'!$B$19*'Giả định'!$B$20+A599*'Giả định'!$B$23+'Giả định'!$B$24</f>
        <v>221127731.092437</v>
      </c>
      <c r="F599" s="25" t="n">
        <f aca="false">E599-D599</f>
        <v>-562599828.907563</v>
      </c>
      <c r="G599" s="25" t="n">
        <f aca="false">E599-C599</f>
        <v>-418994828.907563</v>
      </c>
      <c r="H599" s="7" t="str">
        <f aca="false">IF(F599&gt;=0,A599,"")</f>
        <v/>
      </c>
      <c r="I599" s="7" t="n">
        <f aca="false">IF(F599&lt;0,A599,0)</f>
        <v>594</v>
      </c>
      <c r="J599" s="7" t="str">
        <f aca="false">IF(G599&gt;=0,A599,"")</f>
        <v/>
      </c>
      <c r="K599" s="7" t="n">
        <f aca="false">IF(G599&lt;0,A599,0)</f>
        <v>594</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640159300</v>
      </c>
      <c r="D600" s="25" t="n">
        <f aca="false">('Chi phí'!$C$77+'Chi phí'!$D$77*B600+'Chi phí'!$E$77*A600+'Giả định'!$B$15*('Chi phí'!$F$77+'Chi phí'!$G$77*B600+'Chi phí'!$H$77*A600))*(1+'Giả định'!$B$16)</f>
        <v>783764300</v>
      </c>
      <c r="E600" s="25" t="n">
        <f aca="false">A600/'Giả định'!$B$19*'Giả định'!$B$20+A600*'Giả định'!$B$23+'Giả định'!$B$24</f>
        <v>221500000</v>
      </c>
      <c r="F600" s="25" t="n">
        <f aca="false">E600-D600</f>
        <v>-562264300</v>
      </c>
      <c r="G600" s="25" t="n">
        <f aca="false">E600-C600</f>
        <v>-418659300</v>
      </c>
      <c r="H600" s="7" t="str">
        <f aca="false">IF(F600&gt;=0,A600,"")</f>
        <v/>
      </c>
      <c r="I600" s="7" t="n">
        <f aca="false">IF(F600&lt;0,A600,0)</f>
        <v>595</v>
      </c>
      <c r="J600" s="7" t="str">
        <f aca="false">IF(G600&gt;=0,A600,"")</f>
        <v/>
      </c>
      <c r="K600" s="7" t="n">
        <f aca="false">IF(G600&lt;0,A600,0)</f>
        <v>595</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640196040</v>
      </c>
      <c r="D601" s="25" t="n">
        <f aca="false">('Chi phí'!$C$77+'Chi phí'!$D$77*B601+'Chi phí'!$E$77*A601+'Giả định'!$B$15*('Chi phí'!$F$77+'Chi phí'!$G$77*B601+'Chi phí'!$H$77*A601))*(1+'Giả định'!$B$16)</f>
        <v>783801040</v>
      </c>
      <c r="E601" s="25" t="n">
        <f aca="false">A601/'Giả định'!$B$19*'Giả định'!$B$20+A601*'Giả định'!$B$23+'Giả định'!$B$24</f>
        <v>221872268.907563</v>
      </c>
      <c r="F601" s="25" t="n">
        <f aca="false">E601-D601</f>
        <v>-561928771.092437</v>
      </c>
      <c r="G601" s="25" t="n">
        <f aca="false">E601-C601</f>
        <v>-418323771.092437</v>
      </c>
      <c r="H601" s="7" t="str">
        <f aca="false">IF(F601&gt;=0,A601,"")</f>
        <v/>
      </c>
      <c r="I601" s="7" t="n">
        <f aca="false">IF(F601&lt;0,A601,0)</f>
        <v>596</v>
      </c>
      <c r="J601" s="7" t="str">
        <f aca="false">IF(G601&gt;=0,A601,"")</f>
        <v/>
      </c>
      <c r="K601" s="7" t="n">
        <f aca="false">IF(G601&lt;0,A601,0)</f>
        <v>596</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640232780</v>
      </c>
      <c r="D602" s="25" t="n">
        <f aca="false">('Chi phí'!$C$77+'Chi phí'!$D$77*B602+'Chi phí'!$E$77*A602+'Giả định'!$B$15*('Chi phí'!$F$77+'Chi phí'!$G$77*B602+'Chi phí'!$H$77*A602))*(1+'Giả định'!$B$16)</f>
        <v>783837780</v>
      </c>
      <c r="E602" s="25" t="n">
        <f aca="false">A602/'Giả định'!$B$19*'Giả định'!$B$20+A602*'Giả định'!$B$23+'Giả định'!$B$24</f>
        <v>222244537.815126</v>
      </c>
      <c r="F602" s="25" t="n">
        <f aca="false">E602-D602</f>
        <v>-561593242.184874</v>
      </c>
      <c r="G602" s="25" t="n">
        <f aca="false">E602-C602</f>
        <v>-417988242.184874</v>
      </c>
      <c r="H602" s="7" t="str">
        <f aca="false">IF(F602&gt;=0,A602,"")</f>
        <v/>
      </c>
      <c r="I602" s="7" t="n">
        <f aca="false">IF(F602&lt;0,A602,0)</f>
        <v>597</v>
      </c>
      <c r="J602" s="7" t="str">
        <f aca="false">IF(G602&gt;=0,A602,"")</f>
        <v/>
      </c>
      <c r="K602" s="7" t="n">
        <f aca="false">IF(G602&lt;0,A602,0)</f>
        <v>597</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640269520</v>
      </c>
      <c r="D603" s="25" t="n">
        <f aca="false">('Chi phí'!$C$77+'Chi phí'!$D$77*B603+'Chi phí'!$E$77*A603+'Giả định'!$B$15*('Chi phí'!$F$77+'Chi phí'!$G$77*B603+'Chi phí'!$H$77*A603))*(1+'Giả định'!$B$16)</f>
        <v>783874520</v>
      </c>
      <c r="E603" s="25" t="n">
        <f aca="false">A603/'Giả định'!$B$19*'Giả định'!$B$20+A603*'Giả định'!$B$23+'Giả định'!$B$24</f>
        <v>222616806.722689</v>
      </c>
      <c r="F603" s="25" t="n">
        <f aca="false">E603-D603</f>
        <v>-561257713.277311</v>
      </c>
      <c r="G603" s="25" t="n">
        <f aca="false">E603-C603</f>
        <v>-417652713.277311</v>
      </c>
      <c r="H603" s="7" t="str">
        <f aca="false">IF(F603&gt;=0,A603,"")</f>
        <v/>
      </c>
      <c r="I603" s="7" t="n">
        <f aca="false">IF(F603&lt;0,A603,0)</f>
        <v>598</v>
      </c>
      <c r="J603" s="7" t="str">
        <f aca="false">IF(G603&gt;=0,A603,"")</f>
        <v/>
      </c>
      <c r="K603" s="7" t="n">
        <f aca="false">IF(G603&lt;0,A603,0)</f>
        <v>598</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640306260</v>
      </c>
      <c r="D604" s="25" t="n">
        <f aca="false">('Chi phí'!$C$77+'Chi phí'!$D$77*B604+'Chi phí'!$E$77*A604+'Giả định'!$B$15*('Chi phí'!$F$77+'Chi phí'!$G$77*B604+'Chi phí'!$H$77*A604))*(1+'Giả định'!$B$16)</f>
        <v>783911260</v>
      </c>
      <c r="E604" s="25" t="n">
        <f aca="false">A604/'Giả định'!$B$19*'Giả định'!$B$20+A604*'Giả định'!$B$23+'Giả định'!$B$24</f>
        <v>222989075.630252</v>
      </c>
      <c r="F604" s="25" t="n">
        <f aca="false">E604-D604</f>
        <v>-560922184.369748</v>
      </c>
      <c r="G604" s="25" t="n">
        <f aca="false">E604-C604</f>
        <v>-417317184.369748</v>
      </c>
      <c r="H604" s="7" t="str">
        <f aca="false">IF(F604&gt;=0,A604,"")</f>
        <v/>
      </c>
      <c r="I604" s="7" t="n">
        <f aca="false">IF(F604&lt;0,A604,0)</f>
        <v>599</v>
      </c>
      <c r="J604" s="7" t="str">
        <f aca="false">IF(G604&gt;=0,A604,"")</f>
        <v/>
      </c>
      <c r="K604" s="7" t="n">
        <f aca="false">IF(G604&lt;0,A604,0)</f>
        <v>599</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640343000</v>
      </c>
      <c r="D605" s="25" t="n">
        <f aca="false">('Chi phí'!$C$77+'Chi phí'!$D$77*B605+'Chi phí'!$E$77*A605+'Giả định'!$B$15*('Chi phí'!$F$77+'Chi phí'!$G$77*B605+'Chi phí'!$H$77*A605))*(1+'Giả định'!$B$16)</f>
        <v>783948000</v>
      </c>
      <c r="E605" s="25" t="n">
        <f aca="false">A605/'Giả định'!$B$19*'Giả định'!$B$20+A605*'Giả định'!$B$23+'Giả định'!$B$24</f>
        <v>223361344.537815</v>
      </c>
      <c r="F605" s="25" t="n">
        <f aca="false">E605-D605</f>
        <v>-560586655.462185</v>
      </c>
      <c r="G605" s="25" t="n">
        <f aca="false">E605-C605</f>
        <v>-416981655.462185</v>
      </c>
      <c r="H605" s="7" t="str">
        <f aca="false">IF(F605&gt;=0,A605,"")</f>
        <v/>
      </c>
      <c r="I605" s="7" t="n">
        <f aca="false">IF(F605&lt;0,A605,0)</f>
        <v>600</v>
      </c>
      <c r="J605" s="7" t="str">
        <f aca="false">IF(G605&gt;=0,A605,"")</f>
        <v/>
      </c>
      <c r="K605" s="7" t="n">
        <f aca="false">IF(G605&lt;0,A605,0)</f>
        <v>600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649553740</v>
      </c>
      <c r="D606" s="25" t="n">
        <f aca="false">('Chi phí'!$C$77+'Chi phí'!$D$77*B606+'Chi phí'!$E$77*A606+'Giả định'!$B$15*('Chi phí'!$F$77+'Chi phí'!$G$77*B606+'Chi phí'!$H$77*A606))*(1+'Giả định'!$B$16)</f>
        <v>793158740</v>
      </c>
      <c r="E606" s="25" t="n">
        <f aca="false">A606/'Giả định'!$B$19*'Giả định'!$B$20+A606*'Giả định'!$B$23+'Giả định'!$B$24</f>
        <v>223733613.445378</v>
      </c>
      <c r="F606" s="25" t="n">
        <f aca="false">E606-D606</f>
        <v>-569425126.554622</v>
      </c>
      <c r="G606" s="25" t="n">
        <f aca="false">E606-C606</f>
        <v>-425820126.554622</v>
      </c>
      <c r="H606" s="7" t="str">
        <f aca="false">IF(F606&gt;=0,A606,"")</f>
        <v/>
      </c>
      <c r="I606" s="7" t="n">
        <f aca="false">IF(F606&lt;0,A606,0)</f>
        <v>601</v>
      </c>
      <c r="J606" s="7" t="str">
        <f aca="false">IF(G606&gt;=0,A606,"")</f>
        <v/>
      </c>
      <c r="K606" s="7" t="n">
        <f aca="false">IF(G606&lt;0,A606,0)</f>
        <v>601</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649590480</v>
      </c>
      <c r="D607" s="25" t="n">
        <f aca="false">('Chi phí'!$C$77+'Chi phí'!$D$77*B607+'Chi phí'!$E$77*A607+'Giả định'!$B$15*('Chi phí'!$F$77+'Chi phí'!$G$77*B607+'Chi phí'!$H$77*A607))*(1+'Giả định'!$B$16)</f>
        <v>793195480</v>
      </c>
      <c r="E607" s="25" t="n">
        <f aca="false">A607/'Giả định'!$B$19*'Giả định'!$B$20+A607*'Giả định'!$B$23+'Giả định'!$B$24</f>
        <v>224105882.352941</v>
      </c>
      <c r="F607" s="25" t="n">
        <f aca="false">E607-D607</f>
        <v>-569089597.647059</v>
      </c>
      <c r="G607" s="25" t="n">
        <f aca="false">E607-C607</f>
        <v>-425484597.647059</v>
      </c>
      <c r="H607" s="7" t="str">
        <f aca="false">IF(F607&gt;=0,A607,"")</f>
        <v/>
      </c>
      <c r="I607" s="7" t="n">
        <f aca="false">IF(F607&lt;0,A607,0)</f>
        <v>602</v>
      </c>
      <c r="J607" s="7" t="str">
        <f aca="false">IF(G607&gt;=0,A607,"")</f>
        <v/>
      </c>
      <c r="K607" s="7" t="n">
        <f aca="false">IF(G607&lt;0,A607,0)</f>
        <v>602</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649627220</v>
      </c>
      <c r="D608" s="25" t="n">
        <f aca="false">('Chi phí'!$C$77+'Chi phí'!$D$77*B608+'Chi phí'!$E$77*A608+'Giả định'!$B$15*('Chi phí'!$F$77+'Chi phí'!$G$77*B608+'Chi phí'!$H$77*A608))*(1+'Giả định'!$B$16)</f>
        <v>793232220</v>
      </c>
      <c r="E608" s="25" t="n">
        <f aca="false">A608/'Giả định'!$B$19*'Giả định'!$B$20+A608*'Giả định'!$B$23+'Giả định'!$B$24</f>
        <v>224478151.260504</v>
      </c>
      <c r="F608" s="25" t="n">
        <f aca="false">E608-D608</f>
        <v>-568754068.739496</v>
      </c>
      <c r="G608" s="25" t="n">
        <f aca="false">E608-C608</f>
        <v>-425149068.739496</v>
      </c>
      <c r="H608" s="7" t="str">
        <f aca="false">IF(F608&gt;=0,A608,"")</f>
        <v/>
      </c>
      <c r="I608" s="7" t="n">
        <f aca="false">IF(F608&lt;0,A608,0)</f>
        <v>603</v>
      </c>
      <c r="J608" s="7" t="str">
        <f aca="false">IF(G608&gt;=0,A608,"")</f>
        <v/>
      </c>
      <c r="K608" s="7" t="n">
        <f aca="false">IF(G608&lt;0,A608,0)</f>
        <v>603</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649663960</v>
      </c>
      <c r="D609" s="25" t="n">
        <f aca="false">('Chi phí'!$C$77+'Chi phí'!$D$77*B609+'Chi phí'!$E$77*A609+'Giả định'!$B$15*('Chi phí'!$F$77+'Chi phí'!$G$77*B609+'Chi phí'!$H$77*A609))*(1+'Giả định'!$B$16)</f>
        <v>793268960</v>
      </c>
      <c r="E609" s="25" t="n">
        <f aca="false">A609/'Giả định'!$B$19*'Giả định'!$B$20+A609*'Giả định'!$B$23+'Giả định'!$B$24</f>
        <v>224850420.168067</v>
      </c>
      <c r="F609" s="25" t="n">
        <f aca="false">E609-D609</f>
        <v>-568418539.831933</v>
      </c>
      <c r="G609" s="25" t="n">
        <f aca="false">E609-C609</f>
        <v>-424813539.831933</v>
      </c>
      <c r="H609" s="7" t="str">
        <f aca="false">IF(F609&gt;=0,A609,"")</f>
        <v/>
      </c>
      <c r="I609" s="7" t="n">
        <f aca="false">IF(F609&lt;0,A609,0)</f>
        <v>604</v>
      </c>
      <c r="J609" s="7" t="str">
        <f aca="false">IF(G609&gt;=0,A609,"")</f>
        <v/>
      </c>
      <c r="K609" s="7" t="n">
        <f aca="false">IF(G609&lt;0,A609,0)</f>
        <v>604</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649700700</v>
      </c>
      <c r="D610" s="25" t="n">
        <f aca="false">('Chi phí'!$C$77+'Chi phí'!$D$77*B610+'Chi phí'!$E$77*A610+'Giả định'!$B$15*('Chi phí'!$F$77+'Chi phí'!$G$77*B610+'Chi phí'!$H$77*A610))*(1+'Giả định'!$B$16)</f>
        <v>793305700</v>
      </c>
      <c r="E610" s="25" t="n">
        <f aca="false">A610/'Giả định'!$B$19*'Giả định'!$B$20+A610*'Giả định'!$B$23+'Giả định'!$B$24</f>
        <v>225222689.07563</v>
      </c>
      <c r="F610" s="25" t="n">
        <f aca="false">E610-D610</f>
        <v>-568083010.92437</v>
      </c>
      <c r="G610" s="25" t="n">
        <f aca="false">E610-C610</f>
        <v>-424478010.92437</v>
      </c>
      <c r="H610" s="7" t="str">
        <f aca="false">IF(F610&gt;=0,A610,"")</f>
        <v/>
      </c>
      <c r="I610" s="7" t="n">
        <f aca="false">IF(F610&lt;0,A610,0)</f>
        <v>605</v>
      </c>
      <c r="J610" s="7" t="str">
        <f aca="false">IF(G610&gt;=0,A610,"")</f>
        <v/>
      </c>
      <c r="K610" s="7" t="n">
        <f aca="false">IF(G610&lt;0,A610,0)</f>
        <v>605</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649737440</v>
      </c>
      <c r="D611" s="25" t="n">
        <f aca="false">('Chi phí'!$C$77+'Chi phí'!$D$77*B611+'Chi phí'!$E$77*A611+'Giả định'!$B$15*('Chi phí'!$F$77+'Chi phí'!$G$77*B611+'Chi phí'!$H$77*A611))*(1+'Giả định'!$B$16)</f>
        <v>793342440</v>
      </c>
      <c r="E611" s="25" t="n">
        <f aca="false">A611/'Giả định'!$B$19*'Giả định'!$B$20+A611*'Giả định'!$B$23+'Giả định'!$B$24</f>
        <v>225594957.983193</v>
      </c>
      <c r="F611" s="25" t="n">
        <f aca="false">E611-D611</f>
        <v>-567747482.016807</v>
      </c>
      <c r="G611" s="25" t="n">
        <f aca="false">E611-C611</f>
        <v>-424142482.016807</v>
      </c>
      <c r="H611" s="7" t="str">
        <f aca="false">IF(F611&gt;=0,A611,"")</f>
        <v/>
      </c>
      <c r="I611" s="7" t="n">
        <f aca="false">IF(F611&lt;0,A611,0)</f>
        <v>606</v>
      </c>
      <c r="J611" s="7" t="str">
        <f aca="false">IF(G611&gt;=0,A611,"")</f>
        <v/>
      </c>
      <c r="K611" s="7" t="n">
        <f aca="false">IF(G611&lt;0,A611,0)</f>
        <v>606</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649774180</v>
      </c>
      <c r="D612" s="25" t="n">
        <f aca="false">('Chi phí'!$C$77+'Chi phí'!$D$77*B612+'Chi phí'!$E$77*A612+'Giả định'!$B$15*('Chi phí'!$F$77+'Chi phí'!$G$77*B612+'Chi phí'!$H$77*A612))*(1+'Giả định'!$B$16)</f>
        <v>793379180</v>
      </c>
      <c r="E612" s="25" t="n">
        <f aca="false">A612/'Giả định'!$B$19*'Giả định'!$B$20+A612*'Giả định'!$B$23+'Giả định'!$B$24</f>
        <v>225967226.890756</v>
      </c>
      <c r="F612" s="25" t="n">
        <f aca="false">E612-D612</f>
        <v>-567411953.109244</v>
      </c>
      <c r="G612" s="25" t="n">
        <f aca="false">E612-C612</f>
        <v>-423806953.109244</v>
      </c>
      <c r="H612" s="7" t="str">
        <f aca="false">IF(F612&gt;=0,A612,"")</f>
        <v/>
      </c>
      <c r="I612" s="7" t="n">
        <f aca="false">IF(F612&lt;0,A612,0)</f>
        <v>607</v>
      </c>
      <c r="J612" s="7" t="str">
        <f aca="false">IF(G612&gt;=0,A612,"")</f>
        <v/>
      </c>
      <c r="K612" s="7" t="n">
        <f aca="false">IF(G612&lt;0,A612,0)</f>
        <v>607</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649810920</v>
      </c>
      <c r="D613" s="25" t="n">
        <f aca="false">('Chi phí'!$C$77+'Chi phí'!$D$77*B613+'Chi phí'!$E$77*A613+'Giả định'!$B$15*('Chi phí'!$F$77+'Chi phí'!$G$77*B613+'Chi phí'!$H$77*A613))*(1+'Giả định'!$B$16)</f>
        <v>793415920</v>
      </c>
      <c r="E613" s="25" t="n">
        <f aca="false">A613/'Giả định'!$B$19*'Giả định'!$B$20+A613*'Giả định'!$B$23+'Giả định'!$B$24</f>
        <v>226339495.798319</v>
      </c>
      <c r="F613" s="25" t="n">
        <f aca="false">E613-D613</f>
        <v>-567076424.201681</v>
      </c>
      <c r="G613" s="25" t="n">
        <f aca="false">E613-C613</f>
        <v>-423471424.201681</v>
      </c>
      <c r="H613" s="7" t="str">
        <f aca="false">IF(F613&gt;=0,A613,"")</f>
        <v/>
      </c>
      <c r="I613" s="7" t="n">
        <f aca="false">IF(F613&lt;0,A613,0)</f>
        <v>608</v>
      </c>
      <c r="J613" s="7" t="str">
        <f aca="false">IF(G613&gt;=0,A613,"")</f>
        <v/>
      </c>
      <c r="K613" s="7" t="n">
        <f aca="false">IF(G613&lt;0,A613,0)</f>
        <v>608</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649847660</v>
      </c>
      <c r="D614" s="25" t="n">
        <f aca="false">('Chi phí'!$C$77+'Chi phí'!$D$77*B614+'Chi phí'!$E$77*A614+'Giả định'!$B$15*('Chi phí'!$F$77+'Chi phí'!$G$77*B614+'Chi phí'!$H$77*A614))*(1+'Giả định'!$B$16)</f>
        <v>793452660</v>
      </c>
      <c r="E614" s="25" t="n">
        <f aca="false">A614/'Giả định'!$B$19*'Giả định'!$B$20+A614*'Giả định'!$B$23+'Giả định'!$B$24</f>
        <v>226711764.705882</v>
      </c>
      <c r="F614" s="25" t="n">
        <f aca="false">E614-D614</f>
        <v>-566740895.294118</v>
      </c>
      <c r="G614" s="25" t="n">
        <f aca="false">E614-C614</f>
        <v>-423135895.294118</v>
      </c>
      <c r="H614" s="7" t="str">
        <f aca="false">IF(F614&gt;=0,A614,"")</f>
        <v/>
      </c>
      <c r="I614" s="7" t="n">
        <f aca="false">IF(F614&lt;0,A614,0)</f>
        <v>609</v>
      </c>
      <c r="J614" s="7" t="str">
        <f aca="false">IF(G614&gt;=0,A614,"")</f>
        <v/>
      </c>
      <c r="K614" s="7" t="n">
        <f aca="false">IF(G614&lt;0,A614,0)</f>
        <v>609</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649884400</v>
      </c>
      <c r="D615" s="25" t="n">
        <f aca="false">('Chi phí'!$C$77+'Chi phí'!$D$77*B615+'Chi phí'!$E$77*A615+'Giả định'!$B$15*('Chi phí'!$F$77+'Chi phí'!$G$77*B615+'Chi phí'!$H$77*A615))*(1+'Giả định'!$B$16)</f>
        <v>793489400</v>
      </c>
      <c r="E615" s="25" t="n">
        <f aca="false">A615/'Giả định'!$B$19*'Giả định'!$B$20+A615*'Giả định'!$B$23+'Giả định'!$B$24</f>
        <v>227084033.613445</v>
      </c>
      <c r="F615" s="25" t="n">
        <f aca="false">E615-D615</f>
        <v>-566405366.386555</v>
      </c>
      <c r="G615" s="25" t="n">
        <f aca="false">E615-C615</f>
        <v>-422800366.386555</v>
      </c>
      <c r="H615" s="7" t="str">
        <f aca="false">IF(F615&gt;=0,A615,"")</f>
        <v/>
      </c>
      <c r="I615" s="7" t="n">
        <f aca="false">IF(F615&lt;0,A615,0)</f>
        <v>610</v>
      </c>
      <c r="J615" s="7" t="str">
        <f aca="false">IF(G615&gt;=0,A615,"")</f>
        <v/>
      </c>
      <c r="K615" s="7" t="n">
        <f aca="false">IF(G615&lt;0,A615,0)</f>
        <v>610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659095140</v>
      </c>
      <c r="D616" s="25" t="n">
        <f aca="false">('Chi phí'!$C$77+'Chi phí'!$D$77*B616+'Chi phí'!$E$77*A616+'Giả định'!$B$15*('Chi phí'!$F$77+'Chi phí'!$G$77*B616+'Chi phí'!$H$77*A616))*(1+'Giả định'!$B$16)</f>
        <v>802700140</v>
      </c>
      <c r="E616" s="25" t="n">
        <f aca="false">A616/'Giả định'!$B$19*'Giả định'!$B$20+A616*'Giả định'!$B$23+'Giả định'!$B$24</f>
        <v>227456302.521008</v>
      </c>
      <c r="F616" s="25" t="n">
        <f aca="false">E616-D616</f>
        <v>-575243837.478992</v>
      </c>
      <c r="G616" s="25" t="n">
        <f aca="false">E616-C616</f>
        <v>-431638837.478992</v>
      </c>
      <c r="H616" s="7" t="str">
        <f aca="false">IF(F616&gt;=0,A616,"")</f>
        <v/>
      </c>
      <c r="I616" s="7" t="n">
        <f aca="false">IF(F616&lt;0,A616,0)</f>
        <v>611</v>
      </c>
      <c r="J616" s="7" t="str">
        <f aca="false">IF(G616&gt;=0,A616,"")</f>
        <v/>
      </c>
      <c r="K616" s="7" t="n">
        <f aca="false">IF(G616&lt;0,A616,0)</f>
        <v>611</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659131880</v>
      </c>
      <c r="D617" s="25" t="n">
        <f aca="false">('Chi phí'!$C$77+'Chi phí'!$D$77*B617+'Chi phí'!$E$77*A617+'Giả định'!$B$15*('Chi phí'!$F$77+'Chi phí'!$G$77*B617+'Chi phí'!$H$77*A617))*(1+'Giả định'!$B$16)</f>
        <v>802736880</v>
      </c>
      <c r="E617" s="25" t="n">
        <f aca="false">A617/'Giả định'!$B$19*'Giả định'!$B$20+A617*'Giả định'!$B$23+'Giả định'!$B$24</f>
        <v>227828571.428571</v>
      </c>
      <c r="F617" s="25" t="n">
        <f aca="false">E617-D617</f>
        <v>-574908308.571429</v>
      </c>
      <c r="G617" s="25" t="n">
        <f aca="false">E617-C617</f>
        <v>-431303308.571429</v>
      </c>
      <c r="H617" s="7" t="str">
        <f aca="false">IF(F617&gt;=0,A617,"")</f>
        <v/>
      </c>
      <c r="I617" s="7" t="n">
        <f aca="false">IF(F617&lt;0,A617,0)</f>
        <v>612</v>
      </c>
      <c r="J617" s="7" t="str">
        <f aca="false">IF(G617&gt;=0,A617,"")</f>
        <v/>
      </c>
      <c r="K617" s="7" t="n">
        <f aca="false">IF(G617&lt;0,A617,0)</f>
        <v>612</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659168620</v>
      </c>
      <c r="D618" s="25" t="n">
        <f aca="false">('Chi phí'!$C$77+'Chi phí'!$D$77*B618+'Chi phí'!$E$77*A618+'Giả định'!$B$15*('Chi phí'!$F$77+'Chi phí'!$G$77*B618+'Chi phí'!$H$77*A618))*(1+'Giả định'!$B$16)</f>
        <v>802773620</v>
      </c>
      <c r="E618" s="25" t="n">
        <f aca="false">A618/'Giả định'!$B$19*'Giả định'!$B$20+A618*'Giả định'!$B$23+'Giả định'!$B$24</f>
        <v>228200840.336134</v>
      </c>
      <c r="F618" s="25" t="n">
        <f aca="false">E618-D618</f>
        <v>-574572779.663866</v>
      </c>
      <c r="G618" s="25" t="n">
        <f aca="false">E618-C618</f>
        <v>-430967779.663866</v>
      </c>
      <c r="H618" s="7" t="str">
        <f aca="false">IF(F618&gt;=0,A618,"")</f>
        <v/>
      </c>
      <c r="I618" s="7" t="n">
        <f aca="false">IF(F618&lt;0,A618,0)</f>
        <v>613</v>
      </c>
      <c r="J618" s="7" t="str">
        <f aca="false">IF(G618&gt;=0,A618,"")</f>
        <v/>
      </c>
      <c r="K618" s="7" t="n">
        <f aca="false">IF(G618&lt;0,A618,0)</f>
        <v>613</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659205360</v>
      </c>
      <c r="D619" s="25" t="n">
        <f aca="false">('Chi phí'!$C$77+'Chi phí'!$D$77*B619+'Chi phí'!$E$77*A619+'Giả định'!$B$15*('Chi phí'!$F$77+'Chi phí'!$G$77*B619+'Chi phí'!$H$77*A619))*(1+'Giả định'!$B$16)</f>
        <v>802810360</v>
      </c>
      <c r="E619" s="25" t="n">
        <f aca="false">A619/'Giả định'!$B$19*'Giả định'!$B$20+A619*'Giả định'!$B$23+'Giả định'!$B$24</f>
        <v>228573109.243698</v>
      </c>
      <c r="F619" s="25" t="n">
        <f aca="false">E619-D619</f>
        <v>-574237250.756303</v>
      </c>
      <c r="G619" s="25" t="n">
        <f aca="false">E619-C619</f>
        <v>-430632250.756303</v>
      </c>
      <c r="H619" s="7" t="str">
        <f aca="false">IF(F619&gt;=0,A619,"")</f>
        <v/>
      </c>
      <c r="I619" s="7" t="n">
        <f aca="false">IF(F619&lt;0,A619,0)</f>
        <v>614</v>
      </c>
      <c r="J619" s="7" t="str">
        <f aca="false">IF(G619&gt;=0,A619,"")</f>
        <v/>
      </c>
      <c r="K619" s="7" t="n">
        <f aca="false">IF(G619&lt;0,A619,0)</f>
        <v>614</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659242100</v>
      </c>
      <c r="D620" s="25" t="n">
        <f aca="false">('Chi phí'!$C$77+'Chi phí'!$D$77*B620+'Chi phí'!$E$77*A620+'Giả định'!$B$15*('Chi phí'!$F$77+'Chi phí'!$G$77*B620+'Chi phí'!$H$77*A620))*(1+'Giả định'!$B$16)</f>
        <v>802847100</v>
      </c>
      <c r="E620" s="25" t="n">
        <f aca="false">A620/'Giả định'!$B$19*'Giả định'!$B$20+A620*'Giả định'!$B$23+'Giả định'!$B$24</f>
        <v>228945378.151261</v>
      </c>
      <c r="F620" s="25" t="n">
        <f aca="false">E620-D620</f>
        <v>-573901721.84874</v>
      </c>
      <c r="G620" s="25" t="n">
        <f aca="false">E620-C620</f>
        <v>-430296721.84874</v>
      </c>
      <c r="H620" s="7" t="str">
        <f aca="false">IF(F620&gt;=0,A620,"")</f>
        <v/>
      </c>
      <c r="I620" s="7" t="n">
        <f aca="false">IF(F620&lt;0,A620,0)</f>
        <v>615</v>
      </c>
      <c r="J620" s="7" t="str">
        <f aca="false">IF(G620&gt;=0,A620,"")</f>
        <v/>
      </c>
      <c r="K620" s="7" t="n">
        <f aca="false">IF(G620&lt;0,A620,0)</f>
        <v>615</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659278840</v>
      </c>
      <c r="D621" s="25" t="n">
        <f aca="false">('Chi phí'!$C$77+'Chi phí'!$D$77*B621+'Chi phí'!$E$77*A621+'Giả định'!$B$15*('Chi phí'!$F$77+'Chi phí'!$G$77*B621+'Chi phí'!$H$77*A621))*(1+'Giả định'!$B$16)</f>
        <v>802883840</v>
      </c>
      <c r="E621" s="25" t="n">
        <f aca="false">A621/'Giả định'!$B$19*'Giả định'!$B$20+A621*'Giả định'!$B$23+'Giả định'!$B$24</f>
        <v>229317647.058824</v>
      </c>
      <c r="F621" s="25" t="n">
        <f aca="false">E621-D621</f>
        <v>-573566192.941177</v>
      </c>
      <c r="G621" s="25" t="n">
        <f aca="false">E621-C621</f>
        <v>-429961192.941177</v>
      </c>
      <c r="H621" s="7" t="str">
        <f aca="false">IF(F621&gt;=0,A621,"")</f>
        <v/>
      </c>
      <c r="I621" s="7" t="n">
        <f aca="false">IF(F621&lt;0,A621,0)</f>
        <v>616</v>
      </c>
      <c r="J621" s="7" t="str">
        <f aca="false">IF(G621&gt;=0,A621,"")</f>
        <v/>
      </c>
      <c r="K621" s="7" t="n">
        <f aca="false">IF(G621&lt;0,A621,0)</f>
        <v>616</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659315580</v>
      </c>
      <c r="D622" s="25" t="n">
        <f aca="false">('Chi phí'!$C$77+'Chi phí'!$D$77*B622+'Chi phí'!$E$77*A622+'Giả định'!$B$15*('Chi phí'!$F$77+'Chi phí'!$G$77*B622+'Chi phí'!$H$77*A622))*(1+'Giả định'!$B$16)</f>
        <v>802920580</v>
      </c>
      <c r="E622" s="25" t="n">
        <f aca="false">A622/'Giả định'!$B$19*'Giả định'!$B$20+A622*'Giả định'!$B$23+'Giả định'!$B$24</f>
        <v>229689915.966387</v>
      </c>
      <c r="F622" s="25" t="n">
        <f aca="false">E622-D622</f>
        <v>-573230664.033614</v>
      </c>
      <c r="G622" s="25" t="n">
        <f aca="false">E622-C622</f>
        <v>-429625664.033613</v>
      </c>
      <c r="H622" s="7" t="str">
        <f aca="false">IF(F622&gt;=0,A622,"")</f>
        <v/>
      </c>
      <c r="I622" s="7" t="n">
        <f aca="false">IF(F622&lt;0,A622,0)</f>
        <v>617</v>
      </c>
      <c r="J622" s="7" t="str">
        <f aca="false">IF(G622&gt;=0,A622,"")</f>
        <v/>
      </c>
      <c r="K622" s="7" t="n">
        <f aca="false">IF(G622&lt;0,A622,0)</f>
        <v>617</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659352320</v>
      </c>
      <c r="D623" s="25" t="n">
        <f aca="false">('Chi phí'!$C$77+'Chi phí'!$D$77*B623+'Chi phí'!$E$77*A623+'Giả định'!$B$15*('Chi phí'!$F$77+'Chi phí'!$G$77*B623+'Chi phí'!$H$77*A623))*(1+'Giả định'!$B$16)</f>
        <v>802957320</v>
      </c>
      <c r="E623" s="25" t="n">
        <f aca="false">A623/'Giả định'!$B$19*'Giả định'!$B$20+A623*'Giả định'!$B$23+'Giả định'!$B$24</f>
        <v>230062184.87395</v>
      </c>
      <c r="F623" s="25" t="n">
        <f aca="false">E623-D623</f>
        <v>-572895135.126051</v>
      </c>
      <c r="G623" s="25" t="n">
        <f aca="false">E623-C623</f>
        <v>-429290135.12605</v>
      </c>
      <c r="H623" s="7" t="str">
        <f aca="false">IF(F623&gt;=0,A623,"")</f>
        <v/>
      </c>
      <c r="I623" s="7" t="n">
        <f aca="false">IF(F623&lt;0,A623,0)</f>
        <v>618</v>
      </c>
      <c r="J623" s="7" t="str">
        <f aca="false">IF(G623&gt;=0,A623,"")</f>
        <v/>
      </c>
      <c r="K623" s="7" t="n">
        <f aca="false">IF(G623&lt;0,A623,0)</f>
        <v>618</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659389060</v>
      </c>
      <c r="D624" s="25" t="n">
        <f aca="false">('Chi phí'!$C$77+'Chi phí'!$D$77*B624+'Chi phí'!$E$77*A624+'Giả định'!$B$15*('Chi phí'!$F$77+'Chi phí'!$G$77*B624+'Chi phí'!$H$77*A624))*(1+'Giả định'!$B$16)</f>
        <v>802994060</v>
      </c>
      <c r="E624" s="25" t="n">
        <f aca="false">A624/'Giả định'!$B$19*'Giả định'!$B$20+A624*'Giả định'!$B$23+'Giả định'!$B$24</f>
        <v>230434453.781513</v>
      </c>
      <c r="F624" s="25" t="n">
        <f aca="false">E624-D624</f>
        <v>-572559606.218488</v>
      </c>
      <c r="G624" s="25" t="n">
        <f aca="false">E624-C624</f>
        <v>-428954606.218487</v>
      </c>
      <c r="H624" s="7" t="str">
        <f aca="false">IF(F624&gt;=0,A624,"")</f>
        <v/>
      </c>
      <c r="I624" s="7" t="n">
        <f aca="false">IF(F624&lt;0,A624,0)</f>
        <v>619</v>
      </c>
      <c r="J624" s="7" t="str">
        <f aca="false">IF(G624&gt;=0,A624,"")</f>
        <v/>
      </c>
      <c r="K624" s="7" t="n">
        <f aca="false">IF(G624&lt;0,A624,0)</f>
        <v>619</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659425800</v>
      </c>
      <c r="D625" s="25" t="n">
        <f aca="false">('Chi phí'!$C$77+'Chi phí'!$D$77*B625+'Chi phí'!$E$77*A625+'Giả định'!$B$15*('Chi phí'!$F$77+'Chi phí'!$G$77*B625+'Chi phí'!$H$77*A625))*(1+'Giả định'!$B$16)</f>
        <v>803030800</v>
      </c>
      <c r="E625" s="25" t="n">
        <f aca="false">A625/'Giả định'!$B$19*'Giả định'!$B$20+A625*'Giả định'!$B$23+'Giả định'!$B$24</f>
        <v>230806722.689076</v>
      </c>
      <c r="F625" s="25" t="n">
        <f aca="false">E625-D625</f>
        <v>-572224077.310925</v>
      </c>
      <c r="G625" s="25" t="n">
        <f aca="false">E625-C625</f>
        <v>-428619077.310924</v>
      </c>
      <c r="H625" s="7" t="str">
        <f aca="false">IF(F625&gt;=0,A625,"")</f>
        <v/>
      </c>
      <c r="I625" s="7" t="n">
        <f aca="false">IF(F625&lt;0,A625,0)</f>
        <v>620</v>
      </c>
      <c r="J625" s="7" t="str">
        <f aca="false">IF(G625&gt;=0,A625,"")</f>
        <v/>
      </c>
      <c r="K625" s="7" t="n">
        <f aca="false">IF(G625&lt;0,A625,0)</f>
        <v>620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668636540</v>
      </c>
      <c r="D626" s="25" t="n">
        <f aca="false">('Chi phí'!$C$77+'Chi phí'!$D$77*B626+'Chi phí'!$E$77*A626+'Giả định'!$B$15*('Chi phí'!$F$77+'Chi phí'!$G$77*B626+'Chi phí'!$H$77*A626))*(1+'Giả định'!$B$16)</f>
        <v>812241540</v>
      </c>
      <c r="E626" s="25" t="n">
        <f aca="false">A626/'Giả định'!$B$19*'Giả định'!$B$20+A626*'Giả định'!$B$23+'Giả định'!$B$24</f>
        <v>231178991.596639</v>
      </c>
      <c r="F626" s="25" t="n">
        <f aca="false">E626-D626</f>
        <v>-581062548.403361</v>
      </c>
      <c r="G626" s="25" t="n">
        <f aca="false">E626-C626</f>
        <v>-437457548.403361</v>
      </c>
      <c r="H626" s="7" t="str">
        <f aca="false">IF(F626&gt;=0,A626,"")</f>
        <v/>
      </c>
      <c r="I626" s="7" t="n">
        <f aca="false">IF(F626&lt;0,A626,0)</f>
        <v>621</v>
      </c>
      <c r="J626" s="7" t="str">
        <f aca="false">IF(G626&gt;=0,A626,"")</f>
        <v/>
      </c>
      <c r="K626" s="7" t="n">
        <f aca="false">IF(G626&lt;0,A626,0)</f>
        <v>621</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668673280</v>
      </c>
      <c r="D627" s="25" t="n">
        <f aca="false">('Chi phí'!$C$77+'Chi phí'!$D$77*B627+'Chi phí'!$E$77*A627+'Giả định'!$B$15*('Chi phí'!$F$77+'Chi phí'!$G$77*B627+'Chi phí'!$H$77*A627))*(1+'Giả định'!$B$16)</f>
        <v>812278280</v>
      </c>
      <c r="E627" s="25" t="n">
        <f aca="false">A627/'Giả định'!$B$19*'Giả định'!$B$20+A627*'Giả định'!$B$23+'Giả định'!$B$24</f>
        <v>231551260.504202</v>
      </c>
      <c r="F627" s="25" t="n">
        <f aca="false">E627-D627</f>
        <v>-580727019.495798</v>
      </c>
      <c r="G627" s="25" t="n">
        <f aca="false">E627-C627</f>
        <v>-437122019.495798</v>
      </c>
      <c r="H627" s="7" t="str">
        <f aca="false">IF(F627&gt;=0,A627,"")</f>
        <v/>
      </c>
      <c r="I627" s="7" t="n">
        <f aca="false">IF(F627&lt;0,A627,0)</f>
        <v>622</v>
      </c>
      <c r="J627" s="7" t="str">
        <f aca="false">IF(G627&gt;=0,A627,"")</f>
        <v/>
      </c>
      <c r="K627" s="7" t="n">
        <f aca="false">IF(G627&lt;0,A627,0)</f>
        <v>622</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668710020</v>
      </c>
      <c r="D628" s="25" t="n">
        <f aca="false">('Chi phí'!$C$77+'Chi phí'!$D$77*B628+'Chi phí'!$E$77*A628+'Giả định'!$B$15*('Chi phí'!$F$77+'Chi phí'!$G$77*B628+'Chi phí'!$H$77*A628))*(1+'Giả định'!$B$16)</f>
        <v>812315020</v>
      </c>
      <c r="E628" s="25" t="n">
        <f aca="false">A628/'Giả định'!$B$19*'Giả định'!$B$20+A628*'Giả định'!$B$23+'Giả định'!$B$24</f>
        <v>231923529.411765</v>
      </c>
      <c r="F628" s="25" t="n">
        <f aca="false">E628-D628</f>
        <v>-580391490.588235</v>
      </c>
      <c r="G628" s="25" t="n">
        <f aca="false">E628-C628</f>
        <v>-436786490.588235</v>
      </c>
      <c r="H628" s="7" t="str">
        <f aca="false">IF(F628&gt;=0,A628,"")</f>
        <v/>
      </c>
      <c r="I628" s="7" t="n">
        <f aca="false">IF(F628&lt;0,A628,0)</f>
        <v>623</v>
      </c>
      <c r="J628" s="7" t="str">
        <f aca="false">IF(G628&gt;=0,A628,"")</f>
        <v/>
      </c>
      <c r="K628" s="7" t="n">
        <f aca="false">IF(G628&lt;0,A628,0)</f>
        <v>623</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668746760</v>
      </c>
      <c r="D629" s="25" t="n">
        <f aca="false">('Chi phí'!$C$77+'Chi phí'!$D$77*B629+'Chi phí'!$E$77*A629+'Giả định'!$B$15*('Chi phí'!$F$77+'Chi phí'!$G$77*B629+'Chi phí'!$H$77*A629))*(1+'Giả định'!$B$16)</f>
        <v>812351760</v>
      </c>
      <c r="E629" s="25" t="n">
        <f aca="false">A629/'Giả định'!$B$19*'Giả định'!$B$20+A629*'Giả định'!$B$23+'Giả định'!$B$24</f>
        <v>232295798.319328</v>
      </c>
      <c r="F629" s="25" t="n">
        <f aca="false">E629-D629</f>
        <v>-580055961.680672</v>
      </c>
      <c r="G629" s="25" t="n">
        <f aca="false">E629-C629</f>
        <v>-436450961.680672</v>
      </c>
      <c r="H629" s="7" t="str">
        <f aca="false">IF(F629&gt;=0,A629,"")</f>
        <v/>
      </c>
      <c r="I629" s="7" t="n">
        <f aca="false">IF(F629&lt;0,A629,0)</f>
        <v>624</v>
      </c>
      <c r="J629" s="7" t="str">
        <f aca="false">IF(G629&gt;=0,A629,"")</f>
        <v/>
      </c>
      <c r="K629" s="7" t="n">
        <f aca="false">IF(G629&lt;0,A629,0)</f>
        <v>624</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668783500</v>
      </c>
      <c r="D630" s="25" t="n">
        <f aca="false">('Chi phí'!$C$77+'Chi phí'!$D$77*B630+'Chi phí'!$E$77*A630+'Giả định'!$B$15*('Chi phí'!$F$77+'Chi phí'!$G$77*B630+'Chi phí'!$H$77*A630))*(1+'Giả định'!$B$16)</f>
        <v>812388500</v>
      </c>
      <c r="E630" s="25" t="n">
        <f aca="false">A630/'Giả định'!$B$19*'Giả định'!$B$20+A630*'Giả định'!$B$23+'Giả định'!$B$24</f>
        <v>232668067.226891</v>
      </c>
      <c r="F630" s="25" t="n">
        <f aca="false">E630-D630</f>
        <v>-579720432.773109</v>
      </c>
      <c r="G630" s="25" t="n">
        <f aca="false">E630-C630</f>
        <v>-436115432.773109</v>
      </c>
      <c r="H630" s="7" t="str">
        <f aca="false">IF(F630&gt;=0,A630,"")</f>
        <v/>
      </c>
      <c r="I630" s="7" t="n">
        <f aca="false">IF(F630&lt;0,A630,0)</f>
        <v>625</v>
      </c>
      <c r="J630" s="7" t="str">
        <f aca="false">IF(G630&gt;=0,A630,"")</f>
        <v/>
      </c>
      <c r="K630" s="7" t="n">
        <f aca="false">IF(G630&lt;0,A630,0)</f>
        <v>625</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668820240</v>
      </c>
      <c r="D631" s="25" t="n">
        <f aca="false">('Chi phí'!$C$77+'Chi phí'!$D$77*B631+'Chi phí'!$E$77*A631+'Giả định'!$B$15*('Chi phí'!$F$77+'Chi phí'!$G$77*B631+'Chi phí'!$H$77*A631))*(1+'Giả định'!$B$16)</f>
        <v>812425240</v>
      </c>
      <c r="E631" s="25" t="n">
        <f aca="false">A631/'Giả định'!$B$19*'Giả định'!$B$20+A631*'Giả định'!$B$23+'Giả định'!$B$24</f>
        <v>233040336.134454</v>
      </c>
      <c r="F631" s="25" t="n">
        <f aca="false">E631-D631</f>
        <v>-579384903.865546</v>
      </c>
      <c r="G631" s="25" t="n">
        <f aca="false">E631-C631</f>
        <v>-435779903.865546</v>
      </c>
      <c r="H631" s="7" t="str">
        <f aca="false">IF(F631&gt;=0,A631,"")</f>
        <v/>
      </c>
      <c r="I631" s="7" t="n">
        <f aca="false">IF(F631&lt;0,A631,0)</f>
        <v>626</v>
      </c>
      <c r="J631" s="7" t="str">
        <f aca="false">IF(G631&gt;=0,A631,"")</f>
        <v/>
      </c>
      <c r="K631" s="7" t="n">
        <f aca="false">IF(G631&lt;0,A631,0)</f>
        <v>626</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668856980</v>
      </c>
      <c r="D632" s="25" t="n">
        <f aca="false">('Chi phí'!$C$77+'Chi phí'!$D$77*B632+'Chi phí'!$E$77*A632+'Giả định'!$B$15*('Chi phí'!$F$77+'Chi phí'!$G$77*B632+'Chi phí'!$H$77*A632))*(1+'Giả định'!$B$16)</f>
        <v>812461980</v>
      </c>
      <c r="E632" s="25" t="n">
        <f aca="false">A632/'Giả định'!$B$19*'Giả định'!$B$20+A632*'Giả định'!$B$23+'Giả định'!$B$24</f>
        <v>233412605.042017</v>
      </c>
      <c r="F632" s="25" t="n">
        <f aca="false">E632-D632</f>
        <v>-579049374.957983</v>
      </c>
      <c r="G632" s="25" t="n">
        <f aca="false">E632-C632</f>
        <v>-435444374.957983</v>
      </c>
      <c r="H632" s="7" t="str">
        <f aca="false">IF(F632&gt;=0,A632,"")</f>
        <v/>
      </c>
      <c r="I632" s="7" t="n">
        <f aca="false">IF(F632&lt;0,A632,0)</f>
        <v>627</v>
      </c>
      <c r="J632" s="7" t="str">
        <f aca="false">IF(G632&gt;=0,A632,"")</f>
        <v/>
      </c>
      <c r="K632" s="7" t="n">
        <f aca="false">IF(G632&lt;0,A632,0)</f>
        <v>627</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668893720</v>
      </c>
      <c r="D633" s="25" t="n">
        <f aca="false">('Chi phí'!$C$77+'Chi phí'!$D$77*B633+'Chi phí'!$E$77*A633+'Giả định'!$B$15*('Chi phí'!$F$77+'Chi phí'!$G$77*B633+'Chi phí'!$H$77*A633))*(1+'Giả định'!$B$16)</f>
        <v>812498720</v>
      </c>
      <c r="E633" s="25" t="n">
        <f aca="false">A633/'Giả định'!$B$19*'Giả định'!$B$20+A633*'Giả định'!$B$23+'Giả định'!$B$24</f>
        <v>233784873.94958</v>
      </c>
      <c r="F633" s="25" t="n">
        <f aca="false">E633-D633</f>
        <v>-578713846.05042</v>
      </c>
      <c r="G633" s="25" t="n">
        <f aca="false">E633-C633</f>
        <v>-435108846.05042</v>
      </c>
      <c r="H633" s="7" t="str">
        <f aca="false">IF(F633&gt;=0,A633,"")</f>
        <v/>
      </c>
      <c r="I633" s="7" t="n">
        <f aca="false">IF(F633&lt;0,A633,0)</f>
        <v>628</v>
      </c>
      <c r="J633" s="7" t="str">
        <f aca="false">IF(G633&gt;=0,A633,"")</f>
        <v/>
      </c>
      <c r="K633" s="7" t="n">
        <f aca="false">IF(G633&lt;0,A633,0)</f>
        <v>628</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668930460</v>
      </c>
      <c r="D634" s="25" t="n">
        <f aca="false">('Chi phí'!$C$77+'Chi phí'!$D$77*B634+'Chi phí'!$E$77*A634+'Giả định'!$B$15*('Chi phí'!$F$77+'Chi phí'!$G$77*B634+'Chi phí'!$H$77*A634))*(1+'Giả định'!$B$16)</f>
        <v>812535460</v>
      </c>
      <c r="E634" s="25" t="n">
        <f aca="false">A634/'Giả định'!$B$19*'Giả định'!$B$20+A634*'Giả định'!$B$23+'Giả định'!$B$24</f>
        <v>234157142.857143</v>
      </c>
      <c r="F634" s="25" t="n">
        <f aca="false">E634-D634</f>
        <v>-578378317.142857</v>
      </c>
      <c r="G634" s="25" t="n">
        <f aca="false">E634-C634</f>
        <v>-434773317.142857</v>
      </c>
      <c r="H634" s="7" t="str">
        <f aca="false">IF(F634&gt;=0,A634,"")</f>
        <v/>
      </c>
      <c r="I634" s="7" t="n">
        <f aca="false">IF(F634&lt;0,A634,0)</f>
        <v>629</v>
      </c>
      <c r="J634" s="7" t="str">
        <f aca="false">IF(G634&gt;=0,A634,"")</f>
        <v/>
      </c>
      <c r="K634" s="7" t="n">
        <f aca="false">IF(G634&lt;0,A634,0)</f>
        <v>629</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668967200</v>
      </c>
      <c r="D635" s="25" t="n">
        <f aca="false">('Chi phí'!$C$77+'Chi phí'!$D$77*B635+'Chi phí'!$E$77*A635+'Giả định'!$B$15*('Chi phí'!$F$77+'Chi phí'!$G$77*B635+'Chi phí'!$H$77*A635))*(1+'Giả định'!$B$16)</f>
        <v>812572200</v>
      </c>
      <c r="E635" s="25" t="n">
        <f aca="false">A635/'Giả định'!$B$19*'Giả định'!$B$20+A635*'Giả định'!$B$23+'Giả định'!$B$24</f>
        <v>234529411.764706</v>
      </c>
      <c r="F635" s="25" t="n">
        <f aca="false">E635-D635</f>
        <v>-578042788.235294</v>
      </c>
      <c r="G635" s="25" t="n">
        <f aca="false">E635-C635</f>
        <v>-434437788.235294</v>
      </c>
      <c r="H635" s="7" t="str">
        <f aca="false">IF(F635&gt;=0,A635,"")</f>
        <v/>
      </c>
      <c r="I635" s="7" t="n">
        <f aca="false">IF(F635&lt;0,A635,0)</f>
        <v>630</v>
      </c>
      <c r="J635" s="7" t="str">
        <f aca="false">IF(G635&gt;=0,A635,"")</f>
        <v/>
      </c>
      <c r="K635" s="7" t="n">
        <f aca="false">IF(G635&lt;0,A635,0)</f>
        <v>630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678177940</v>
      </c>
      <c r="D636" s="25" t="n">
        <f aca="false">('Chi phí'!$C$77+'Chi phí'!$D$77*B636+'Chi phí'!$E$77*A636+'Giả định'!$B$15*('Chi phí'!$F$77+'Chi phí'!$G$77*B636+'Chi phí'!$H$77*A636))*(1+'Giả định'!$B$16)</f>
        <v>821782940</v>
      </c>
      <c r="E636" s="25" t="n">
        <f aca="false">A636/'Giả định'!$B$19*'Giả định'!$B$20+A636*'Giả định'!$B$23+'Giả định'!$B$24</f>
        <v>234901680.672269</v>
      </c>
      <c r="F636" s="25" t="n">
        <f aca="false">E636-D636</f>
        <v>-586881259.327731</v>
      </c>
      <c r="G636" s="25" t="n">
        <f aca="false">E636-C636</f>
        <v>-443276259.327731</v>
      </c>
      <c r="H636" s="7" t="str">
        <f aca="false">IF(F636&gt;=0,A636,"")</f>
        <v/>
      </c>
      <c r="I636" s="7" t="n">
        <f aca="false">IF(F636&lt;0,A636,0)</f>
        <v>631</v>
      </c>
      <c r="J636" s="7" t="str">
        <f aca="false">IF(G636&gt;=0,A636,"")</f>
        <v/>
      </c>
      <c r="K636" s="7" t="n">
        <f aca="false">IF(G636&lt;0,A636,0)</f>
        <v>631</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678214680</v>
      </c>
      <c r="D637" s="25" t="n">
        <f aca="false">('Chi phí'!$C$77+'Chi phí'!$D$77*B637+'Chi phí'!$E$77*A637+'Giả định'!$B$15*('Chi phí'!$F$77+'Chi phí'!$G$77*B637+'Chi phí'!$H$77*A637))*(1+'Giả định'!$B$16)</f>
        <v>821819680</v>
      </c>
      <c r="E637" s="25" t="n">
        <f aca="false">A637/'Giả định'!$B$19*'Giả định'!$B$20+A637*'Giả định'!$B$23+'Giả định'!$B$24</f>
        <v>235273949.579832</v>
      </c>
      <c r="F637" s="25" t="n">
        <f aca="false">E637-D637</f>
        <v>-586545730.420168</v>
      </c>
      <c r="G637" s="25" t="n">
        <f aca="false">E637-C637</f>
        <v>-442940730.420168</v>
      </c>
      <c r="H637" s="7" t="str">
        <f aca="false">IF(F637&gt;=0,A637,"")</f>
        <v/>
      </c>
      <c r="I637" s="7" t="n">
        <f aca="false">IF(F637&lt;0,A637,0)</f>
        <v>632</v>
      </c>
      <c r="J637" s="7" t="str">
        <f aca="false">IF(G637&gt;=0,A637,"")</f>
        <v/>
      </c>
      <c r="K637" s="7" t="n">
        <f aca="false">IF(G637&lt;0,A637,0)</f>
        <v>632</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678251420</v>
      </c>
      <c r="D638" s="25" t="n">
        <f aca="false">('Chi phí'!$C$77+'Chi phí'!$D$77*B638+'Chi phí'!$E$77*A638+'Giả định'!$B$15*('Chi phí'!$F$77+'Chi phí'!$G$77*B638+'Chi phí'!$H$77*A638))*(1+'Giả định'!$B$16)</f>
        <v>821856420</v>
      </c>
      <c r="E638" s="25" t="n">
        <f aca="false">A638/'Giả định'!$B$19*'Giả định'!$B$20+A638*'Giả định'!$B$23+'Giả định'!$B$24</f>
        <v>235646218.487395</v>
      </c>
      <c r="F638" s="25" t="n">
        <f aca="false">E638-D638</f>
        <v>-586210201.512605</v>
      </c>
      <c r="G638" s="25" t="n">
        <f aca="false">E638-C638</f>
        <v>-442605201.512605</v>
      </c>
      <c r="H638" s="7" t="str">
        <f aca="false">IF(F638&gt;=0,A638,"")</f>
        <v/>
      </c>
      <c r="I638" s="7" t="n">
        <f aca="false">IF(F638&lt;0,A638,0)</f>
        <v>633</v>
      </c>
      <c r="J638" s="7" t="str">
        <f aca="false">IF(G638&gt;=0,A638,"")</f>
        <v/>
      </c>
      <c r="K638" s="7" t="n">
        <f aca="false">IF(G638&lt;0,A638,0)</f>
        <v>633</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678288160</v>
      </c>
      <c r="D639" s="25" t="n">
        <f aca="false">('Chi phí'!$C$77+'Chi phí'!$D$77*B639+'Chi phí'!$E$77*A639+'Giả định'!$B$15*('Chi phí'!$F$77+'Chi phí'!$G$77*B639+'Chi phí'!$H$77*A639))*(1+'Giả định'!$B$16)</f>
        <v>821893160</v>
      </c>
      <c r="E639" s="25" t="n">
        <f aca="false">A639/'Giả định'!$B$19*'Giả định'!$B$20+A639*'Giả định'!$B$23+'Giả định'!$B$24</f>
        <v>236018487.394958</v>
      </c>
      <c r="F639" s="25" t="n">
        <f aca="false">E639-D639</f>
        <v>-585874672.605042</v>
      </c>
      <c r="G639" s="25" t="n">
        <f aca="false">E639-C639</f>
        <v>-442269672.605042</v>
      </c>
      <c r="H639" s="7" t="str">
        <f aca="false">IF(F639&gt;=0,A639,"")</f>
        <v/>
      </c>
      <c r="I639" s="7" t="n">
        <f aca="false">IF(F639&lt;0,A639,0)</f>
        <v>634</v>
      </c>
      <c r="J639" s="7" t="str">
        <f aca="false">IF(G639&gt;=0,A639,"")</f>
        <v/>
      </c>
      <c r="K639" s="7" t="n">
        <f aca="false">IF(G639&lt;0,A639,0)</f>
        <v>634</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678324900</v>
      </c>
      <c r="D640" s="25" t="n">
        <f aca="false">('Chi phí'!$C$77+'Chi phí'!$D$77*B640+'Chi phí'!$E$77*A640+'Giả định'!$B$15*('Chi phí'!$F$77+'Chi phí'!$G$77*B640+'Chi phí'!$H$77*A640))*(1+'Giả định'!$B$16)</f>
        <v>821929900</v>
      </c>
      <c r="E640" s="25" t="n">
        <f aca="false">A640/'Giả định'!$B$19*'Giả định'!$B$20+A640*'Giả định'!$B$23+'Giả định'!$B$24</f>
        <v>236390756.302521</v>
      </c>
      <c r="F640" s="25" t="n">
        <f aca="false">E640-D640</f>
        <v>-585539143.697479</v>
      </c>
      <c r="G640" s="25" t="n">
        <f aca="false">E640-C640</f>
        <v>-441934143.697479</v>
      </c>
      <c r="H640" s="7" t="str">
        <f aca="false">IF(F640&gt;=0,A640,"")</f>
        <v/>
      </c>
      <c r="I640" s="7" t="n">
        <f aca="false">IF(F640&lt;0,A640,0)</f>
        <v>635</v>
      </c>
      <c r="J640" s="7" t="str">
        <f aca="false">IF(G640&gt;=0,A640,"")</f>
        <v/>
      </c>
      <c r="K640" s="7" t="n">
        <f aca="false">IF(G640&lt;0,A640,0)</f>
        <v>635</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678361640</v>
      </c>
      <c r="D641" s="25" t="n">
        <f aca="false">('Chi phí'!$C$77+'Chi phí'!$D$77*B641+'Chi phí'!$E$77*A641+'Giả định'!$B$15*('Chi phí'!$F$77+'Chi phí'!$G$77*B641+'Chi phí'!$H$77*A641))*(1+'Giả định'!$B$16)</f>
        <v>821966640</v>
      </c>
      <c r="E641" s="25" t="n">
        <f aca="false">A641/'Giả định'!$B$19*'Giả định'!$B$20+A641*'Giả định'!$B$23+'Giả định'!$B$24</f>
        <v>236763025.210084</v>
      </c>
      <c r="F641" s="25" t="n">
        <f aca="false">E641-D641</f>
        <v>-585203614.789916</v>
      </c>
      <c r="G641" s="25" t="n">
        <f aca="false">E641-C641</f>
        <v>-441598614.789916</v>
      </c>
      <c r="H641" s="7" t="str">
        <f aca="false">IF(F641&gt;=0,A641,"")</f>
        <v/>
      </c>
      <c r="I641" s="7" t="n">
        <f aca="false">IF(F641&lt;0,A641,0)</f>
        <v>636</v>
      </c>
      <c r="J641" s="7" t="str">
        <f aca="false">IF(G641&gt;=0,A641,"")</f>
        <v/>
      </c>
      <c r="K641" s="7" t="n">
        <f aca="false">IF(G641&lt;0,A641,0)</f>
        <v>636</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678398380</v>
      </c>
      <c r="D642" s="25" t="n">
        <f aca="false">('Chi phí'!$C$77+'Chi phí'!$D$77*B642+'Chi phí'!$E$77*A642+'Giả định'!$B$15*('Chi phí'!$F$77+'Chi phí'!$G$77*B642+'Chi phí'!$H$77*A642))*(1+'Giả định'!$B$16)</f>
        <v>822003380</v>
      </c>
      <c r="E642" s="25" t="n">
        <f aca="false">A642/'Giả định'!$B$19*'Giả định'!$B$20+A642*'Giả định'!$B$23+'Giả định'!$B$24</f>
        <v>237135294.117647</v>
      </c>
      <c r="F642" s="25" t="n">
        <f aca="false">E642-D642</f>
        <v>-584868085.882353</v>
      </c>
      <c r="G642" s="25" t="n">
        <f aca="false">E642-C642</f>
        <v>-441263085.882353</v>
      </c>
      <c r="H642" s="7" t="str">
        <f aca="false">IF(F642&gt;=0,A642,"")</f>
        <v/>
      </c>
      <c r="I642" s="7" t="n">
        <f aca="false">IF(F642&lt;0,A642,0)</f>
        <v>637</v>
      </c>
      <c r="J642" s="7" t="str">
        <f aca="false">IF(G642&gt;=0,A642,"")</f>
        <v/>
      </c>
      <c r="K642" s="7" t="n">
        <f aca="false">IF(G642&lt;0,A642,0)</f>
        <v>637</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678435120</v>
      </c>
      <c r="D643" s="25" t="n">
        <f aca="false">('Chi phí'!$C$77+'Chi phí'!$D$77*B643+'Chi phí'!$E$77*A643+'Giả định'!$B$15*('Chi phí'!$F$77+'Chi phí'!$G$77*B643+'Chi phí'!$H$77*A643))*(1+'Giả định'!$B$16)</f>
        <v>822040120</v>
      </c>
      <c r="E643" s="25" t="n">
        <f aca="false">A643/'Giả định'!$B$19*'Giả định'!$B$20+A643*'Giả định'!$B$23+'Giả định'!$B$24</f>
        <v>237507563.02521</v>
      </c>
      <c r="F643" s="25" t="n">
        <f aca="false">E643-D643</f>
        <v>-584532556.97479</v>
      </c>
      <c r="G643" s="25" t="n">
        <f aca="false">E643-C643</f>
        <v>-440927556.97479</v>
      </c>
      <c r="H643" s="7" t="str">
        <f aca="false">IF(F643&gt;=0,A643,"")</f>
        <v/>
      </c>
      <c r="I643" s="7" t="n">
        <f aca="false">IF(F643&lt;0,A643,0)</f>
        <v>638</v>
      </c>
      <c r="J643" s="7" t="str">
        <f aca="false">IF(G643&gt;=0,A643,"")</f>
        <v/>
      </c>
      <c r="K643" s="7" t="n">
        <f aca="false">IF(G643&lt;0,A643,0)</f>
        <v>638</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678471860</v>
      </c>
      <c r="D644" s="25" t="n">
        <f aca="false">('Chi phí'!$C$77+'Chi phí'!$D$77*B644+'Chi phí'!$E$77*A644+'Giả định'!$B$15*('Chi phí'!$F$77+'Chi phí'!$G$77*B644+'Chi phí'!$H$77*A644))*(1+'Giả định'!$B$16)</f>
        <v>822076860</v>
      </c>
      <c r="E644" s="25" t="n">
        <f aca="false">A644/'Giả định'!$B$19*'Giả định'!$B$20+A644*'Giả định'!$B$23+'Giả định'!$B$24</f>
        <v>237879831.932773</v>
      </c>
      <c r="F644" s="25" t="n">
        <f aca="false">E644-D644</f>
        <v>-584197028.067227</v>
      </c>
      <c r="G644" s="25" t="n">
        <f aca="false">E644-C644</f>
        <v>-440592028.067227</v>
      </c>
      <c r="H644" s="7" t="str">
        <f aca="false">IF(F644&gt;=0,A644,"")</f>
        <v/>
      </c>
      <c r="I644" s="7" t="n">
        <f aca="false">IF(F644&lt;0,A644,0)</f>
        <v>639</v>
      </c>
      <c r="J644" s="7" t="str">
        <f aca="false">IF(G644&gt;=0,A644,"")</f>
        <v/>
      </c>
      <c r="K644" s="7" t="n">
        <f aca="false">IF(G644&lt;0,A644,0)</f>
        <v>639</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678508600</v>
      </c>
      <c r="D645" s="25" t="n">
        <f aca="false">('Chi phí'!$C$77+'Chi phí'!$D$77*B645+'Chi phí'!$E$77*A645+'Giả định'!$B$15*('Chi phí'!$F$77+'Chi phí'!$G$77*B645+'Chi phí'!$H$77*A645))*(1+'Giả định'!$B$16)</f>
        <v>822113600</v>
      </c>
      <c r="E645" s="25" t="n">
        <f aca="false">A645/'Giả định'!$B$19*'Giả định'!$B$20+A645*'Giả định'!$B$23+'Giả định'!$B$24</f>
        <v>238252100.840336</v>
      </c>
      <c r="F645" s="25" t="n">
        <f aca="false">E645-D645</f>
        <v>-583861499.159664</v>
      </c>
      <c r="G645" s="25" t="n">
        <f aca="false">E645-C645</f>
        <v>-440256499.159664</v>
      </c>
      <c r="H645" s="7" t="str">
        <f aca="false">IF(F645&gt;=0,A645,"")</f>
        <v/>
      </c>
      <c r="I645" s="7" t="n">
        <f aca="false">IF(F645&lt;0,A645,0)</f>
        <v>640</v>
      </c>
      <c r="J645" s="7" t="str">
        <f aca="false">IF(G645&gt;=0,A645,"")</f>
        <v/>
      </c>
      <c r="K645" s="7" t="n">
        <f aca="false">IF(G645&lt;0,A645,0)</f>
        <v>640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687719340</v>
      </c>
      <c r="D646" s="25" t="n">
        <f aca="false">('Chi phí'!$C$77+'Chi phí'!$D$77*B646+'Chi phí'!$E$77*A646+'Giả định'!$B$15*('Chi phí'!$F$77+'Chi phí'!$G$77*B646+'Chi phí'!$H$77*A646))*(1+'Giả định'!$B$16)</f>
        <v>831324340</v>
      </c>
      <c r="E646" s="25" t="n">
        <f aca="false">A646/'Giả định'!$B$19*'Giả định'!$B$20+A646*'Giả định'!$B$23+'Giả định'!$B$24</f>
        <v>238624369.747899</v>
      </c>
      <c r="F646" s="25" t="n">
        <f aca="false">E646-D646</f>
        <v>-592699970.252101</v>
      </c>
      <c r="G646" s="25" t="n">
        <f aca="false">E646-C646</f>
        <v>-449094970.252101</v>
      </c>
      <c r="H646" s="7" t="str">
        <f aca="false">IF(F646&gt;=0,A646,"")</f>
        <v/>
      </c>
      <c r="I646" s="7" t="n">
        <f aca="false">IF(F646&lt;0,A646,0)</f>
        <v>641</v>
      </c>
      <c r="J646" s="7" t="str">
        <f aca="false">IF(G646&gt;=0,A646,"")</f>
        <v/>
      </c>
      <c r="K646" s="7" t="n">
        <f aca="false">IF(G646&lt;0,A646,0)</f>
        <v>641</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687756080</v>
      </c>
      <c r="D647" s="25" t="n">
        <f aca="false">('Chi phí'!$C$77+'Chi phí'!$D$77*B647+'Chi phí'!$E$77*A647+'Giả định'!$B$15*('Chi phí'!$F$77+'Chi phí'!$G$77*B647+'Chi phí'!$H$77*A647))*(1+'Giả định'!$B$16)</f>
        <v>831361080</v>
      </c>
      <c r="E647" s="25" t="n">
        <f aca="false">A647/'Giả định'!$B$19*'Giả định'!$B$20+A647*'Giả định'!$B$23+'Giả định'!$B$24</f>
        <v>238996638.655462</v>
      </c>
      <c r="F647" s="25" t="n">
        <f aca="false">E647-D647</f>
        <v>-592364441.344538</v>
      </c>
      <c r="G647" s="25" t="n">
        <f aca="false">E647-C647</f>
        <v>-448759441.344538</v>
      </c>
      <c r="H647" s="7" t="str">
        <f aca="false">IF(F647&gt;=0,A647,"")</f>
        <v/>
      </c>
      <c r="I647" s="7" t="n">
        <f aca="false">IF(F647&lt;0,A647,0)</f>
        <v>642</v>
      </c>
      <c r="J647" s="7" t="str">
        <f aca="false">IF(G647&gt;=0,A647,"")</f>
        <v/>
      </c>
      <c r="K647" s="7" t="n">
        <f aca="false">IF(G647&lt;0,A647,0)</f>
        <v>642</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687792820</v>
      </c>
      <c r="D648" s="25" t="n">
        <f aca="false">('Chi phí'!$C$77+'Chi phí'!$D$77*B648+'Chi phí'!$E$77*A648+'Giả định'!$B$15*('Chi phí'!$F$77+'Chi phí'!$G$77*B648+'Chi phí'!$H$77*A648))*(1+'Giả định'!$B$16)</f>
        <v>831397820</v>
      </c>
      <c r="E648" s="25" t="n">
        <f aca="false">A648/'Giả định'!$B$19*'Giả định'!$B$20+A648*'Giả định'!$B$23+'Giả định'!$B$24</f>
        <v>239368907.563025</v>
      </c>
      <c r="F648" s="25" t="n">
        <f aca="false">E648-D648</f>
        <v>-592028912.436975</v>
      </c>
      <c r="G648" s="25" t="n">
        <f aca="false">E648-C648</f>
        <v>-448423912.436975</v>
      </c>
      <c r="H648" s="7" t="str">
        <f aca="false">IF(F648&gt;=0,A648,"")</f>
        <v/>
      </c>
      <c r="I648" s="7" t="n">
        <f aca="false">IF(F648&lt;0,A648,0)</f>
        <v>643</v>
      </c>
      <c r="J648" s="7" t="str">
        <f aca="false">IF(G648&gt;=0,A648,"")</f>
        <v/>
      </c>
      <c r="K648" s="7" t="n">
        <f aca="false">IF(G648&lt;0,A648,0)</f>
        <v>643</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687829560</v>
      </c>
      <c r="D649" s="25" t="n">
        <f aca="false">('Chi phí'!$C$77+'Chi phí'!$D$77*B649+'Chi phí'!$E$77*A649+'Giả định'!$B$15*('Chi phí'!$F$77+'Chi phí'!$G$77*B649+'Chi phí'!$H$77*A649))*(1+'Giả định'!$B$16)</f>
        <v>831434560</v>
      </c>
      <c r="E649" s="25" t="n">
        <f aca="false">A649/'Giả định'!$B$19*'Giả định'!$B$20+A649*'Giả định'!$B$23+'Giả định'!$B$24</f>
        <v>239741176.470588</v>
      </c>
      <c r="F649" s="25" t="n">
        <f aca="false">E649-D649</f>
        <v>-591693383.529412</v>
      </c>
      <c r="G649" s="25" t="n">
        <f aca="false">E649-C649</f>
        <v>-448088383.529412</v>
      </c>
      <c r="H649" s="7" t="str">
        <f aca="false">IF(F649&gt;=0,A649,"")</f>
        <v/>
      </c>
      <c r="I649" s="7" t="n">
        <f aca="false">IF(F649&lt;0,A649,0)</f>
        <v>644</v>
      </c>
      <c r="J649" s="7" t="str">
        <f aca="false">IF(G649&gt;=0,A649,"")</f>
        <v/>
      </c>
      <c r="K649" s="7" t="n">
        <f aca="false">IF(G649&lt;0,A649,0)</f>
        <v>644</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687866300</v>
      </c>
      <c r="D650" s="25" t="n">
        <f aca="false">('Chi phí'!$C$77+'Chi phí'!$D$77*B650+'Chi phí'!$E$77*A650+'Giả định'!$B$15*('Chi phí'!$F$77+'Chi phí'!$G$77*B650+'Chi phí'!$H$77*A650))*(1+'Giả định'!$B$16)</f>
        <v>831471300</v>
      </c>
      <c r="E650" s="25" t="n">
        <f aca="false">A650/'Giả định'!$B$19*'Giả định'!$B$20+A650*'Giả định'!$B$23+'Giả định'!$B$24</f>
        <v>240113445.378151</v>
      </c>
      <c r="F650" s="25" t="n">
        <f aca="false">E650-D650</f>
        <v>-591357854.621849</v>
      </c>
      <c r="G650" s="25" t="n">
        <f aca="false">E650-C650</f>
        <v>-447752854.621849</v>
      </c>
      <c r="H650" s="7" t="str">
        <f aca="false">IF(F650&gt;=0,A650,"")</f>
        <v/>
      </c>
      <c r="I650" s="7" t="n">
        <f aca="false">IF(F650&lt;0,A650,0)</f>
        <v>645</v>
      </c>
      <c r="J650" s="7" t="str">
        <f aca="false">IF(G650&gt;=0,A650,"")</f>
        <v/>
      </c>
      <c r="K650" s="7" t="n">
        <f aca="false">IF(G650&lt;0,A650,0)</f>
        <v>645</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687903040</v>
      </c>
      <c r="D651" s="25" t="n">
        <f aca="false">('Chi phí'!$C$77+'Chi phí'!$D$77*B651+'Chi phí'!$E$77*A651+'Giả định'!$B$15*('Chi phí'!$F$77+'Chi phí'!$G$77*B651+'Chi phí'!$H$77*A651))*(1+'Giả định'!$B$16)</f>
        <v>831508040</v>
      </c>
      <c r="E651" s="25" t="n">
        <f aca="false">A651/'Giả định'!$B$19*'Giả định'!$B$20+A651*'Giả định'!$B$23+'Giả định'!$B$24</f>
        <v>240485714.285714</v>
      </c>
      <c r="F651" s="25" t="n">
        <f aca="false">E651-D651</f>
        <v>-591022325.714286</v>
      </c>
      <c r="G651" s="25" t="n">
        <f aca="false">E651-C651</f>
        <v>-447417325.714286</v>
      </c>
      <c r="H651" s="7" t="str">
        <f aca="false">IF(F651&gt;=0,A651,"")</f>
        <v/>
      </c>
      <c r="I651" s="7" t="n">
        <f aca="false">IF(F651&lt;0,A651,0)</f>
        <v>646</v>
      </c>
      <c r="J651" s="7" t="str">
        <f aca="false">IF(G651&gt;=0,A651,"")</f>
        <v/>
      </c>
      <c r="K651" s="7" t="n">
        <f aca="false">IF(G651&lt;0,A651,0)</f>
        <v>646</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687939780</v>
      </c>
      <c r="D652" s="25" t="n">
        <f aca="false">('Chi phí'!$C$77+'Chi phí'!$D$77*B652+'Chi phí'!$E$77*A652+'Giả định'!$B$15*('Chi phí'!$F$77+'Chi phí'!$G$77*B652+'Chi phí'!$H$77*A652))*(1+'Giả định'!$B$16)</f>
        <v>831544780</v>
      </c>
      <c r="E652" s="25" t="n">
        <f aca="false">A652/'Giả định'!$B$19*'Giả định'!$B$20+A652*'Giả định'!$B$23+'Giả định'!$B$24</f>
        <v>240857983.193277</v>
      </c>
      <c r="F652" s="25" t="n">
        <f aca="false">E652-D652</f>
        <v>-590686796.806723</v>
      </c>
      <c r="G652" s="25" t="n">
        <f aca="false">E652-C652</f>
        <v>-447081796.806723</v>
      </c>
      <c r="H652" s="7" t="str">
        <f aca="false">IF(F652&gt;=0,A652,"")</f>
        <v/>
      </c>
      <c r="I652" s="7" t="n">
        <f aca="false">IF(F652&lt;0,A652,0)</f>
        <v>647</v>
      </c>
      <c r="J652" s="7" t="str">
        <f aca="false">IF(G652&gt;=0,A652,"")</f>
        <v/>
      </c>
      <c r="K652" s="7" t="n">
        <f aca="false">IF(G652&lt;0,A652,0)</f>
        <v>647</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687976520</v>
      </c>
      <c r="D653" s="25" t="n">
        <f aca="false">('Chi phí'!$C$77+'Chi phí'!$D$77*B653+'Chi phí'!$E$77*A653+'Giả định'!$B$15*('Chi phí'!$F$77+'Chi phí'!$G$77*B653+'Chi phí'!$H$77*A653))*(1+'Giả định'!$B$16)</f>
        <v>831581520</v>
      </c>
      <c r="E653" s="25" t="n">
        <f aca="false">A653/'Giả định'!$B$19*'Giả định'!$B$20+A653*'Giả định'!$B$23+'Giả định'!$B$24</f>
        <v>241230252.10084</v>
      </c>
      <c r="F653" s="25" t="n">
        <f aca="false">E653-D653</f>
        <v>-590351267.89916</v>
      </c>
      <c r="G653" s="25" t="n">
        <f aca="false">E653-C653</f>
        <v>-446746267.89916</v>
      </c>
      <c r="H653" s="7" t="str">
        <f aca="false">IF(F653&gt;=0,A653,"")</f>
        <v/>
      </c>
      <c r="I653" s="7" t="n">
        <f aca="false">IF(F653&lt;0,A653,0)</f>
        <v>648</v>
      </c>
      <c r="J653" s="7" t="str">
        <f aca="false">IF(G653&gt;=0,A653,"")</f>
        <v/>
      </c>
      <c r="K653" s="7" t="n">
        <f aca="false">IF(G653&lt;0,A653,0)</f>
        <v>648</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688013260</v>
      </c>
      <c r="D654" s="25" t="n">
        <f aca="false">('Chi phí'!$C$77+'Chi phí'!$D$77*B654+'Chi phí'!$E$77*A654+'Giả định'!$B$15*('Chi phí'!$F$77+'Chi phí'!$G$77*B654+'Chi phí'!$H$77*A654))*(1+'Giả định'!$B$16)</f>
        <v>831618260</v>
      </c>
      <c r="E654" s="25" t="n">
        <f aca="false">A654/'Giả định'!$B$19*'Giả định'!$B$20+A654*'Giả định'!$B$23+'Giả định'!$B$24</f>
        <v>241602521.008403</v>
      </c>
      <c r="F654" s="25" t="n">
        <f aca="false">E654-D654</f>
        <v>-590015738.991597</v>
      </c>
      <c r="G654" s="25" t="n">
        <f aca="false">E654-C654</f>
        <v>-446410738.991597</v>
      </c>
      <c r="H654" s="7" t="str">
        <f aca="false">IF(F654&gt;=0,A654,"")</f>
        <v/>
      </c>
      <c r="I654" s="7" t="n">
        <f aca="false">IF(F654&lt;0,A654,0)</f>
        <v>649</v>
      </c>
      <c r="J654" s="7" t="str">
        <f aca="false">IF(G654&gt;=0,A654,"")</f>
        <v/>
      </c>
      <c r="K654" s="7" t="n">
        <f aca="false">IF(G654&lt;0,A654,0)</f>
        <v>649</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688050000</v>
      </c>
      <c r="D655" s="25" t="n">
        <f aca="false">('Chi phí'!$C$77+'Chi phí'!$D$77*B655+'Chi phí'!$E$77*A655+'Giả định'!$B$15*('Chi phí'!$F$77+'Chi phí'!$G$77*B655+'Chi phí'!$H$77*A655))*(1+'Giả định'!$B$16)</f>
        <v>831655000</v>
      </c>
      <c r="E655" s="25" t="n">
        <f aca="false">A655/'Giả định'!$B$19*'Giả định'!$B$20+A655*'Giả định'!$B$23+'Giả định'!$B$24</f>
        <v>241974789.915966</v>
      </c>
      <c r="F655" s="25" t="n">
        <f aca="false">E655-D655</f>
        <v>-589680210.084034</v>
      </c>
      <c r="G655" s="25" t="n">
        <f aca="false">E655-C655</f>
        <v>-446075210.084034</v>
      </c>
      <c r="H655" s="7" t="str">
        <f aca="false">IF(F655&gt;=0,A655,"")</f>
        <v/>
      </c>
      <c r="I655" s="7" t="n">
        <f aca="false">IF(F655&lt;0,A655,0)</f>
        <v>650</v>
      </c>
      <c r="J655" s="7" t="str">
        <f aca="false">IF(G655&gt;=0,A655,"")</f>
        <v/>
      </c>
      <c r="K655" s="7" t="n">
        <f aca="false">IF(G655&lt;0,A655,0)</f>
        <v>650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697260740</v>
      </c>
      <c r="D656" s="25" t="n">
        <f aca="false">('Chi phí'!$C$77+'Chi phí'!$D$77*B656+'Chi phí'!$E$77*A656+'Giả định'!$B$15*('Chi phí'!$F$77+'Chi phí'!$G$77*B656+'Chi phí'!$H$77*A656))*(1+'Giả định'!$B$16)</f>
        <v>840865740</v>
      </c>
      <c r="E656" s="25" t="n">
        <f aca="false">A656/'Giả định'!$B$19*'Giả định'!$B$20+A656*'Giả định'!$B$23+'Giả định'!$B$24</f>
        <v>242347058.823529</v>
      </c>
      <c r="F656" s="25" t="n">
        <f aca="false">E656-D656</f>
        <v>-598518681.176471</v>
      </c>
      <c r="G656" s="25" t="n">
        <f aca="false">E656-C656</f>
        <v>-454913681.176471</v>
      </c>
      <c r="H656" s="7" t="str">
        <f aca="false">IF(F656&gt;=0,A656,"")</f>
        <v/>
      </c>
      <c r="I656" s="7" t="n">
        <f aca="false">IF(F656&lt;0,A656,0)</f>
        <v>651</v>
      </c>
      <c r="J656" s="7" t="str">
        <f aca="false">IF(G656&gt;=0,A656,"")</f>
        <v/>
      </c>
      <c r="K656" s="7" t="n">
        <f aca="false">IF(G656&lt;0,A656,0)</f>
        <v>651</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697297480</v>
      </c>
      <c r="D657" s="25" t="n">
        <f aca="false">('Chi phí'!$C$77+'Chi phí'!$D$77*B657+'Chi phí'!$E$77*A657+'Giả định'!$B$15*('Chi phí'!$F$77+'Chi phí'!$G$77*B657+'Chi phí'!$H$77*A657))*(1+'Giả định'!$B$16)</f>
        <v>840902480</v>
      </c>
      <c r="E657" s="25" t="n">
        <f aca="false">A657/'Giả định'!$B$19*'Giả định'!$B$20+A657*'Giả định'!$B$23+'Giả định'!$B$24</f>
        <v>242719327.731092</v>
      </c>
      <c r="F657" s="25" t="n">
        <f aca="false">E657-D657</f>
        <v>-598183152.268908</v>
      </c>
      <c r="G657" s="25" t="n">
        <f aca="false">E657-C657</f>
        <v>-454578152.268908</v>
      </c>
      <c r="H657" s="7" t="str">
        <f aca="false">IF(F657&gt;=0,A657,"")</f>
        <v/>
      </c>
      <c r="I657" s="7" t="n">
        <f aca="false">IF(F657&lt;0,A657,0)</f>
        <v>652</v>
      </c>
      <c r="J657" s="7" t="str">
        <f aca="false">IF(G657&gt;=0,A657,"")</f>
        <v/>
      </c>
      <c r="K657" s="7" t="n">
        <f aca="false">IF(G657&lt;0,A657,0)</f>
        <v>652</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697334220</v>
      </c>
      <c r="D658" s="25" t="n">
        <f aca="false">('Chi phí'!$C$77+'Chi phí'!$D$77*B658+'Chi phí'!$E$77*A658+'Giả định'!$B$15*('Chi phí'!$F$77+'Chi phí'!$G$77*B658+'Chi phí'!$H$77*A658))*(1+'Giả định'!$B$16)</f>
        <v>840939220</v>
      </c>
      <c r="E658" s="25" t="n">
        <f aca="false">A658/'Giả định'!$B$19*'Giả định'!$B$20+A658*'Giả định'!$B$23+'Giả định'!$B$24</f>
        <v>243091596.638655</v>
      </c>
      <c r="F658" s="25" t="n">
        <f aca="false">E658-D658</f>
        <v>-597847623.361345</v>
      </c>
      <c r="G658" s="25" t="n">
        <f aca="false">E658-C658</f>
        <v>-454242623.361345</v>
      </c>
      <c r="H658" s="7" t="str">
        <f aca="false">IF(F658&gt;=0,A658,"")</f>
        <v/>
      </c>
      <c r="I658" s="7" t="n">
        <f aca="false">IF(F658&lt;0,A658,0)</f>
        <v>653</v>
      </c>
      <c r="J658" s="7" t="str">
        <f aca="false">IF(G658&gt;=0,A658,"")</f>
        <v/>
      </c>
      <c r="K658" s="7" t="n">
        <f aca="false">IF(G658&lt;0,A658,0)</f>
        <v>653</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697370960</v>
      </c>
      <c r="D659" s="25" t="n">
        <f aca="false">('Chi phí'!$C$77+'Chi phí'!$D$77*B659+'Chi phí'!$E$77*A659+'Giả định'!$B$15*('Chi phí'!$F$77+'Chi phí'!$G$77*B659+'Chi phí'!$H$77*A659))*(1+'Giả định'!$B$16)</f>
        <v>840975960</v>
      </c>
      <c r="E659" s="25" t="n">
        <f aca="false">A659/'Giả định'!$B$19*'Giả định'!$B$20+A659*'Giả định'!$B$23+'Giả định'!$B$24</f>
        <v>243463865.546219</v>
      </c>
      <c r="F659" s="25" t="n">
        <f aca="false">E659-D659</f>
        <v>-597512094.453782</v>
      </c>
      <c r="G659" s="25" t="n">
        <f aca="false">E659-C659</f>
        <v>-453907094.453782</v>
      </c>
      <c r="H659" s="7" t="str">
        <f aca="false">IF(F659&gt;=0,A659,"")</f>
        <v/>
      </c>
      <c r="I659" s="7" t="n">
        <f aca="false">IF(F659&lt;0,A659,0)</f>
        <v>654</v>
      </c>
      <c r="J659" s="7" t="str">
        <f aca="false">IF(G659&gt;=0,A659,"")</f>
        <v/>
      </c>
      <c r="K659" s="7" t="n">
        <f aca="false">IF(G659&lt;0,A659,0)</f>
        <v>654</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697407700</v>
      </c>
      <c r="D660" s="25" t="n">
        <f aca="false">('Chi phí'!$C$77+'Chi phí'!$D$77*B660+'Chi phí'!$E$77*A660+'Giả định'!$B$15*('Chi phí'!$F$77+'Chi phí'!$G$77*B660+'Chi phí'!$H$77*A660))*(1+'Giả định'!$B$16)</f>
        <v>841012700</v>
      </c>
      <c r="E660" s="25" t="n">
        <f aca="false">A660/'Giả định'!$B$19*'Giả định'!$B$20+A660*'Giả định'!$B$23+'Giả định'!$B$24</f>
        <v>243836134.453782</v>
      </c>
      <c r="F660" s="25" t="n">
        <f aca="false">E660-D660</f>
        <v>-597176565.546219</v>
      </c>
      <c r="G660" s="25" t="n">
        <f aca="false">E660-C660</f>
        <v>-453571565.546219</v>
      </c>
      <c r="H660" s="7" t="str">
        <f aca="false">IF(F660&gt;=0,A660,"")</f>
        <v/>
      </c>
      <c r="I660" s="7" t="n">
        <f aca="false">IF(F660&lt;0,A660,0)</f>
        <v>655</v>
      </c>
      <c r="J660" s="7" t="str">
        <f aca="false">IF(G660&gt;=0,A660,"")</f>
        <v/>
      </c>
      <c r="K660" s="7" t="n">
        <f aca="false">IF(G660&lt;0,A660,0)</f>
        <v>655</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697444440</v>
      </c>
      <c r="D661" s="25" t="n">
        <f aca="false">('Chi phí'!$C$77+'Chi phí'!$D$77*B661+'Chi phí'!$E$77*A661+'Giả định'!$B$15*('Chi phí'!$F$77+'Chi phí'!$G$77*B661+'Chi phí'!$H$77*A661))*(1+'Giả định'!$B$16)</f>
        <v>841049440</v>
      </c>
      <c r="E661" s="25" t="n">
        <f aca="false">A661/'Giả định'!$B$19*'Giả định'!$B$20+A661*'Giả định'!$B$23+'Giả định'!$B$24</f>
        <v>244208403.361345</v>
      </c>
      <c r="F661" s="25" t="n">
        <f aca="false">E661-D661</f>
        <v>-596841036.638656</v>
      </c>
      <c r="G661" s="25" t="n">
        <f aca="false">E661-C661</f>
        <v>-453236036.638655</v>
      </c>
      <c r="H661" s="7" t="str">
        <f aca="false">IF(F661&gt;=0,A661,"")</f>
        <v/>
      </c>
      <c r="I661" s="7" t="n">
        <f aca="false">IF(F661&lt;0,A661,0)</f>
        <v>656</v>
      </c>
      <c r="J661" s="7" t="str">
        <f aca="false">IF(G661&gt;=0,A661,"")</f>
        <v/>
      </c>
      <c r="K661" s="7" t="n">
        <f aca="false">IF(G661&lt;0,A661,0)</f>
        <v>656</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697481180</v>
      </c>
      <c r="D662" s="25" t="n">
        <f aca="false">('Chi phí'!$C$77+'Chi phí'!$D$77*B662+'Chi phí'!$E$77*A662+'Giả định'!$B$15*('Chi phí'!$F$77+'Chi phí'!$G$77*B662+'Chi phí'!$H$77*A662))*(1+'Giả định'!$B$16)</f>
        <v>841086180</v>
      </c>
      <c r="E662" s="25" t="n">
        <f aca="false">A662/'Giả định'!$B$19*'Giả định'!$B$20+A662*'Giả định'!$B$23+'Giả định'!$B$24</f>
        <v>244580672.268908</v>
      </c>
      <c r="F662" s="25" t="n">
        <f aca="false">E662-D662</f>
        <v>-596505507.731093</v>
      </c>
      <c r="G662" s="25" t="n">
        <f aca="false">E662-C662</f>
        <v>-452900507.731092</v>
      </c>
      <c r="H662" s="7" t="str">
        <f aca="false">IF(F662&gt;=0,A662,"")</f>
        <v/>
      </c>
      <c r="I662" s="7" t="n">
        <f aca="false">IF(F662&lt;0,A662,0)</f>
        <v>657</v>
      </c>
      <c r="J662" s="7" t="str">
        <f aca="false">IF(G662&gt;=0,A662,"")</f>
        <v/>
      </c>
      <c r="K662" s="7" t="n">
        <f aca="false">IF(G662&lt;0,A662,0)</f>
        <v>657</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697517920</v>
      </c>
      <c r="D663" s="25" t="n">
        <f aca="false">('Chi phí'!$C$77+'Chi phí'!$D$77*B663+'Chi phí'!$E$77*A663+'Giả định'!$B$15*('Chi phí'!$F$77+'Chi phí'!$G$77*B663+'Chi phí'!$H$77*A663))*(1+'Giả định'!$B$16)</f>
        <v>841122920</v>
      </c>
      <c r="E663" s="25" t="n">
        <f aca="false">A663/'Giả định'!$B$19*'Giả định'!$B$20+A663*'Giả định'!$B$23+'Giả định'!$B$24</f>
        <v>244952941.176471</v>
      </c>
      <c r="F663" s="25" t="n">
        <f aca="false">E663-D663</f>
        <v>-596169978.82353</v>
      </c>
      <c r="G663" s="25" t="n">
        <f aca="false">E663-C663</f>
        <v>-452564978.823529</v>
      </c>
      <c r="H663" s="7" t="str">
        <f aca="false">IF(F663&gt;=0,A663,"")</f>
        <v/>
      </c>
      <c r="I663" s="7" t="n">
        <f aca="false">IF(F663&lt;0,A663,0)</f>
        <v>658</v>
      </c>
      <c r="J663" s="7" t="str">
        <f aca="false">IF(G663&gt;=0,A663,"")</f>
        <v/>
      </c>
      <c r="K663" s="7" t="n">
        <f aca="false">IF(G663&lt;0,A663,0)</f>
        <v>658</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697554660</v>
      </c>
      <c r="D664" s="25" t="n">
        <f aca="false">('Chi phí'!$C$77+'Chi phí'!$D$77*B664+'Chi phí'!$E$77*A664+'Giả định'!$B$15*('Chi phí'!$F$77+'Chi phí'!$G$77*B664+'Chi phí'!$H$77*A664))*(1+'Giả định'!$B$16)</f>
        <v>841159660</v>
      </c>
      <c r="E664" s="25" t="n">
        <f aca="false">A664/'Giả định'!$B$19*'Giả định'!$B$20+A664*'Giả định'!$B$23+'Giả định'!$B$24</f>
        <v>245325210.084034</v>
      </c>
      <c r="F664" s="25" t="n">
        <f aca="false">E664-D664</f>
        <v>-595834449.915967</v>
      </c>
      <c r="G664" s="25" t="n">
        <f aca="false">E664-C664</f>
        <v>-452229449.915966</v>
      </c>
      <c r="H664" s="7" t="str">
        <f aca="false">IF(F664&gt;=0,A664,"")</f>
        <v/>
      </c>
      <c r="I664" s="7" t="n">
        <f aca="false">IF(F664&lt;0,A664,0)</f>
        <v>659</v>
      </c>
      <c r="J664" s="7" t="str">
        <f aca="false">IF(G664&gt;=0,A664,"")</f>
        <v/>
      </c>
      <c r="K664" s="7" t="n">
        <f aca="false">IF(G664&lt;0,A664,0)</f>
        <v>659</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697591400</v>
      </c>
      <c r="D665" s="25" t="n">
        <f aca="false">('Chi phí'!$C$77+'Chi phí'!$D$77*B665+'Chi phí'!$E$77*A665+'Giả định'!$B$15*('Chi phí'!$F$77+'Chi phí'!$G$77*B665+'Chi phí'!$H$77*A665))*(1+'Giả định'!$B$16)</f>
        <v>841196400</v>
      </c>
      <c r="E665" s="25" t="n">
        <f aca="false">A665/'Giả định'!$B$19*'Giả định'!$B$20+A665*'Giả định'!$B$23+'Giả định'!$B$24</f>
        <v>245697478.991597</v>
      </c>
      <c r="F665" s="25" t="n">
        <f aca="false">E665-D665</f>
        <v>-595498921.008403</v>
      </c>
      <c r="G665" s="25" t="n">
        <f aca="false">E665-C665</f>
        <v>-451893921.008403</v>
      </c>
      <c r="H665" s="7" t="str">
        <f aca="false">IF(F665&gt;=0,A665,"")</f>
        <v/>
      </c>
      <c r="I665" s="7" t="n">
        <f aca="false">IF(F665&lt;0,A665,0)</f>
        <v>660</v>
      </c>
      <c r="J665" s="7" t="str">
        <f aca="false">IF(G665&gt;=0,A665,"")</f>
        <v/>
      </c>
      <c r="K665" s="7" t="n">
        <f aca="false">IF(G665&lt;0,A665,0)</f>
        <v>660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706802140</v>
      </c>
      <c r="D666" s="25" t="n">
        <f aca="false">('Chi phí'!$C$77+'Chi phí'!$D$77*B666+'Chi phí'!$E$77*A666+'Giả định'!$B$15*('Chi phí'!$F$77+'Chi phí'!$G$77*B666+'Chi phí'!$H$77*A666))*(1+'Giả định'!$B$16)</f>
        <v>850407140</v>
      </c>
      <c r="E666" s="25" t="n">
        <f aca="false">A666/'Giả định'!$B$19*'Giả định'!$B$20+A666*'Giả định'!$B$23+'Giả định'!$B$24</f>
        <v>246069747.89916</v>
      </c>
      <c r="F666" s="25" t="n">
        <f aca="false">E666-D666</f>
        <v>-604337392.10084</v>
      </c>
      <c r="G666" s="25" t="n">
        <f aca="false">E666-C666</f>
        <v>-460732392.10084</v>
      </c>
      <c r="H666" s="7" t="str">
        <f aca="false">IF(F666&gt;=0,A666,"")</f>
        <v/>
      </c>
      <c r="I666" s="7" t="n">
        <f aca="false">IF(F666&lt;0,A666,0)</f>
        <v>661</v>
      </c>
      <c r="J666" s="7" t="str">
        <f aca="false">IF(G666&gt;=0,A666,"")</f>
        <v/>
      </c>
      <c r="K666" s="7" t="n">
        <f aca="false">IF(G666&lt;0,A666,0)</f>
        <v>661</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706838880</v>
      </c>
      <c r="D667" s="25" t="n">
        <f aca="false">('Chi phí'!$C$77+'Chi phí'!$D$77*B667+'Chi phí'!$E$77*A667+'Giả định'!$B$15*('Chi phí'!$F$77+'Chi phí'!$G$77*B667+'Chi phí'!$H$77*A667))*(1+'Giả định'!$B$16)</f>
        <v>850443880</v>
      </c>
      <c r="E667" s="25" t="n">
        <f aca="false">A667/'Giả định'!$B$19*'Giả định'!$B$20+A667*'Giả định'!$B$23+'Giả định'!$B$24</f>
        <v>246442016.806723</v>
      </c>
      <c r="F667" s="25" t="n">
        <f aca="false">E667-D667</f>
        <v>-604001863.193277</v>
      </c>
      <c r="G667" s="25" t="n">
        <f aca="false">E667-C667</f>
        <v>-460396863.193277</v>
      </c>
      <c r="H667" s="7" t="str">
        <f aca="false">IF(F667&gt;=0,A667,"")</f>
        <v/>
      </c>
      <c r="I667" s="7" t="n">
        <f aca="false">IF(F667&lt;0,A667,0)</f>
        <v>662</v>
      </c>
      <c r="J667" s="7" t="str">
        <f aca="false">IF(G667&gt;=0,A667,"")</f>
        <v/>
      </c>
      <c r="K667" s="7" t="n">
        <f aca="false">IF(G667&lt;0,A667,0)</f>
        <v>662</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706875620</v>
      </c>
      <c r="D668" s="25" t="n">
        <f aca="false">('Chi phí'!$C$77+'Chi phí'!$D$77*B668+'Chi phí'!$E$77*A668+'Giả định'!$B$15*('Chi phí'!$F$77+'Chi phí'!$G$77*B668+'Chi phí'!$H$77*A668))*(1+'Giả định'!$B$16)</f>
        <v>850480620</v>
      </c>
      <c r="E668" s="25" t="n">
        <f aca="false">A668/'Giả định'!$B$19*'Giả định'!$B$20+A668*'Giả định'!$B$23+'Giả định'!$B$24</f>
        <v>246814285.714286</v>
      </c>
      <c r="F668" s="25" t="n">
        <f aca="false">E668-D668</f>
        <v>-603666334.285714</v>
      </c>
      <c r="G668" s="25" t="n">
        <f aca="false">E668-C668</f>
        <v>-460061334.285714</v>
      </c>
      <c r="H668" s="7" t="str">
        <f aca="false">IF(F668&gt;=0,A668,"")</f>
        <v/>
      </c>
      <c r="I668" s="7" t="n">
        <f aca="false">IF(F668&lt;0,A668,0)</f>
        <v>663</v>
      </c>
      <c r="J668" s="7" t="str">
        <f aca="false">IF(G668&gt;=0,A668,"")</f>
        <v/>
      </c>
      <c r="K668" s="7" t="n">
        <f aca="false">IF(G668&lt;0,A668,0)</f>
        <v>663</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706912360</v>
      </c>
      <c r="D669" s="25" t="n">
        <f aca="false">('Chi phí'!$C$77+'Chi phí'!$D$77*B669+'Chi phí'!$E$77*A669+'Giả định'!$B$15*('Chi phí'!$F$77+'Chi phí'!$G$77*B669+'Chi phí'!$H$77*A669))*(1+'Giả định'!$B$16)</f>
        <v>850517360</v>
      </c>
      <c r="E669" s="25" t="n">
        <f aca="false">A669/'Giả định'!$B$19*'Giả định'!$B$20+A669*'Giả định'!$B$23+'Giả định'!$B$24</f>
        <v>247186554.621849</v>
      </c>
      <c r="F669" s="25" t="n">
        <f aca="false">E669-D669</f>
        <v>-603330805.378151</v>
      </c>
      <c r="G669" s="25" t="n">
        <f aca="false">E669-C669</f>
        <v>-459725805.378151</v>
      </c>
      <c r="H669" s="7" t="str">
        <f aca="false">IF(F669&gt;=0,A669,"")</f>
        <v/>
      </c>
      <c r="I669" s="7" t="n">
        <f aca="false">IF(F669&lt;0,A669,0)</f>
        <v>664</v>
      </c>
      <c r="J669" s="7" t="str">
        <f aca="false">IF(G669&gt;=0,A669,"")</f>
        <v/>
      </c>
      <c r="K669" s="7" t="n">
        <f aca="false">IF(G669&lt;0,A669,0)</f>
        <v>664</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706949100</v>
      </c>
      <c r="D670" s="25" t="n">
        <f aca="false">('Chi phí'!$C$77+'Chi phí'!$D$77*B670+'Chi phí'!$E$77*A670+'Giả định'!$B$15*('Chi phí'!$F$77+'Chi phí'!$G$77*B670+'Chi phí'!$H$77*A670))*(1+'Giả định'!$B$16)</f>
        <v>850554100</v>
      </c>
      <c r="E670" s="25" t="n">
        <f aca="false">A670/'Giả định'!$B$19*'Giả định'!$B$20+A670*'Giả định'!$B$23+'Giả định'!$B$24</f>
        <v>247558823.529412</v>
      </c>
      <c r="F670" s="25" t="n">
        <f aca="false">E670-D670</f>
        <v>-602995276.470588</v>
      </c>
      <c r="G670" s="25" t="n">
        <f aca="false">E670-C670</f>
        <v>-459390276.470588</v>
      </c>
      <c r="H670" s="7" t="str">
        <f aca="false">IF(F670&gt;=0,A670,"")</f>
        <v/>
      </c>
      <c r="I670" s="7" t="n">
        <f aca="false">IF(F670&lt;0,A670,0)</f>
        <v>665</v>
      </c>
      <c r="J670" s="7" t="str">
        <f aca="false">IF(G670&gt;=0,A670,"")</f>
        <v/>
      </c>
      <c r="K670" s="7" t="n">
        <f aca="false">IF(G670&lt;0,A670,0)</f>
        <v>665</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706985840</v>
      </c>
      <c r="D671" s="25" t="n">
        <f aca="false">('Chi phí'!$C$77+'Chi phí'!$D$77*B671+'Chi phí'!$E$77*A671+'Giả định'!$B$15*('Chi phí'!$F$77+'Chi phí'!$G$77*B671+'Chi phí'!$H$77*A671))*(1+'Giả định'!$B$16)</f>
        <v>850590840</v>
      </c>
      <c r="E671" s="25" t="n">
        <f aca="false">A671/'Giả định'!$B$19*'Giả định'!$B$20+A671*'Giả định'!$B$23+'Giả định'!$B$24</f>
        <v>247931092.436975</v>
      </c>
      <c r="F671" s="25" t="n">
        <f aca="false">E671-D671</f>
        <v>-602659747.563025</v>
      </c>
      <c r="G671" s="25" t="n">
        <f aca="false">E671-C671</f>
        <v>-459054747.563025</v>
      </c>
      <c r="H671" s="7" t="str">
        <f aca="false">IF(F671&gt;=0,A671,"")</f>
        <v/>
      </c>
      <c r="I671" s="7" t="n">
        <f aca="false">IF(F671&lt;0,A671,0)</f>
        <v>666</v>
      </c>
      <c r="J671" s="7" t="str">
        <f aca="false">IF(G671&gt;=0,A671,"")</f>
        <v/>
      </c>
      <c r="K671" s="7" t="n">
        <f aca="false">IF(G671&lt;0,A671,0)</f>
        <v>666</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707022580</v>
      </c>
      <c r="D672" s="25" t="n">
        <f aca="false">('Chi phí'!$C$77+'Chi phí'!$D$77*B672+'Chi phí'!$E$77*A672+'Giả định'!$B$15*('Chi phí'!$F$77+'Chi phí'!$G$77*B672+'Chi phí'!$H$77*A672))*(1+'Giả định'!$B$16)</f>
        <v>850627580</v>
      </c>
      <c r="E672" s="25" t="n">
        <f aca="false">A672/'Giả định'!$B$19*'Giả định'!$B$20+A672*'Giả định'!$B$23+'Giả định'!$B$24</f>
        <v>248303361.344538</v>
      </c>
      <c r="F672" s="25" t="n">
        <f aca="false">E672-D672</f>
        <v>-602324218.655462</v>
      </c>
      <c r="G672" s="25" t="n">
        <f aca="false">E672-C672</f>
        <v>-458719218.655462</v>
      </c>
      <c r="H672" s="7" t="str">
        <f aca="false">IF(F672&gt;=0,A672,"")</f>
        <v/>
      </c>
      <c r="I672" s="7" t="n">
        <f aca="false">IF(F672&lt;0,A672,0)</f>
        <v>667</v>
      </c>
      <c r="J672" s="7" t="str">
        <f aca="false">IF(G672&gt;=0,A672,"")</f>
        <v/>
      </c>
      <c r="K672" s="7" t="n">
        <f aca="false">IF(G672&lt;0,A672,0)</f>
        <v>667</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707059320</v>
      </c>
      <c r="D673" s="25" t="n">
        <f aca="false">('Chi phí'!$C$77+'Chi phí'!$D$77*B673+'Chi phí'!$E$77*A673+'Giả định'!$B$15*('Chi phí'!$F$77+'Chi phí'!$G$77*B673+'Chi phí'!$H$77*A673))*(1+'Giả định'!$B$16)</f>
        <v>850664320</v>
      </c>
      <c r="E673" s="25" t="n">
        <f aca="false">A673/'Giả định'!$B$19*'Giả định'!$B$20+A673*'Giả định'!$B$23+'Giả định'!$B$24</f>
        <v>248675630.252101</v>
      </c>
      <c r="F673" s="25" t="n">
        <f aca="false">E673-D673</f>
        <v>-601988689.747899</v>
      </c>
      <c r="G673" s="25" t="n">
        <f aca="false">E673-C673</f>
        <v>-458383689.747899</v>
      </c>
      <c r="H673" s="7" t="str">
        <f aca="false">IF(F673&gt;=0,A673,"")</f>
        <v/>
      </c>
      <c r="I673" s="7" t="n">
        <f aca="false">IF(F673&lt;0,A673,0)</f>
        <v>668</v>
      </c>
      <c r="J673" s="7" t="str">
        <f aca="false">IF(G673&gt;=0,A673,"")</f>
        <v/>
      </c>
      <c r="K673" s="7" t="n">
        <f aca="false">IF(G673&lt;0,A673,0)</f>
        <v>668</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707096060</v>
      </c>
      <c r="D674" s="25" t="n">
        <f aca="false">('Chi phí'!$C$77+'Chi phí'!$D$77*B674+'Chi phí'!$E$77*A674+'Giả định'!$B$15*('Chi phí'!$F$77+'Chi phí'!$G$77*B674+'Chi phí'!$H$77*A674))*(1+'Giả định'!$B$16)</f>
        <v>850701060</v>
      </c>
      <c r="E674" s="25" t="n">
        <f aca="false">A674/'Giả định'!$B$19*'Giả định'!$B$20+A674*'Giả định'!$B$23+'Giả định'!$B$24</f>
        <v>249047899.159664</v>
      </c>
      <c r="F674" s="25" t="n">
        <f aca="false">E674-D674</f>
        <v>-601653160.840336</v>
      </c>
      <c r="G674" s="25" t="n">
        <f aca="false">E674-C674</f>
        <v>-458048160.840336</v>
      </c>
      <c r="H674" s="7" t="str">
        <f aca="false">IF(F674&gt;=0,A674,"")</f>
        <v/>
      </c>
      <c r="I674" s="7" t="n">
        <f aca="false">IF(F674&lt;0,A674,0)</f>
        <v>669</v>
      </c>
      <c r="J674" s="7" t="str">
        <f aca="false">IF(G674&gt;=0,A674,"")</f>
        <v/>
      </c>
      <c r="K674" s="7" t="n">
        <f aca="false">IF(G674&lt;0,A674,0)</f>
        <v>669</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707132800</v>
      </c>
      <c r="D675" s="25" t="n">
        <f aca="false">('Chi phí'!$C$77+'Chi phí'!$D$77*B675+'Chi phí'!$E$77*A675+'Giả định'!$B$15*('Chi phí'!$F$77+'Chi phí'!$G$77*B675+'Chi phí'!$H$77*A675))*(1+'Giả định'!$B$16)</f>
        <v>850737800</v>
      </c>
      <c r="E675" s="25" t="n">
        <f aca="false">A675/'Giả định'!$B$19*'Giả định'!$B$20+A675*'Giả định'!$B$23+'Giả định'!$B$24</f>
        <v>249420168.067227</v>
      </c>
      <c r="F675" s="25" t="n">
        <f aca="false">E675-D675</f>
        <v>-601317631.932773</v>
      </c>
      <c r="G675" s="25" t="n">
        <f aca="false">E675-C675</f>
        <v>-457712631.932773</v>
      </c>
      <c r="H675" s="7" t="str">
        <f aca="false">IF(F675&gt;=0,A675,"")</f>
        <v/>
      </c>
      <c r="I675" s="7" t="n">
        <f aca="false">IF(F675&lt;0,A675,0)</f>
        <v>670</v>
      </c>
      <c r="J675" s="7" t="str">
        <f aca="false">IF(G675&gt;=0,A675,"")</f>
        <v/>
      </c>
      <c r="K675" s="7" t="n">
        <f aca="false">IF(G675&lt;0,A675,0)</f>
        <v>670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716343540</v>
      </c>
      <c r="D676" s="25" t="n">
        <f aca="false">('Chi phí'!$C$77+'Chi phí'!$D$77*B676+'Chi phí'!$E$77*A676+'Giả định'!$B$15*('Chi phí'!$F$77+'Chi phí'!$G$77*B676+'Chi phí'!$H$77*A676))*(1+'Giả định'!$B$16)</f>
        <v>859948540</v>
      </c>
      <c r="E676" s="25" t="n">
        <f aca="false">A676/'Giả định'!$B$19*'Giả định'!$B$20+A676*'Giả định'!$B$23+'Giả định'!$B$24</f>
        <v>249792436.97479</v>
      </c>
      <c r="F676" s="25" t="n">
        <f aca="false">E676-D676</f>
        <v>-610156103.02521</v>
      </c>
      <c r="G676" s="25" t="n">
        <f aca="false">E676-C676</f>
        <v>-466551103.02521</v>
      </c>
      <c r="H676" s="7" t="str">
        <f aca="false">IF(F676&gt;=0,A676,"")</f>
        <v/>
      </c>
      <c r="I676" s="7" t="n">
        <f aca="false">IF(F676&lt;0,A676,0)</f>
        <v>671</v>
      </c>
      <c r="J676" s="7" t="str">
        <f aca="false">IF(G676&gt;=0,A676,"")</f>
        <v/>
      </c>
      <c r="K676" s="7" t="n">
        <f aca="false">IF(G676&lt;0,A676,0)</f>
        <v>671</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716380280</v>
      </c>
      <c r="D677" s="25" t="n">
        <f aca="false">('Chi phí'!$C$77+'Chi phí'!$D$77*B677+'Chi phí'!$E$77*A677+'Giả định'!$B$15*('Chi phí'!$F$77+'Chi phí'!$G$77*B677+'Chi phí'!$H$77*A677))*(1+'Giả định'!$B$16)</f>
        <v>859985280</v>
      </c>
      <c r="E677" s="25" t="n">
        <f aca="false">A677/'Giả định'!$B$19*'Giả định'!$B$20+A677*'Giả định'!$B$23+'Giả định'!$B$24</f>
        <v>250164705.882353</v>
      </c>
      <c r="F677" s="25" t="n">
        <f aca="false">E677-D677</f>
        <v>-609820574.117647</v>
      </c>
      <c r="G677" s="25" t="n">
        <f aca="false">E677-C677</f>
        <v>-466215574.117647</v>
      </c>
      <c r="H677" s="7" t="str">
        <f aca="false">IF(F677&gt;=0,A677,"")</f>
        <v/>
      </c>
      <c r="I677" s="7" t="n">
        <f aca="false">IF(F677&lt;0,A677,0)</f>
        <v>672</v>
      </c>
      <c r="J677" s="7" t="str">
        <f aca="false">IF(G677&gt;=0,A677,"")</f>
        <v/>
      </c>
      <c r="K677" s="7" t="n">
        <f aca="false">IF(G677&lt;0,A677,0)</f>
        <v>672</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716417020</v>
      </c>
      <c r="D678" s="25" t="n">
        <f aca="false">('Chi phí'!$C$77+'Chi phí'!$D$77*B678+'Chi phí'!$E$77*A678+'Giả định'!$B$15*('Chi phí'!$F$77+'Chi phí'!$G$77*B678+'Chi phí'!$H$77*A678))*(1+'Giả định'!$B$16)</f>
        <v>860022020</v>
      </c>
      <c r="E678" s="25" t="n">
        <f aca="false">A678/'Giả định'!$B$19*'Giả định'!$B$20+A678*'Giả định'!$B$23+'Giả định'!$B$24</f>
        <v>250536974.789916</v>
      </c>
      <c r="F678" s="25" t="n">
        <f aca="false">E678-D678</f>
        <v>-609485045.210084</v>
      </c>
      <c r="G678" s="25" t="n">
        <f aca="false">E678-C678</f>
        <v>-465880045.210084</v>
      </c>
      <c r="H678" s="7" t="str">
        <f aca="false">IF(F678&gt;=0,A678,"")</f>
        <v/>
      </c>
      <c r="I678" s="7" t="n">
        <f aca="false">IF(F678&lt;0,A678,0)</f>
        <v>673</v>
      </c>
      <c r="J678" s="7" t="str">
        <f aca="false">IF(G678&gt;=0,A678,"")</f>
        <v/>
      </c>
      <c r="K678" s="7" t="n">
        <f aca="false">IF(G678&lt;0,A678,0)</f>
        <v>673</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716453760</v>
      </c>
      <c r="D679" s="25" t="n">
        <f aca="false">('Chi phí'!$C$77+'Chi phí'!$D$77*B679+'Chi phí'!$E$77*A679+'Giả định'!$B$15*('Chi phí'!$F$77+'Chi phí'!$G$77*B679+'Chi phí'!$H$77*A679))*(1+'Giả định'!$B$16)</f>
        <v>860058760</v>
      </c>
      <c r="E679" s="25" t="n">
        <f aca="false">A679/'Giả định'!$B$19*'Giả định'!$B$20+A679*'Giả định'!$B$23+'Giả định'!$B$24</f>
        <v>250909243.697479</v>
      </c>
      <c r="F679" s="25" t="n">
        <f aca="false">E679-D679</f>
        <v>-609149516.302521</v>
      </c>
      <c r="G679" s="25" t="n">
        <f aca="false">E679-C679</f>
        <v>-465544516.302521</v>
      </c>
      <c r="H679" s="7" t="str">
        <f aca="false">IF(F679&gt;=0,A679,"")</f>
        <v/>
      </c>
      <c r="I679" s="7" t="n">
        <f aca="false">IF(F679&lt;0,A679,0)</f>
        <v>674</v>
      </c>
      <c r="J679" s="7" t="str">
        <f aca="false">IF(G679&gt;=0,A679,"")</f>
        <v/>
      </c>
      <c r="K679" s="7" t="n">
        <f aca="false">IF(G679&lt;0,A679,0)</f>
        <v>674</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716490500</v>
      </c>
      <c r="D680" s="25" t="n">
        <f aca="false">('Chi phí'!$C$77+'Chi phí'!$D$77*B680+'Chi phí'!$E$77*A680+'Giả định'!$B$15*('Chi phí'!$F$77+'Chi phí'!$G$77*B680+'Chi phí'!$H$77*A680))*(1+'Giả định'!$B$16)</f>
        <v>860095500</v>
      </c>
      <c r="E680" s="25" t="n">
        <f aca="false">A680/'Giả định'!$B$19*'Giả định'!$B$20+A680*'Giả định'!$B$23+'Giả định'!$B$24</f>
        <v>251281512.605042</v>
      </c>
      <c r="F680" s="25" t="n">
        <f aca="false">E680-D680</f>
        <v>-608813987.394958</v>
      </c>
      <c r="G680" s="25" t="n">
        <f aca="false">E680-C680</f>
        <v>-465208987.394958</v>
      </c>
      <c r="H680" s="7" t="str">
        <f aca="false">IF(F680&gt;=0,A680,"")</f>
        <v/>
      </c>
      <c r="I680" s="7" t="n">
        <f aca="false">IF(F680&lt;0,A680,0)</f>
        <v>675</v>
      </c>
      <c r="J680" s="7" t="str">
        <f aca="false">IF(G680&gt;=0,A680,"")</f>
        <v/>
      </c>
      <c r="K680" s="7" t="n">
        <f aca="false">IF(G680&lt;0,A680,0)</f>
        <v>675</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716527240</v>
      </c>
      <c r="D681" s="25" t="n">
        <f aca="false">('Chi phí'!$C$77+'Chi phí'!$D$77*B681+'Chi phí'!$E$77*A681+'Giả định'!$B$15*('Chi phí'!$F$77+'Chi phí'!$G$77*B681+'Chi phí'!$H$77*A681))*(1+'Giả định'!$B$16)</f>
        <v>860132240</v>
      </c>
      <c r="E681" s="25" t="n">
        <f aca="false">A681/'Giả định'!$B$19*'Giả định'!$B$20+A681*'Giả định'!$B$23+'Giả định'!$B$24</f>
        <v>251653781.512605</v>
      </c>
      <c r="F681" s="25" t="n">
        <f aca="false">E681-D681</f>
        <v>-608478458.487395</v>
      </c>
      <c r="G681" s="25" t="n">
        <f aca="false">E681-C681</f>
        <v>-464873458.487395</v>
      </c>
      <c r="H681" s="7" t="str">
        <f aca="false">IF(F681&gt;=0,A681,"")</f>
        <v/>
      </c>
      <c r="I681" s="7" t="n">
        <f aca="false">IF(F681&lt;0,A681,0)</f>
        <v>676</v>
      </c>
      <c r="J681" s="7" t="str">
        <f aca="false">IF(G681&gt;=0,A681,"")</f>
        <v/>
      </c>
      <c r="K681" s="7" t="n">
        <f aca="false">IF(G681&lt;0,A681,0)</f>
        <v>676</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716563980</v>
      </c>
      <c r="D682" s="25" t="n">
        <f aca="false">('Chi phí'!$C$77+'Chi phí'!$D$77*B682+'Chi phí'!$E$77*A682+'Giả định'!$B$15*('Chi phí'!$F$77+'Chi phí'!$G$77*B682+'Chi phí'!$H$77*A682))*(1+'Giả định'!$B$16)</f>
        <v>860168980</v>
      </c>
      <c r="E682" s="25" t="n">
        <f aca="false">A682/'Giả định'!$B$19*'Giả định'!$B$20+A682*'Giả định'!$B$23+'Giả định'!$B$24</f>
        <v>252026050.420168</v>
      </c>
      <c r="F682" s="25" t="n">
        <f aca="false">E682-D682</f>
        <v>-608142929.579832</v>
      </c>
      <c r="G682" s="25" t="n">
        <f aca="false">E682-C682</f>
        <v>-464537929.579832</v>
      </c>
      <c r="H682" s="7" t="str">
        <f aca="false">IF(F682&gt;=0,A682,"")</f>
        <v/>
      </c>
      <c r="I682" s="7" t="n">
        <f aca="false">IF(F682&lt;0,A682,0)</f>
        <v>677</v>
      </c>
      <c r="J682" s="7" t="str">
        <f aca="false">IF(G682&gt;=0,A682,"")</f>
        <v/>
      </c>
      <c r="K682" s="7" t="n">
        <f aca="false">IF(G682&lt;0,A682,0)</f>
        <v>677</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716600720</v>
      </c>
      <c r="D683" s="25" t="n">
        <f aca="false">('Chi phí'!$C$77+'Chi phí'!$D$77*B683+'Chi phí'!$E$77*A683+'Giả định'!$B$15*('Chi phí'!$F$77+'Chi phí'!$G$77*B683+'Chi phí'!$H$77*A683))*(1+'Giả định'!$B$16)</f>
        <v>860205720</v>
      </c>
      <c r="E683" s="25" t="n">
        <f aca="false">A683/'Giả định'!$B$19*'Giả định'!$B$20+A683*'Giả định'!$B$23+'Giả định'!$B$24</f>
        <v>252398319.327731</v>
      </c>
      <c r="F683" s="25" t="n">
        <f aca="false">E683-D683</f>
        <v>-607807400.672269</v>
      </c>
      <c r="G683" s="25" t="n">
        <f aca="false">E683-C683</f>
        <v>-464202400.672269</v>
      </c>
      <c r="H683" s="7" t="str">
        <f aca="false">IF(F683&gt;=0,A683,"")</f>
        <v/>
      </c>
      <c r="I683" s="7" t="n">
        <f aca="false">IF(F683&lt;0,A683,0)</f>
        <v>678</v>
      </c>
      <c r="J683" s="7" t="str">
        <f aca="false">IF(G683&gt;=0,A683,"")</f>
        <v/>
      </c>
      <c r="K683" s="7" t="n">
        <f aca="false">IF(G683&lt;0,A683,0)</f>
        <v>678</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716637460</v>
      </c>
      <c r="D684" s="25" t="n">
        <f aca="false">('Chi phí'!$C$77+'Chi phí'!$D$77*B684+'Chi phí'!$E$77*A684+'Giả định'!$B$15*('Chi phí'!$F$77+'Chi phí'!$G$77*B684+'Chi phí'!$H$77*A684))*(1+'Giả định'!$B$16)</f>
        <v>860242460</v>
      </c>
      <c r="E684" s="25" t="n">
        <f aca="false">A684/'Giả định'!$B$19*'Giả định'!$B$20+A684*'Giả định'!$B$23+'Giả định'!$B$24</f>
        <v>252770588.235294</v>
      </c>
      <c r="F684" s="25" t="n">
        <f aca="false">E684-D684</f>
        <v>-607471871.764706</v>
      </c>
      <c r="G684" s="25" t="n">
        <f aca="false">E684-C684</f>
        <v>-463866871.764706</v>
      </c>
      <c r="H684" s="7" t="str">
        <f aca="false">IF(F684&gt;=0,A684,"")</f>
        <v/>
      </c>
      <c r="I684" s="7" t="n">
        <f aca="false">IF(F684&lt;0,A684,0)</f>
        <v>679</v>
      </c>
      <c r="J684" s="7" t="str">
        <f aca="false">IF(G684&gt;=0,A684,"")</f>
        <v/>
      </c>
      <c r="K684" s="7" t="n">
        <f aca="false">IF(G684&lt;0,A684,0)</f>
        <v>679</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716674200</v>
      </c>
      <c r="D685" s="25" t="n">
        <f aca="false">('Chi phí'!$C$77+'Chi phí'!$D$77*B685+'Chi phí'!$E$77*A685+'Giả định'!$B$15*('Chi phí'!$F$77+'Chi phí'!$G$77*B685+'Chi phí'!$H$77*A685))*(1+'Giả định'!$B$16)</f>
        <v>860279200</v>
      </c>
      <c r="E685" s="25" t="n">
        <f aca="false">A685/'Giả định'!$B$19*'Giả định'!$B$20+A685*'Giả định'!$B$23+'Giả định'!$B$24</f>
        <v>253142857.142857</v>
      </c>
      <c r="F685" s="25" t="n">
        <f aca="false">E685-D685</f>
        <v>-607136342.857143</v>
      </c>
      <c r="G685" s="25" t="n">
        <f aca="false">E685-C685</f>
        <v>-463531342.857143</v>
      </c>
      <c r="H685" s="7" t="str">
        <f aca="false">IF(F685&gt;=0,A685,"")</f>
        <v/>
      </c>
      <c r="I685" s="7" t="n">
        <f aca="false">IF(F685&lt;0,A685,0)</f>
        <v>680</v>
      </c>
      <c r="J685" s="7" t="str">
        <f aca="false">IF(G685&gt;=0,A685,"")</f>
        <v/>
      </c>
      <c r="K685" s="7" t="n">
        <f aca="false">IF(G685&lt;0,A685,0)</f>
        <v>680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725884940</v>
      </c>
      <c r="D686" s="25" t="n">
        <f aca="false">('Chi phí'!$C$77+'Chi phí'!$D$77*B686+'Chi phí'!$E$77*A686+'Giả định'!$B$15*('Chi phí'!$F$77+'Chi phí'!$G$77*B686+'Chi phí'!$H$77*A686))*(1+'Giả định'!$B$16)</f>
        <v>869489940</v>
      </c>
      <c r="E686" s="25" t="n">
        <f aca="false">A686/'Giả định'!$B$19*'Giả định'!$B$20+A686*'Giả định'!$B$23+'Giả định'!$B$24</f>
        <v>253515126.05042</v>
      </c>
      <c r="F686" s="25" t="n">
        <f aca="false">E686-D686</f>
        <v>-615974813.94958</v>
      </c>
      <c r="G686" s="25" t="n">
        <f aca="false">E686-C686</f>
        <v>-472369813.94958</v>
      </c>
      <c r="H686" s="7" t="str">
        <f aca="false">IF(F686&gt;=0,A686,"")</f>
        <v/>
      </c>
      <c r="I686" s="7" t="n">
        <f aca="false">IF(F686&lt;0,A686,0)</f>
        <v>681</v>
      </c>
      <c r="J686" s="7" t="str">
        <f aca="false">IF(G686&gt;=0,A686,"")</f>
        <v/>
      </c>
      <c r="K686" s="7" t="n">
        <f aca="false">IF(G686&lt;0,A686,0)</f>
        <v>681</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725921680</v>
      </c>
      <c r="D687" s="25" t="n">
        <f aca="false">('Chi phí'!$C$77+'Chi phí'!$D$77*B687+'Chi phí'!$E$77*A687+'Giả định'!$B$15*('Chi phí'!$F$77+'Chi phí'!$G$77*B687+'Chi phí'!$H$77*A687))*(1+'Giả định'!$B$16)</f>
        <v>869526680</v>
      </c>
      <c r="E687" s="25" t="n">
        <f aca="false">A687/'Giả định'!$B$19*'Giả định'!$B$20+A687*'Giả định'!$B$23+'Giả định'!$B$24</f>
        <v>253887394.957983</v>
      </c>
      <c r="F687" s="25" t="n">
        <f aca="false">E687-D687</f>
        <v>-615639285.042017</v>
      </c>
      <c r="G687" s="25" t="n">
        <f aca="false">E687-C687</f>
        <v>-472034285.042017</v>
      </c>
      <c r="H687" s="7" t="str">
        <f aca="false">IF(F687&gt;=0,A687,"")</f>
        <v/>
      </c>
      <c r="I687" s="7" t="n">
        <f aca="false">IF(F687&lt;0,A687,0)</f>
        <v>682</v>
      </c>
      <c r="J687" s="7" t="str">
        <f aca="false">IF(G687&gt;=0,A687,"")</f>
        <v/>
      </c>
      <c r="K687" s="7" t="n">
        <f aca="false">IF(G687&lt;0,A687,0)</f>
        <v>682</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725958420</v>
      </c>
      <c r="D688" s="25" t="n">
        <f aca="false">('Chi phí'!$C$77+'Chi phí'!$D$77*B688+'Chi phí'!$E$77*A688+'Giả định'!$B$15*('Chi phí'!$F$77+'Chi phí'!$G$77*B688+'Chi phí'!$H$77*A688))*(1+'Giả định'!$B$16)</f>
        <v>869563420</v>
      </c>
      <c r="E688" s="25" t="n">
        <f aca="false">A688/'Giả định'!$B$19*'Giả định'!$B$20+A688*'Giả định'!$B$23+'Giả định'!$B$24</f>
        <v>254259663.865546</v>
      </c>
      <c r="F688" s="25" t="n">
        <f aca="false">E688-D688</f>
        <v>-615303756.134454</v>
      </c>
      <c r="G688" s="25" t="n">
        <f aca="false">E688-C688</f>
        <v>-471698756.134454</v>
      </c>
      <c r="H688" s="7" t="str">
        <f aca="false">IF(F688&gt;=0,A688,"")</f>
        <v/>
      </c>
      <c r="I688" s="7" t="n">
        <f aca="false">IF(F688&lt;0,A688,0)</f>
        <v>683</v>
      </c>
      <c r="J688" s="7" t="str">
        <f aca="false">IF(G688&gt;=0,A688,"")</f>
        <v/>
      </c>
      <c r="K688" s="7" t="n">
        <f aca="false">IF(G688&lt;0,A688,0)</f>
        <v>683</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725995160</v>
      </c>
      <c r="D689" s="25" t="n">
        <f aca="false">('Chi phí'!$C$77+'Chi phí'!$D$77*B689+'Chi phí'!$E$77*A689+'Giả định'!$B$15*('Chi phí'!$F$77+'Chi phí'!$G$77*B689+'Chi phí'!$H$77*A689))*(1+'Giả định'!$B$16)</f>
        <v>869600160</v>
      </c>
      <c r="E689" s="25" t="n">
        <f aca="false">A689/'Giả định'!$B$19*'Giả định'!$B$20+A689*'Giả định'!$B$23+'Giả định'!$B$24</f>
        <v>254631932.773109</v>
      </c>
      <c r="F689" s="25" t="n">
        <f aca="false">E689-D689</f>
        <v>-614968227.226891</v>
      </c>
      <c r="G689" s="25" t="n">
        <f aca="false">E689-C689</f>
        <v>-471363227.226891</v>
      </c>
      <c r="H689" s="7" t="str">
        <f aca="false">IF(F689&gt;=0,A689,"")</f>
        <v/>
      </c>
      <c r="I689" s="7" t="n">
        <f aca="false">IF(F689&lt;0,A689,0)</f>
        <v>684</v>
      </c>
      <c r="J689" s="7" t="str">
        <f aca="false">IF(G689&gt;=0,A689,"")</f>
        <v/>
      </c>
      <c r="K689" s="7" t="n">
        <f aca="false">IF(G689&lt;0,A689,0)</f>
        <v>684</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726031900</v>
      </c>
      <c r="D690" s="25" t="n">
        <f aca="false">('Chi phí'!$C$77+'Chi phí'!$D$77*B690+'Chi phí'!$E$77*A690+'Giả định'!$B$15*('Chi phí'!$F$77+'Chi phí'!$G$77*B690+'Chi phí'!$H$77*A690))*(1+'Giả định'!$B$16)</f>
        <v>869636900</v>
      </c>
      <c r="E690" s="25" t="n">
        <f aca="false">A690/'Giả định'!$B$19*'Giả định'!$B$20+A690*'Giả định'!$B$23+'Giả định'!$B$24</f>
        <v>255004201.680672</v>
      </c>
      <c r="F690" s="25" t="n">
        <f aca="false">E690-D690</f>
        <v>-614632698.319328</v>
      </c>
      <c r="G690" s="25" t="n">
        <f aca="false">E690-C690</f>
        <v>-471027698.319328</v>
      </c>
      <c r="H690" s="7" t="str">
        <f aca="false">IF(F690&gt;=0,A690,"")</f>
        <v/>
      </c>
      <c r="I690" s="7" t="n">
        <f aca="false">IF(F690&lt;0,A690,0)</f>
        <v>685</v>
      </c>
      <c r="J690" s="7" t="str">
        <f aca="false">IF(G690&gt;=0,A690,"")</f>
        <v/>
      </c>
      <c r="K690" s="7" t="n">
        <f aca="false">IF(G690&lt;0,A690,0)</f>
        <v>685</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726068640</v>
      </c>
      <c r="D691" s="25" t="n">
        <f aca="false">('Chi phí'!$C$77+'Chi phí'!$D$77*B691+'Chi phí'!$E$77*A691+'Giả định'!$B$15*('Chi phí'!$F$77+'Chi phí'!$G$77*B691+'Chi phí'!$H$77*A691))*(1+'Giả định'!$B$16)</f>
        <v>869673640</v>
      </c>
      <c r="E691" s="25" t="n">
        <f aca="false">A691/'Giả định'!$B$19*'Giả định'!$B$20+A691*'Giả định'!$B$23+'Giả định'!$B$24</f>
        <v>255376470.588235</v>
      </c>
      <c r="F691" s="25" t="n">
        <f aca="false">E691-D691</f>
        <v>-614297169.411765</v>
      </c>
      <c r="G691" s="25" t="n">
        <f aca="false">E691-C691</f>
        <v>-470692169.411765</v>
      </c>
      <c r="H691" s="7" t="str">
        <f aca="false">IF(F691&gt;=0,A691,"")</f>
        <v/>
      </c>
      <c r="I691" s="7" t="n">
        <f aca="false">IF(F691&lt;0,A691,0)</f>
        <v>686</v>
      </c>
      <c r="J691" s="7" t="str">
        <f aca="false">IF(G691&gt;=0,A691,"")</f>
        <v/>
      </c>
      <c r="K691" s="7" t="n">
        <f aca="false">IF(G691&lt;0,A691,0)</f>
        <v>686</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726105380</v>
      </c>
      <c r="D692" s="25" t="n">
        <f aca="false">('Chi phí'!$C$77+'Chi phí'!$D$77*B692+'Chi phí'!$E$77*A692+'Giả định'!$B$15*('Chi phí'!$F$77+'Chi phí'!$G$77*B692+'Chi phí'!$H$77*A692))*(1+'Giả định'!$B$16)</f>
        <v>869710380</v>
      </c>
      <c r="E692" s="25" t="n">
        <f aca="false">A692/'Giả định'!$B$19*'Giả định'!$B$20+A692*'Giả định'!$B$23+'Giả định'!$B$24</f>
        <v>255748739.495798</v>
      </c>
      <c r="F692" s="25" t="n">
        <f aca="false">E692-D692</f>
        <v>-613961640.504202</v>
      </c>
      <c r="G692" s="25" t="n">
        <f aca="false">E692-C692</f>
        <v>-470356640.504202</v>
      </c>
      <c r="H692" s="7" t="str">
        <f aca="false">IF(F692&gt;=0,A692,"")</f>
        <v/>
      </c>
      <c r="I692" s="7" t="n">
        <f aca="false">IF(F692&lt;0,A692,0)</f>
        <v>687</v>
      </c>
      <c r="J692" s="7" t="str">
        <f aca="false">IF(G692&gt;=0,A692,"")</f>
        <v/>
      </c>
      <c r="K692" s="7" t="n">
        <f aca="false">IF(G692&lt;0,A692,0)</f>
        <v>687</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726142120</v>
      </c>
      <c r="D693" s="25" t="n">
        <f aca="false">('Chi phí'!$C$77+'Chi phí'!$D$77*B693+'Chi phí'!$E$77*A693+'Giả định'!$B$15*('Chi phí'!$F$77+'Chi phí'!$G$77*B693+'Chi phí'!$H$77*A693))*(1+'Giả định'!$B$16)</f>
        <v>869747120</v>
      </c>
      <c r="E693" s="25" t="n">
        <f aca="false">A693/'Giả định'!$B$19*'Giả định'!$B$20+A693*'Giả định'!$B$23+'Giả định'!$B$24</f>
        <v>256121008.403361</v>
      </c>
      <c r="F693" s="25" t="n">
        <f aca="false">E693-D693</f>
        <v>-613626111.596639</v>
      </c>
      <c r="G693" s="25" t="n">
        <f aca="false">E693-C693</f>
        <v>-470021111.596639</v>
      </c>
      <c r="H693" s="7" t="str">
        <f aca="false">IF(F693&gt;=0,A693,"")</f>
        <v/>
      </c>
      <c r="I693" s="7" t="n">
        <f aca="false">IF(F693&lt;0,A693,0)</f>
        <v>688</v>
      </c>
      <c r="J693" s="7" t="str">
        <f aca="false">IF(G693&gt;=0,A693,"")</f>
        <v/>
      </c>
      <c r="K693" s="7" t="n">
        <f aca="false">IF(G693&lt;0,A693,0)</f>
        <v>688</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726178860</v>
      </c>
      <c r="D694" s="25" t="n">
        <f aca="false">('Chi phí'!$C$77+'Chi phí'!$D$77*B694+'Chi phí'!$E$77*A694+'Giả định'!$B$15*('Chi phí'!$F$77+'Chi phí'!$G$77*B694+'Chi phí'!$H$77*A694))*(1+'Giả định'!$B$16)</f>
        <v>869783860</v>
      </c>
      <c r="E694" s="25" t="n">
        <f aca="false">A694/'Giả định'!$B$19*'Giả định'!$B$20+A694*'Giả định'!$B$23+'Giả định'!$B$24</f>
        <v>256493277.310924</v>
      </c>
      <c r="F694" s="25" t="n">
        <f aca="false">E694-D694</f>
        <v>-613290582.689076</v>
      </c>
      <c r="G694" s="25" t="n">
        <f aca="false">E694-C694</f>
        <v>-469685582.689076</v>
      </c>
      <c r="H694" s="7" t="str">
        <f aca="false">IF(F694&gt;=0,A694,"")</f>
        <v/>
      </c>
      <c r="I694" s="7" t="n">
        <f aca="false">IF(F694&lt;0,A694,0)</f>
        <v>689</v>
      </c>
      <c r="J694" s="7" t="str">
        <f aca="false">IF(G694&gt;=0,A694,"")</f>
        <v/>
      </c>
      <c r="K694" s="7" t="n">
        <f aca="false">IF(G694&lt;0,A694,0)</f>
        <v>689</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726215600</v>
      </c>
      <c r="D695" s="25" t="n">
        <f aca="false">('Chi phí'!$C$77+'Chi phí'!$D$77*B695+'Chi phí'!$E$77*A695+'Giả định'!$B$15*('Chi phí'!$F$77+'Chi phí'!$G$77*B695+'Chi phí'!$H$77*A695))*(1+'Giả định'!$B$16)</f>
        <v>869820600</v>
      </c>
      <c r="E695" s="25" t="n">
        <f aca="false">A695/'Giả định'!$B$19*'Giả định'!$B$20+A695*'Giả định'!$B$23+'Giả định'!$B$24</f>
        <v>256865546.218487</v>
      </c>
      <c r="F695" s="25" t="n">
        <f aca="false">E695-D695</f>
        <v>-612955053.781513</v>
      </c>
      <c r="G695" s="25" t="n">
        <f aca="false">E695-C695</f>
        <v>-469350053.781513</v>
      </c>
      <c r="H695" s="7" t="str">
        <f aca="false">IF(F695&gt;=0,A695,"")</f>
        <v/>
      </c>
      <c r="I695" s="7" t="n">
        <f aca="false">IF(F695&lt;0,A695,0)</f>
        <v>690</v>
      </c>
      <c r="J695" s="7" t="str">
        <f aca="false">IF(G695&gt;=0,A695,"")</f>
        <v/>
      </c>
      <c r="K695" s="7" t="n">
        <f aca="false">IF(G695&lt;0,A695,0)</f>
        <v>690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735426340</v>
      </c>
      <c r="D696" s="25" t="n">
        <f aca="false">('Chi phí'!$C$77+'Chi phí'!$D$77*B696+'Chi phí'!$E$77*A696+'Giả định'!$B$15*('Chi phí'!$F$77+'Chi phí'!$G$77*B696+'Chi phí'!$H$77*A696))*(1+'Giả định'!$B$16)</f>
        <v>879031340</v>
      </c>
      <c r="E696" s="25" t="n">
        <f aca="false">A696/'Giả định'!$B$19*'Giả định'!$B$20+A696*'Giả định'!$B$23+'Giả định'!$B$24</f>
        <v>257237815.12605</v>
      </c>
      <c r="F696" s="25" t="n">
        <f aca="false">E696-D696</f>
        <v>-621793524.87395</v>
      </c>
      <c r="G696" s="25" t="n">
        <f aca="false">E696-C696</f>
        <v>-478188524.87395</v>
      </c>
      <c r="H696" s="7" t="str">
        <f aca="false">IF(F696&gt;=0,A696,"")</f>
        <v/>
      </c>
      <c r="I696" s="7" t="n">
        <f aca="false">IF(F696&lt;0,A696,0)</f>
        <v>691</v>
      </c>
      <c r="J696" s="7" t="str">
        <f aca="false">IF(G696&gt;=0,A696,"")</f>
        <v/>
      </c>
      <c r="K696" s="7" t="n">
        <f aca="false">IF(G696&lt;0,A696,0)</f>
        <v>691</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735463080</v>
      </c>
      <c r="D697" s="25" t="n">
        <f aca="false">('Chi phí'!$C$77+'Chi phí'!$D$77*B697+'Chi phí'!$E$77*A697+'Giả định'!$B$15*('Chi phí'!$F$77+'Chi phí'!$G$77*B697+'Chi phí'!$H$77*A697))*(1+'Giả định'!$B$16)</f>
        <v>879068080</v>
      </c>
      <c r="E697" s="25" t="n">
        <f aca="false">A697/'Giả định'!$B$19*'Giả định'!$B$20+A697*'Giả định'!$B$23+'Giả định'!$B$24</f>
        <v>257610084.033613</v>
      </c>
      <c r="F697" s="25" t="n">
        <f aca="false">E697-D697</f>
        <v>-621457995.966387</v>
      </c>
      <c r="G697" s="25" t="n">
        <f aca="false">E697-C697</f>
        <v>-477852995.966387</v>
      </c>
      <c r="H697" s="7" t="str">
        <f aca="false">IF(F697&gt;=0,A697,"")</f>
        <v/>
      </c>
      <c r="I697" s="7" t="n">
        <f aca="false">IF(F697&lt;0,A697,0)</f>
        <v>692</v>
      </c>
      <c r="J697" s="7" t="str">
        <f aca="false">IF(G697&gt;=0,A697,"")</f>
        <v/>
      </c>
      <c r="K697" s="7" t="n">
        <f aca="false">IF(G697&lt;0,A697,0)</f>
        <v>692</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735499820</v>
      </c>
      <c r="D698" s="25" t="n">
        <f aca="false">('Chi phí'!$C$77+'Chi phí'!$D$77*B698+'Chi phí'!$E$77*A698+'Giả định'!$B$15*('Chi phí'!$F$77+'Chi phí'!$G$77*B698+'Chi phí'!$H$77*A698))*(1+'Giả định'!$B$16)</f>
        <v>879104820</v>
      </c>
      <c r="E698" s="25" t="n">
        <f aca="false">A698/'Giả định'!$B$19*'Giả định'!$B$20+A698*'Giả định'!$B$23+'Giả định'!$B$24</f>
        <v>257982352.941177</v>
      </c>
      <c r="F698" s="25" t="n">
        <f aca="false">E698-D698</f>
        <v>-621122467.058824</v>
      </c>
      <c r="G698" s="25" t="n">
        <f aca="false">E698-C698</f>
        <v>-477517467.058823</v>
      </c>
      <c r="H698" s="7" t="str">
        <f aca="false">IF(F698&gt;=0,A698,"")</f>
        <v/>
      </c>
      <c r="I698" s="7" t="n">
        <f aca="false">IF(F698&lt;0,A698,0)</f>
        <v>693</v>
      </c>
      <c r="J698" s="7" t="str">
        <f aca="false">IF(G698&gt;=0,A698,"")</f>
        <v/>
      </c>
      <c r="K698" s="7" t="n">
        <f aca="false">IF(G698&lt;0,A698,0)</f>
        <v>693</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735536560</v>
      </c>
      <c r="D699" s="25" t="n">
        <f aca="false">('Chi phí'!$C$77+'Chi phí'!$D$77*B699+'Chi phí'!$E$77*A699+'Giả định'!$B$15*('Chi phí'!$F$77+'Chi phí'!$G$77*B699+'Chi phí'!$H$77*A699))*(1+'Giả định'!$B$16)</f>
        <v>879141560</v>
      </c>
      <c r="E699" s="25" t="n">
        <f aca="false">A699/'Giả định'!$B$19*'Giả định'!$B$20+A699*'Giả định'!$B$23+'Giả định'!$B$24</f>
        <v>258354621.84874</v>
      </c>
      <c r="F699" s="25" t="n">
        <f aca="false">E699-D699</f>
        <v>-620786938.151261</v>
      </c>
      <c r="G699" s="25" t="n">
        <f aca="false">E699-C699</f>
        <v>-477181938.151261</v>
      </c>
      <c r="H699" s="7" t="str">
        <f aca="false">IF(F699&gt;=0,A699,"")</f>
        <v/>
      </c>
      <c r="I699" s="7" t="n">
        <f aca="false">IF(F699&lt;0,A699,0)</f>
        <v>694</v>
      </c>
      <c r="J699" s="7" t="str">
        <f aca="false">IF(G699&gt;=0,A699,"")</f>
        <v/>
      </c>
      <c r="K699" s="7" t="n">
        <f aca="false">IF(G699&lt;0,A699,0)</f>
        <v>694</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735573300</v>
      </c>
      <c r="D700" s="25" t="n">
        <f aca="false">('Chi phí'!$C$77+'Chi phí'!$D$77*B700+'Chi phí'!$E$77*A700+'Giả định'!$B$15*('Chi phí'!$F$77+'Chi phí'!$G$77*B700+'Chi phí'!$H$77*A700))*(1+'Giả định'!$B$16)</f>
        <v>879178300</v>
      </c>
      <c r="E700" s="25" t="n">
        <f aca="false">A700/'Giả định'!$B$19*'Giả định'!$B$20+A700*'Giả định'!$B$23+'Giả định'!$B$24</f>
        <v>258726890.756303</v>
      </c>
      <c r="F700" s="25" t="n">
        <f aca="false">E700-D700</f>
        <v>-620451409.243698</v>
      </c>
      <c r="G700" s="25" t="n">
        <f aca="false">E700-C700</f>
        <v>-476846409.243697</v>
      </c>
      <c r="H700" s="7" t="str">
        <f aca="false">IF(F700&gt;=0,A700,"")</f>
        <v/>
      </c>
      <c r="I700" s="7" t="n">
        <f aca="false">IF(F700&lt;0,A700,0)</f>
        <v>695</v>
      </c>
      <c r="J700" s="7" t="str">
        <f aca="false">IF(G700&gt;=0,A700,"")</f>
        <v/>
      </c>
      <c r="K700" s="7" t="n">
        <f aca="false">IF(G700&lt;0,A700,0)</f>
        <v>695</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735610040</v>
      </c>
      <c r="D701" s="25" t="n">
        <f aca="false">('Chi phí'!$C$77+'Chi phí'!$D$77*B701+'Chi phí'!$E$77*A701+'Giả định'!$B$15*('Chi phí'!$F$77+'Chi phí'!$G$77*B701+'Chi phí'!$H$77*A701))*(1+'Giả định'!$B$16)</f>
        <v>879215040</v>
      </c>
      <c r="E701" s="25" t="n">
        <f aca="false">A701/'Giả định'!$B$19*'Giả định'!$B$20+A701*'Giả định'!$B$23+'Giả định'!$B$24</f>
        <v>259099159.663866</v>
      </c>
      <c r="F701" s="25" t="n">
        <f aca="false">E701-D701</f>
        <v>-620115880.336135</v>
      </c>
      <c r="G701" s="25" t="n">
        <f aca="false">E701-C701</f>
        <v>-476510880.336134</v>
      </c>
      <c r="H701" s="7" t="str">
        <f aca="false">IF(F701&gt;=0,A701,"")</f>
        <v/>
      </c>
      <c r="I701" s="7" t="n">
        <f aca="false">IF(F701&lt;0,A701,0)</f>
        <v>696</v>
      </c>
      <c r="J701" s="7" t="str">
        <f aca="false">IF(G701&gt;=0,A701,"")</f>
        <v/>
      </c>
      <c r="K701" s="7" t="n">
        <f aca="false">IF(G701&lt;0,A701,0)</f>
        <v>696</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735646780</v>
      </c>
      <c r="D702" s="25" t="n">
        <f aca="false">('Chi phí'!$C$77+'Chi phí'!$D$77*B702+'Chi phí'!$E$77*A702+'Giả định'!$B$15*('Chi phí'!$F$77+'Chi phí'!$G$77*B702+'Chi phí'!$H$77*A702))*(1+'Giả định'!$B$16)</f>
        <v>879251780</v>
      </c>
      <c r="E702" s="25" t="n">
        <f aca="false">A702/'Giả định'!$B$19*'Giả định'!$B$20+A702*'Giả định'!$B$23+'Giả định'!$B$24</f>
        <v>259471428.571429</v>
      </c>
      <c r="F702" s="25" t="n">
        <f aca="false">E702-D702</f>
        <v>-619780351.428572</v>
      </c>
      <c r="G702" s="25" t="n">
        <f aca="false">E702-C702</f>
        <v>-476175351.428571</v>
      </c>
      <c r="H702" s="7" t="str">
        <f aca="false">IF(F702&gt;=0,A702,"")</f>
        <v/>
      </c>
      <c r="I702" s="7" t="n">
        <f aca="false">IF(F702&lt;0,A702,0)</f>
        <v>697</v>
      </c>
      <c r="J702" s="7" t="str">
        <f aca="false">IF(G702&gt;=0,A702,"")</f>
        <v/>
      </c>
      <c r="K702" s="7" t="n">
        <f aca="false">IF(G702&lt;0,A702,0)</f>
        <v>697</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735683520</v>
      </c>
      <c r="D703" s="25" t="n">
        <f aca="false">('Chi phí'!$C$77+'Chi phí'!$D$77*B703+'Chi phí'!$E$77*A703+'Giả định'!$B$15*('Chi phí'!$F$77+'Chi phí'!$G$77*B703+'Chi phí'!$H$77*A703))*(1+'Giả định'!$B$16)</f>
        <v>879288520</v>
      </c>
      <c r="E703" s="25" t="n">
        <f aca="false">A703/'Giả định'!$B$19*'Giả định'!$B$20+A703*'Giả định'!$B$23+'Giả định'!$B$24</f>
        <v>259843697.478992</v>
      </c>
      <c r="F703" s="25" t="n">
        <f aca="false">E703-D703</f>
        <v>-619444822.521009</v>
      </c>
      <c r="G703" s="25" t="n">
        <f aca="false">E703-C703</f>
        <v>-475839822.521008</v>
      </c>
      <c r="H703" s="7" t="str">
        <f aca="false">IF(F703&gt;=0,A703,"")</f>
        <v/>
      </c>
      <c r="I703" s="7" t="n">
        <f aca="false">IF(F703&lt;0,A703,0)</f>
        <v>698</v>
      </c>
      <c r="J703" s="7" t="str">
        <f aca="false">IF(G703&gt;=0,A703,"")</f>
        <v/>
      </c>
      <c r="K703" s="7" t="n">
        <f aca="false">IF(G703&lt;0,A703,0)</f>
        <v>698</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735720260</v>
      </c>
      <c r="D704" s="25" t="n">
        <f aca="false">('Chi phí'!$C$77+'Chi phí'!$D$77*B704+'Chi phí'!$E$77*A704+'Giả định'!$B$15*('Chi phí'!$F$77+'Chi phí'!$G$77*B704+'Chi phí'!$H$77*A704))*(1+'Giả định'!$B$16)</f>
        <v>879325260</v>
      </c>
      <c r="E704" s="25" t="n">
        <f aca="false">A704/'Giả định'!$B$19*'Giả định'!$B$20+A704*'Giả định'!$B$23+'Giả định'!$B$24</f>
        <v>260215966.386555</v>
      </c>
      <c r="F704" s="25" t="n">
        <f aca="false">E704-D704</f>
        <v>-619109293.613446</v>
      </c>
      <c r="G704" s="25" t="n">
        <f aca="false">E704-C704</f>
        <v>-475504293.613445</v>
      </c>
      <c r="H704" s="7" t="str">
        <f aca="false">IF(F704&gt;=0,A704,"")</f>
        <v/>
      </c>
      <c r="I704" s="7" t="n">
        <f aca="false">IF(F704&lt;0,A704,0)</f>
        <v>699</v>
      </c>
      <c r="J704" s="7" t="str">
        <f aca="false">IF(G704&gt;=0,A704,"")</f>
        <v/>
      </c>
      <c r="K704" s="7" t="n">
        <f aca="false">IF(G704&lt;0,A704,0)</f>
        <v>699</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735757000</v>
      </c>
      <c r="D705" s="25" t="n">
        <f aca="false">('Chi phí'!$C$77+'Chi phí'!$D$77*B705+'Chi phí'!$E$77*A705+'Giả định'!$B$15*('Chi phí'!$F$77+'Chi phí'!$G$77*B705+'Chi phí'!$H$77*A705))*(1+'Giả định'!$B$16)</f>
        <v>879362000</v>
      </c>
      <c r="E705" s="25" t="n">
        <f aca="false">A705/'Giả định'!$B$19*'Giả định'!$B$20+A705*'Giả định'!$B$23+'Giả định'!$B$24</f>
        <v>260588235.294118</v>
      </c>
      <c r="F705" s="25" t="n">
        <f aca="false">E705-D705</f>
        <v>-618773764.705882</v>
      </c>
      <c r="G705" s="25" t="n">
        <f aca="false">E705-C705</f>
        <v>-475168764.705882</v>
      </c>
      <c r="H705" s="7" t="str">
        <f aca="false">IF(F705&gt;=0,A705,"")</f>
        <v/>
      </c>
      <c r="I705" s="7" t="n">
        <f aca="false">IF(F705&lt;0,A705,0)</f>
        <v>700</v>
      </c>
      <c r="J705" s="7" t="str">
        <f aca="false">IF(G705&gt;=0,A705,"")</f>
        <v/>
      </c>
      <c r="K705" s="7" t="n">
        <f aca="false">IF(G705&lt;0,A705,0)</f>
        <v>700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744967740</v>
      </c>
      <c r="D706" s="25" t="n">
        <f aca="false">('Chi phí'!$C$77+'Chi phí'!$D$77*B706+'Chi phí'!$E$77*A706+'Giả định'!$B$15*('Chi phí'!$F$77+'Chi phí'!$G$77*B706+'Chi phí'!$H$77*A706))*(1+'Giả định'!$B$16)</f>
        <v>888572740</v>
      </c>
      <c r="E706" s="25" t="n">
        <f aca="false">A706/'Giả định'!$B$19*'Giả định'!$B$20+A706*'Giả định'!$B$23+'Giả định'!$B$24</f>
        <v>260960504.201681</v>
      </c>
      <c r="F706" s="25" t="n">
        <f aca="false">E706-D706</f>
        <v>-627612235.79832</v>
      </c>
      <c r="G706" s="25" t="n">
        <f aca="false">E706-C706</f>
        <v>-484007235.798319</v>
      </c>
      <c r="H706" s="7" t="str">
        <f aca="false">IF(F706&gt;=0,A706,"")</f>
        <v/>
      </c>
      <c r="I706" s="7" t="n">
        <f aca="false">IF(F706&lt;0,A706,0)</f>
        <v>701</v>
      </c>
      <c r="J706" s="7" t="str">
        <f aca="false">IF(G706&gt;=0,A706,"")</f>
        <v/>
      </c>
      <c r="K706" s="7" t="n">
        <f aca="false">IF(G706&lt;0,A706,0)</f>
        <v>701</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745004480</v>
      </c>
      <c r="D707" s="25" t="n">
        <f aca="false">('Chi phí'!$C$77+'Chi phí'!$D$77*B707+'Chi phí'!$E$77*A707+'Giả định'!$B$15*('Chi phí'!$F$77+'Chi phí'!$G$77*B707+'Chi phí'!$H$77*A707))*(1+'Giả định'!$B$16)</f>
        <v>888609480</v>
      </c>
      <c r="E707" s="25" t="n">
        <f aca="false">A707/'Giả định'!$B$19*'Giả định'!$B$20+A707*'Giả định'!$B$23+'Giả định'!$B$24</f>
        <v>261332773.109244</v>
      </c>
      <c r="F707" s="25" t="n">
        <f aca="false">E707-D707</f>
        <v>-627276706.890756</v>
      </c>
      <c r="G707" s="25" t="n">
        <f aca="false">E707-C707</f>
        <v>-483671706.890756</v>
      </c>
      <c r="H707" s="7" t="str">
        <f aca="false">IF(F707&gt;=0,A707,"")</f>
        <v/>
      </c>
      <c r="I707" s="7" t="n">
        <f aca="false">IF(F707&lt;0,A707,0)</f>
        <v>702</v>
      </c>
      <c r="J707" s="7" t="str">
        <f aca="false">IF(G707&gt;=0,A707,"")</f>
        <v/>
      </c>
      <c r="K707" s="7" t="n">
        <f aca="false">IF(G707&lt;0,A707,0)</f>
        <v>702</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745041220</v>
      </c>
      <c r="D708" s="25" t="n">
        <f aca="false">('Chi phí'!$C$77+'Chi phí'!$D$77*B708+'Chi phí'!$E$77*A708+'Giả định'!$B$15*('Chi phí'!$F$77+'Chi phí'!$G$77*B708+'Chi phí'!$H$77*A708))*(1+'Giả định'!$B$16)</f>
        <v>888646220</v>
      </c>
      <c r="E708" s="25" t="n">
        <f aca="false">A708/'Giả định'!$B$19*'Giả định'!$B$20+A708*'Giả định'!$B$23+'Giả định'!$B$24</f>
        <v>261705042.016807</v>
      </c>
      <c r="F708" s="25" t="n">
        <f aca="false">E708-D708</f>
        <v>-626941177.983193</v>
      </c>
      <c r="G708" s="25" t="n">
        <f aca="false">E708-C708</f>
        <v>-483336177.983193</v>
      </c>
      <c r="H708" s="7" t="str">
        <f aca="false">IF(F708&gt;=0,A708,"")</f>
        <v/>
      </c>
      <c r="I708" s="7" t="n">
        <f aca="false">IF(F708&lt;0,A708,0)</f>
        <v>703</v>
      </c>
      <c r="J708" s="7" t="str">
        <f aca="false">IF(G708&gt;=0,A708,"")</f>
        <v/>
      </c>
      <c r="K708" s="7" t="n">
        <f aca="false">IF(G708&lt;0,A708,0)</f>
        <v>703</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745077960</v>
      </c>
      <c r="D709" s="25" t="n">
        <f aca="false">('Chi phí'!$C$77+'Chi phí'!$D$77*B709+'Chi phí'!$E$77*A709+'Giả định'!$B$15*('Chi phí'!$F$77+'Chi phí'!$G$77*B709+'Chi phí'!$H$77*A709))*(1+'Giả định'!$B$16)</f>
        <v>888682960</v>
      </c>
      <c r="E709" s="25" t="n">
        <f aca="false">A709/'Giả định'!$B$19*'Giả định'!$B$20+A709*'Giả định'!$B$23+'Giả định'!$B$24</f>
        <v>262077310.92437</v>
      </c>
      <c r="F709" s="25" t="n">
        <f aca="false">E709-D709</f>
        <v>-626605649.07563</v>
      </c>
      <c r="G709" s="25" t="n">
        <f aca="false">E709-C709</f>
        <v>-483000649.07563</v>
      </c>
      <c r="H709" s="7" t="str">
        <f aca="false">IF(F709&gt;=0,A709,"")</f>
        <v/>
      </c>
      <c r="I709" s="7" t="n">
        <f aca="false">IF(F709&lt;0,A709,0)</f>
        <v>704</v>
      </c>
      <c r="J709" s="7" t="str">
        <f aca="false">IF(G709&gt;=0,A709,"")</f>
        <v/>
      </c>
      <c r="K709" s="7" t="n">
        <f aca="false">IF(G709&lt;0,A709,0)</f>
        <v>704</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745114700</v>
      </c>
      <c r="D710" s="25" t="n">
        <f aca="false">('Chi phí'!$C$77+'Chi phí'!$D$77*B710+'Chi phí'!$E$77*A710+'Giả định'!$B$15*('Chi phí'!$F$77+'Chi phí'!$G$77*B710+'Chi phí'!$H$77*A710))*(1+'Giả định'!$B$16)</f>
        <v>888719700</v>
      </c>
      <c r="E710" s="25" t="n">
        <f aca="false">A710/'Giả định'!$B$19*'Giả định'!$B$20+A710*'Giả định'!$B$23+'Giả định'!$B$24</f>
        <v>262449579.831933</v>
      </c>
      <c r="F710" s="25" t="n">
        <f aca="false">E710-D710</f>
        <v>-626270120.168067</v>
      </c>
      <c r="G710" s="25" t="n">
        <f aca="false">E710-C710</f>
        <v>-482665120.168067</v>
      </c>
      <c r="H710" s="7" t="str">
        <f aca="false">IF(F710&gt;=0,A710,"")</f>
        <v/>
      </c>
      <c r="I710" s="7" t="n">
        <f aca="false">IF(F710&lt;0,A710,0)</f>
        <v>705</v>
      </c>
      <c r="J710" s="7" t="str">
        <f aca="false">IF(G710&gt;=0,A710,"")</f>
        <v/>
      </c>
      <c r="K710" s="7" t="n">
        <f aca="false">IF(G710&lt;0,A710,0)</f>
        <v>705</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745151440</v>
      </c>
      <c r="D711" s="25" t="n">
        <f aca="false">('Chi phí'!$C$77+'Chi phí'!$D$77*B711+'Chi phí'!$E$77*A711+'Giả định'!$B$15*('Chi phí'!$F$77+'Chi phí'!$G$77*B711+'Chi phí'!$H$77*A711))*(1+'Giả định'!$B$16)</f>
        <v>888756440</v>
      </c>
      <c r="E711" s="25" t="n">
        <f aca="false">A711/'Giả định'!$B$19*'Giả định'!$B$20+A711*'Giả định'!$B$23+'Giả định'!$B$24</f>
        <v>262821848.739496</v>
      </c>
      <c r="F711" s="25" t="n">
        <f aca="false">E711-D711</f>
        <v>-625934591.260504</v>
      </c>
      <c r="G711" s="25" t="n">
        <f aca="false">E711-C711</f>
        <v>-482329591.260504</v>
      </c>
      <c r="H711" s="7" t="str">
        <f aca="false">IF(F711&gt;=0,A711,"")</f>
        <v/>
      </c>
      <c r="I711" s="7" t="n">
        <f aca="false">IF(F711&lt;0,A711,0)</f>
        <v>706</v>
      </c>
      <c r="J711" s="7" t="str">
        <f aca="false">IF(G711&gt;=0,A711,"")</f>
        <v/>
      </c>
      <c r="K711" s="7" t="n">
        <f aca="false">IF(G711&lt;0,A711,0)</f>
        <v>706</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745188180</v>
      </c>
      <c r="D712" s="25" t="n">
        <f aca="false">('Chi phí'!$C$77+'Chi phí'!$D$77*B712+'Chi phí'!$E$77*A712+'Giả định'!$B$15*('Chi phí'!$F$77+'Chi phí'!$G$77*B712+'Chi phí'!$H$77*A712))*(1+'Giả định'!$B$16)</f>
        <v>888793180</v>
      </c>
      <c r="E712" s="25" t="n">
        <f aca="false">A712/'Giả định'!$B$19*'Giả định'!$B$20+A712*'Giả định'!$B$23+'Giả định'!$B$24</f>
        <v>263194117.647059</v>
      </c>
      <c r="F712" s="25" t="n">
        <f aca="false">E712-D712</f>
        <v>-625599062.352941</v>
      </c>
      <c r="G712" s="25" t="n">
        <f aca="false">E712-C712</f>
        <v>-481994062.352941</v>
      </c>
      <c r="H712" s="7" t="str">
        <f aca="false">IF(F712&gt;=0,A712,"")</f>
        <v/>
      </c>
      <c r="I712" s="7" t="n">
        <f aca="false">IF(F712&lt;0,A712,0)</f>
        <v>707</v>
      </c>
      <c r="J712" s="7" t="str">
        <f aca="false">IF(G712&gt;=0,A712,"")</f>
        <v/>
      </c>
      <c r="K712" s="7" t="n">
        <f aca="false">IF(G712&lt;0,A712,0)</f>
        <v>707</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745224920</v>
      </c>
      <c r="D713" s="25" t="n">
        <f aca="false">('Chi phí'!$C$77+'Chi phí'!$D$77*B713+'Chi phí'!$E$77*A713+'Giả định'!$B$15*('Chi phí'!$F$77+'Chi phí'!$G$77*B713+'Chi phí'!$H$77*A713))*(1+'Giả định'!$B$16)</f>
        <v>888829920</v>
      </c>
      <c r="E713" s="25" t="n">
        <f aca="false">A713/'Giả định'!$B$19*'Giả định'!$B$20+A713*'Giả định'!$B$23+'Giả định'!$B$24</f>
        <v>263566386.554622</v>
      </c>
      <c r="F713" s="25" t="n">
        <f aca="false">E713-D713</f>
        <v>-625263533.445378</v>
      </c>
      <c r="G713" s="25" t="n">
        <f aca="false">E713-C713</f>
        <v>-481658533.445378</v>
      </c>
      <c r="H713" s="7" t="str">
        <f aca="false">IF(F713&gt;=0,A713,"")</f>
        <v/>
      </c>
      <c r="I713" s="7" t="n">
        <f aca="false">IF(F713&lt;0,A713,0)</f>
        <v>708</v>
      </c>
      <c r="J713" s="7" t="str">
        <f aca="false">IF(G713&gt;=0,A713,"")</f>
        <v/>
      </c>
      <c r="K713" s="7" t="n">
        <f aca="false">IF(G713&lt;0,A713,0)</f>
        <v>708</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745261660</v>
      </c>
      <c r="D714" s="25" t="n">
        <f aca="false">('Chi phí'!$C$77+'Chi phí'!$D$77*B714+'Chi phí'!$E$77*A714+'Giả định'!$B$15*('Chi phí'!$F$77+'Chi phí'!$G$77*B714+'Chi phí'!$H$77*A714))*(1+'Giả định'!$B$16)</f>
        <v>888866660</v>
      </c>
      <c r="E714" s="25" t="n">
        <f aca="false">A714/'Giả định'!$B$19*'Giả định'!$B$20+A714*'Giả định'!$B$23+'Giả định'!$B$24</f>
        <v>263938655.462185</v>
      </c>
      <c r="F714" s="25" t="n">
        <f aca="false">E714-D714</f>
        <v>-624928004.537815</v>
      </c>
      <c r="G714" s="25" t="n">
        <f aca="false">E714-C714</f>
        <v>-481323004.537815</v>
      </c>
      <c r="H714" s="7" t="str">
        <f aca="false">IF(F714&gt;=0,A714,"")</f>
        <v/>
      </c>
      <c r="I714" s="7" t="n">
        <f aca="false">IF(F714&lt;0,A714,0)</f>
        <v>709</v>
      </c>
      <c r="J714" s="7" t="str">
        <f aca="false">IF(G714&gt;=0,A714,"")</f>
        <v/>
      </c>
      <c r="K714" s="7" t="n">
        <f aca="false">IF(G714&lt;0,A714,0)</f>
        <v>709</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745298400</v>
      </c>
      <c r="D715" s="25" t="n">
        <f aca="false">('Chi phí'!$C$77+'Chi phí'!$D$77*B715+'Chi phí'!$E$77*A715+'Giả định'!$B$15*('Chi phí'!$F$77+'Chi phí'!$G$77*B715+'Chi phí'!$H$77*A715))*(1+'Giả định'!$B$16)</f>
        <v>888903400</v>
      </c>
      <c r="E715" s="25" t="n">
        <f aca="false">A715/'Giả định'!$B$19*'Giả định'!$B$20+A715*'Giả định'!$B$23+'Giả định'!$B$24</f>
        <v>264310924.369748</v>
      </c>
      <c r="F715" s="25" t="n">
        <f aca="false">E715-D715</f>
        <v>-624592475.630252</v>
      </c>
      <c r="G715" s="25" t="n">
        <f aca="false">E715-C715</f>
        <v>-480987475.630252</v>
      </c>
      <c r="H715" s="7" t="str">
        <f aca="false">IF(F715&gt;=0,A715,"")</f>
        <v/>
      </c>
      <c r="I715" s="7" t="n">
        <f aca="false">IF(F715&lt;0,A715,0)</f>
        <v>710</v>
      </c>
      <c r="J715" s="7" t="str">
        <f aca="false">IF(G715&gt;=0,A715,"")</f>
        <v/>
      </c>
      <c r="K715" s="7" t="n">
        <f aca="false">IF(G715&lt;0,A715,0)</f>
        <v>710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754509140</v>
      </c>
      <c r="D716" s="25" t="n">
        <f aca="false">('Chi phí'!$C$77+'Chi phí'!$D$77*B716+'Chi phí'!$E$77*A716+'Giả định'!$B$15*('Chi phí'!$F$77+'Chi phí'!$G$77*B716+'Chi phí'!$H$77*A716))*(1+'Giả định'!$B$16)</f>
        <v>898114140</v>
      </c>
      <c r="E716" s="25" t="n">
        <f aca="false">A716/'Giả định'!$B$19*'Giả định'!$B$20+A716*'Giả định'!$B$23+'Giả định'!$B$24</f>
        <v>264683193.277311</v>
      </c>
      <c r="F716" s="25" t="n">
        <f aca="false">E716-D716</f>
        <v>-633430946.722689</v>
      </c>
      <c r="G716" s="25" t="n">
        <f aca="false">E716-C716</f>
        <v>-489825946.722689</v>
      </c>
      <c r="H716" s="7" t="str">
        <f aca="false">IF(F716&gt;=0,A716,"")</f>
        <v/>
      </c>
      <c r="I716" s="7" t="n">
        <f aca="false">IF(F716&lt;0,A716,0)</f>
        <v>711</v>
      </c>
      <c r="J716" s="7" t="str">
        <f aca="false">IF(G716&gt;=0,A716,"")</f>
        <v/>
      </c>
      <c r="K716" s="7" t="n">
        <f aca="false">IF(G716&lt;0,A716,0)</f>
        <v>711</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754545880</v>
      </c>
      <c r="D717" s="25" t="n">
        <f aca="false">('Chi phí'!$C$77+'Chi phí'!$D$77*B717+'Chi phí'!$E$77*A717+'Giả định'!$B$15*('Chi phí'!$F$77+'Chi phí'!$G$77*B717+'Chi phí'!$H$77*A717))*(1+'Giả định'!$B$16)</f>
        <v>898150880</v>
      </c>
      <c r="E717" s="25" t="n">
        <f aca="false">A717/'Giả định'!$B$19*'Giả định'!$B$20+A717*'Giả định'!$B$23+'Giả định'!$B$24</f>
        <v>265055462.184874</v>
      </c>
      <c r="F717" s="25" t="n">
        <f aca="false">E717-D717</f>
        <v>-633095417.815126</v>
      </c>
      <c r="G717" s="25" t="n">
        <f aca="false">E717-C717</f>
        <v>-489490417.815126</v>
      </c>
      <c r="H717" s="7" t="str">
        <f aca="false">IF(F717&gt;=0,A717,"")</f>
        <v/>
      </c>
      <c r="I717" s="7" t="n">
        <f aca="false">IF(F717&lt;0,A717,0)</f>
        <v>712</v>
      </c>
      <c r="J717" s="7" t="str">
        <f aca="false">IF(G717&gt;=0,A717,"")</f>
        <v/>
      </c>
      <c r="K717" s="7" t="n">
        <f aca="false">IF(G717&lt;0,A717,0)</f>
        <v>712</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754582620</v>
      </c>
      <c r="D718" s="25" t="n">
        <f aca="false">('Chi phí'!$C$77+'Chi phí'!$D$77*B718+'Chi phí'!$E$77*A718+'Giả định'!$B$15*('Chi phí'!$F$77+'Chi phí'!$G$77*B718+'Chi phí'!$H$77*A718))*(1+'Giả định'!$B$16)</f>
        <v>898187620</v>
      </c>
      <c r="E718" s="25" t="n">
        <f aca="false">A718/'Giả định'!$B$19*'Giả định'!$B$20+A718*'Giả định'!$B$23+'Giả định'!$B$24</f>
        <v>265427731.092437</v>
      </c>
      <c r="F718" s="25" t="n">
        <f aca="false">E718-D718</f>
        <v>-632759888.907563</v>
      </c>
      <c r="G718" s="25" t="n">
        <f aca="false">E718-C718</f>
        <v>-489154888.907563</v>
      </c>
      <c r="H718" s="7" t="str">
        <f aca="false">IF(F718&gt;=0,A718,"")</f>
        <v/>
      </c>
      <c r="I718" s="7" t="n">
        <f aca="false">IF(F718&lt;0,A718,0)</f>
        <v>713</v>
      </c>
      <c r="J718" s="7" t="str">
        <f aca="false">IF(G718&gt;=0,A718,"")</f>
        <v/>
      </c>
      <c r="K718" s="7" t="n">
        <f aca="false">IF(G718&lt;0,A718,0)</f>
        <v>713</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754619360</v>
      </c>
      <c r="D719" s="25" t="n">
        <f aca="false">('Chi phí'!$C$77+'Chi phí'!$D$77*B719+'Chi phí'!$E$77*A719+'Giả định'!$B$15*('Chi phí'!$F$77+'Chi phí'!$G$77*B719+'Chi phí'!$H$77*A719))*(1+'Giả định'!$B$16)</f>
        <v>898224360</v>
      </c>
      <c r="E719" s="25" t="n">
        <f aca="false">A719/'Giả định'!$B$19*'Giả định'!$B$20+A719*'Giả định'!$B$23+'Giả định'!$B$24</f>
        <v>265800000</v>
      </c>
      <c r="F719" s="25" t="n">
        <f aca="false">E719-D719</f>
        <v>-632424360</v>
      </c>
      <c r="G719" s="25" t="n">
        <f aca="false">E719-C719</f>
        <v>-488819360</v>
      </c>
      <c r="H719" s="7" t="str">
        <f aca="false">IF(F719&gt;=0,A719,"")</f>
        <v/>
      </c>
      <c r="I719" s="7" t="n">
        <f aca="false">IF(F719&lt;0,A719,0)</f>
        <v>714</v>
      </c>
      <c r="J719" s="7" t="str">
        <f aca="false">IF(G719&gt;=0,A719,"")</f>
        <v/>
      </c>
      <c r="K719" s="7" t="n">
        <f aca="false">IF(G719&lt;0,A719,0)</f>
        <v>714</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754656100</v>
      </c>
      <c r="D720" s="25" t="n">
        <f aca="false">('Chi phí'!$C$77+'Chi phí'!$D$77*B720+'Chi phí'!$E$77*A720+'Giả định'!$B$15*('Chi phí'!$F$77+'Chi phí'!$G$77*B720+'Chi phí'!$H$77*A720))*(1+'Giả định'!$B$16)</f>
        <v>898261100</v>
      </c>
      <c r="E720" s="25" t="n">
        <f aca="false">A720/'Giả định'!$B$19*'Giả định'!$B$20+A720*'Giả định'!$B$23+'Giả định'!$B$24</f>
        <v>266172268.907563</v>
      </c>
      <c r="F720" s="25" t="n">
        <f aca="false">E720-D720</f>
        <v>-632088831.092437</v>
      </c>
      <c r="G720" s="25" t="n">
        <f aca="false">E720-C720</f>
        <v>-488483831.092437</v>
      </c>
      <c r="H720" s="7" t="str">
        <f aca="false">IF(F720&gt;=0,A720,"")</f>
        <v/>
      </c>
      <c r="I720" s="7" t="n">
        <f aca="false">IF(F720&lt;0,A720,0)</f>
        <v>715</v>
      </c>
      <c r="J720" s="7" t="str">
        <f aca="false">IF(G720&gt;=0,A720,"")</f>
        <v/>
      </c>
      <c r="K720" s="7" t="n">
        <f aca="false">IF(G720&lt;0,A720,0)</f>
        <v>715</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754692840</v>
      </c>
      <c r="D721" s="25" t="n">
        <f aca="false">('Chi phí'!$C$77+'Chi phí'!$D$77*B721+'Chi phí'!$E$77*A721+'Giả định'!$B$15*('Chi phí'!$F$77+'Chi phí'!$G$77*B721+'Chi phí'!$H$77*A721))*(1+'Giả định'!$B$16)</f>
        <v>898297840</v>
      </c>
      <c r="E721" s="25" t="n">
        <f aca="false">A721/'Giả định'!$B$19*'Giả định'!$B$20+A721*'Giả định'!$B$23+'Giả định'!$B$24</f>
        <v>266544537.815126</v>
      </c>
      <c r="F721" s="25" t="n">
        <f aca="false">E721-D721</f>
        <v>-631753302.184874</v>
      </c>
      <c r="G721" s="25" t="n">
        <f aca="false">E721-C721</f>
        <v>-488148302.184874</v>
      </c>
      <c r="H721" s="7" t="str">
        <f aca="false">IF(F721&gt;=0,A721,"")</f>
        <v/>
      </c>
      <c r="I721" s="7" t="n">
        <f aca="false">IF(F721&lt;0,A721,0)</f>
        <v>716</v>
      </c>
      <c r="J721" s="7" t="str">
        <f aca="false">IF(G721&gt;=0,A721,"")</f>
        <v/>
      </c>
      <c r="K721" s="7" t="n">
        <f aca="false">IF(G721&lt;0,A721,0)</f>
        <v>716</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754729580</v>
      </c>
      <c r="D722" s="25" t="n">
        <f aca="false">('Chi phí'!$C$77+'Chi phí'!$D$77*B722+'Chi phí'!$E$77*A722+'Giả định'!$B$15*('Chi phí'!$F$77+'Chi phí'!$G$77*B722+'Chi phí'!$H$77*A722))*(1+'Giả định'!$B$16)</f>
        <v>898334580</v>
      </c>
      <c r="E722" s="25" t="n">
        <f aca="false">A722/'Giả định'!$B$19*'Giả định'!$B$20+A722*'Giả định'!$B$23+'Giả định'!$B$24</f>
        <v>266916806.722689</v>
      </c>
      <c r="F722" s="25" t="n">
        <f aca="false">E722-D722</f>
        <v>-631417773.277311</v>
      </c>
      <c r="G722" s="25" t="n">
        <f aca="false">E722-C722</f>
        <v>-487812773.277311</v>
      </c>
      <c r="H722" s="7" t="str">
        <f aca="false">IF(F722&gt;=0,A722,"")</f>
        <v/>
      </c>
      <c r="I722" s="7" t="n">
        <f aca="false">IF(F722&lt;0,A722,0)</f>
        <v>717</v>
      </c>
      <c r="J722" s="7" t="str">
        <f aca="false">IF(G722&gt;=0,A722,"")</f>
        <v/>
      </c>
      <c r="K722" s="7" t="n">
        <f aca="false">IF(G722&lt;0,A722,0)</f>
        <v>717</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754766320</v>
      </c>
      <c r="D723" s="25" t="n">
        <f aca="false">('Chi phí'!$C$77+'Chi phí'!$D$77*B723+'Chi phí'!$E$77*A723+'Giả định'!$B$15*('Chi phí'!$F$77+'Chi phí'!$G$77*B723+'Chi phí'!$H$77*A723))*(1+'Giả định'!$B$16)</f>
        <v>898371320</v>
      </c>
      <c r="E723" s="25" t="n">
        <f aca="false">A723/'Giả định'!$B$19*'Giả định'!$B$20+A723*'Giả định'!$B$23+'Giả định'!$B$24</f>
        <v>267289075.630252</v>
      </c>
      <c r="F723" s="25" t="n">
        <f aca="false">E723-D723</f>
        <v>-631082244.369748</v>
      </c>
      <c r="G723" s="25" t="n">
        <f aca="false">E723-C723</f>
        <v>-487477244.369748</v>
      </c>
      <c r="H723" s="7" t="str">
        <f aca="false">IF(F723&gt;=0,A723,"")</f>
        <v/>
      </c>
      <c r="I723" s="7" t="n">
        <f aca="false">IF(F723&lt;0,A723,0)</f>
        <v>718</v>
      </c>
      <c r="J723" s="7" t="str">
        <f aca="false">IF(G723&gt;=0,A723,"")</f>
        <v/>
      </c>
      <c r="K723" s="7" t="n">
        <f aca="false">IF(G723&lt;0,A723,0)</f>
        <v>718</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754803060</v>
      </c>
      <c r="D724" s="25" t="n">
        <f aca="false">('Chi phí'!$C$77+'Chi phí'!$D$77*B724+'Chi phí'!$E$77*A724+'Giả định'!$B$15*('Chi phí'!$F$77+'Chi phí'!$G$77*B724+'Chi phí'!$H$77*A724))*(1+'Giả định'!$B$16)</f>
        <v>898408060</v>
      </c>
      <c r="E724" s="25" t="n">
        <f aca="false">A724/'Giả định'!$B$19*'Giả định'!$B$20+A724*'Giả định'!$B$23+'Giả định'!$B$24</f>
        <v>267661344.537815</v>
      </c>
      <c r="F724" s="25" t="n">
        <f aca="false">E724-D724</f>
        <v>-630746715.462185</v>
      </c>
      <c r="G724" s="25" t="n">
        <f aca="false">E724-C724</f>
        <v>-487141715.462185</v>
      </c>
      <c r="H724" s="7" t="str">
        <f aca="false">IF(F724&gt;=0,A724,"")</f>
        <v/>
      </c>
      <c r="I724" s="7" t="n">
        <f aca="false">IF(F724&lt;0,A724,0)</f>
        <v>719</v>
      </c>
      <c r="J724" s="7" t="str">
        <f aca="false">IF(G724&gt;=0,A724,"")</f>
        <v/>
      </c>
      <c r="K724" s="7" t="n">
        <f aca="false">IF(G724&lt;0,A724,0)</f>
        <v>719</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754839800</v>
      </c>
      <c r="D725" s="25" t="n">
        <f aca="false">('Chi phí'!$C$77+'Chi phí'!$D$77*B725+'Chi phí'!$E$77*A725+'Giả định'!$B$15*('Chi phí'!$F$77+'Chi phí'!$G$77*B725+'Chi phí'!$H$77*A725))*(1+'Giả định'!$B$16)</f>
        <v>898444800</v>
      </c>
      <c r="E725" s="25" t="n">
        <f aca="false">A725/'Giả định'!$B$19*'Giả định'!$B$20+A725*'Giả định'!$B$23+'Giả định'!$B$24</f>
        <v>268033613.445378</v>
      </c>
      <c r="F725" s="25" t="n">
        <f aca="false">E725-D725</f>
        <v>-630411186.554622</v>
      </c>
      <c r="G725" s="25" t="n">
        <f aca="false">E725-C725</f>
        <v>-486806186.554622</v>
      </c>
      <c r="H725" s="7" t="str">
        <f aca="false">IF(F725&gt;=0,A725,"")</f>
        <v/>
      </c>
      <c r="I725" s="7" t="n">
        <f aca="false">IF(F725&lt;0,A725,0)</f>
        <v>720</v>
      </c>
      <c r="J725" s="7" t="str">
        <f aca="false">IF(G725&gt;=0,A725,"")</f>
        <v/>
      </c>
      <c r="K725" s="7" t="n">
        <f aca="false">IF(G725&lt;0,A725,0)</f>
        <v>720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764050540</v>
      </c>
      <c r="D726" s="25" t="n">
        <f aca="false">('Chi phí'!$C$77+'Chi phí'!$D$77*B726+'Chi phí'!$E$77*A726+'Giả định'!$B$15*('Chi phí'!$F$77+'Chi phí'!$G$77*B726+'Chi phí'!$H$77*A726))*(1+'Giả định'!$B$16)</f>
        <v>907655540</v>
      </c>
      <c r="E726" s="25" t="n">
        <f aca="false">A726/'Giả định'!$B$19*'Giả định'!$B$20+A726*'Giả định'!$B$23+'Giả định'!$B$24</f>
        <v>268405882.352941</v>
      </c>
      <c r="F726" s="25" t="n">
        <f aca="false">E726-D726</f>
        <v>-639249657.647059</v>
      </c>
      <c r="G726" s="25" t="n">
        <f aca="false">E726-C726</f>
        <v>-495644657.647059</v>
      </c>
      <c r="H726" s="7" t="str">
        <f aca="false">IF(F726&gt;=0,A726,"")</f>
        <v/>
      </c>
      <c r="I726" s="7" t="n">
        <f aca="false">IF(F726&lt;0,A726,0)</f>
        <v>721</v>
      </c>
      <c r="J726" s="7" t="str">
        <f aca="false">IF(G726&gt;=0,A726,"")</f>
        <v/>
      </c>
      <c r="K726" s="7" t="n">
        <f aca="false">IF(G726&lt;0,A726,0)</f>
        <v>721</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764087280</v>
      </c>
      <c r="D727" s="25" t="n">
        <f aca="false">('Chi phí'!$C$77+'Chi phí'!$D$77*B727+'Chi phí'!$E$77*A727+'Giả định'!$B$15*('Chi phí'!$F$77+'Chi phí'!$G$77*B727+'Chi phí'!$H$77*A727))*(1+'Giả định'!$B$16)</f>
        <v>907692280</v>
      </c>
      <c r="E727" s="25" t="n">
        <f aca="false">A727/'Giả định'!$B$19*'Giả định'!$B$20+A727*'Giả định'!$B$23+'Giả định'!$B$24</f>
        <v>268778151.260504</v>
      </c>
      <c r="F727" s="25" t="n">
        <f aca="false">E727-D727</f>
        <v>-638914128.739496</v>
      </c>
      <c r="G727" s="25" t="n">
        <f aca="false">E727-C727</f>
        <v>-495309128.739496</v>
      </c>
      <c r="H727" s="7" t="str">
        <f aca="false">IF(F727&gt;=0,A727,"")</f>
        <v/>
      </c>
      <c r="I727" s="7" t="n">
        <f aca="false">IF(F727&lt;0,A727,0)</f>
        <v>722</v>
      </c>
      <c r="J727" s="7" t="str">
        <f aca="false">IF(G727&gt;=0,A727,"")</f>
        <v/>
      </c>
      <c r="K727" s="7" t="n">
        <f aca="false">IF(G727&lt;0,A727,0)</f>
        <v>722</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764124020</v>
      </c>
      <c r="D728" s="25" t="n">
        <f aca="false">('Chi phí'!$C$77+'Chi phí'!$D$77*B728+'Chi phí'!$E$77*A728+'Giả định'!$B$15*('Chi phí'!$F$77+'Chi phí'!$G$77*B728+'Chi phí'!$H$77*A728))*(1+'Giả định'!$B$16)</f>
        <v>907729020</v>
      </c>
      <c r="E728" s="25" t="n">
        <f aca="false">A728/'Giả định'!$B$19*'Giả định'!$B$20+A728*'Giả định'!$B$23+'Giả định'!$B$24</f>
        <v>269150420.168067</v>
      </c>
      <c r="F728" s="25" t="n">
        <f aca="false">E728-D728</f>
        <v>-638578599.831933</v>
      </c>
      <c r="G728" s="25" t="n">
        <f aca="false">E728-C728</f>
        <v>-494973599.831933</v>
      </c>
      <c r="H728" s="7" t="str">
        <f aca="false">IF(F728&gt;=0,A728,"")</f>
        <v/>
      </c>
      <c r="I728" s="7" t="n">
        <f aca="false">IF(F728&lt;0,A728,0)</f>
        <v>723</v>
      </c>
      <c r="J728" s="7" t="str">
        <f aca="false">IF(G728&gt;=0,A728,"")</f>
        <v/>
      </c>
      <c r="K728" s="7" t="n">
        <f aca="false">IF(G728&lt;0,A728,0)</f>
        <v>723</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764160760</v>
      </c>
      <c r="D729" s="25" t="n">
        <f aca="false">('Chi phí'!$C$77+'Chi phí'!$D$77*B729+'Chi phí'!$E$77*A729+'Giả định'!$B$15*('Chi phí'!$F$77+'Chi phí'!$G$77*B729+'Chi phí'!$H$77*A729))*(1+'Giả định'!$B$16)</f>
        <v>907765760</v>
      </c>
      <c r="E729" s="25" t="n">
        <f aca="false">A729/'Giả định'!$B$19*'Giả định'!$B$20+A729*'Giả định'!$B$23+'Giả định'!$B$24</f>
        <v>269522689.07563</v>
      </c>
      <c r="F729" s="25" t="n">
        <f aca="false">E729-D729</f>
        <v>-638243070.92437</v>
      </c>
      <c r="G729" s="25" t="n">
        <f aca="false">E729-C729</f>
        <v>-494638070.92437</v>
      </c>
      <c r="H729" s="7" t="str">
        <f aca="false">IF(F729&gt;=0,A729,"")</f>
        <v/>
      </c>
      <c r="I729" s="7" t="n">
        <f aca="false">IF(F729&lt;0,A729,0)</f>
        <v>724</v>
      </c>
      <c r="J729" s="7" t="str">
        <f aca="false">IF(G729&gt;=0,A729,"")</f>
        <v/>
      </c>
      <c r="K729" s="7" t="n">
        <f aca="false">IF(G729&lt;0,A729,0)</f>
        <v>724</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764197500</v>
      </c>
      <c r="D730" s="25" t="n">
        <f aca="false">('Chi phí'!$C$77+'Chi phí'!$D$77*B730+'Chi phí'!$E$77*A730+'Giả định'!$B$15*('Chi phí'!$F$77+'Chi phí'!$G$77*B730+'Chi phí'!$H$77*A730))*(1+'Giả định'!$B$16)</f>
        <v>907802500</v>
      </c>
      <c r="E730" s="25" t="n">
        <f aca="false">A730/'Giả định'!$B$19*'Giả định'!$B$20+A730*'Giả định'!$B$23+'Giả định'!$B$24</f>
        <v>269894957.983193</v>
      </c>
      <c r="F730" s="25" t="n">
        <f aca="false">E730-D730</f>
        <v>-637907542.016807</v>
      </c>
      <c r="G730" s="25" t="n">
        <f aca="false">E730-C730</f>
        <v>-494302542.016807</v>
      </c>
      <c r="H730" s="7" t="str">
        <f aca="false">IF(F730&gt;=0,A730,"")</f>
        <v/>
      </c>
      <c r="I730" s="7" t="n">
        <f aca="false">IF(F730&lt;0,A730,0)</f>
        <v>725</v>
      </c>
      <c r="J730" s="7" t="str">
        <f aca="false">IF(G730&gt;=0,A730,"")</f>
        <v/>
      </c>
      <c r="K730" s="7" t="n">
        <f aca="false">IF(G730&lt;0,A730,0)</f>
        <v>725</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764234240</v>
      </c>
      <c r="D731" s="25" t="n">
        <f aca="false">('Chi phí'!$C$77+'Chi phí'!$D$77*B731+'Chi phí'!$E$77*A731+'Giả định'!$B$15*('Chi phí'!$F$77+'Chi phí'!$G$77*B731+'Chi phí'!$H$77*A731))*(1+'Giả định'!$B$16)</f>
        <v>907839240</v>
      </c>
      <c r="E731" s="25" t="n">
        <f aca="false">A731/'Giả định'!$B$19*'Giả định'!$B$20+A731*'Giả định'!$B$23+'Giả định'!$B$24</f>
        <v>270267226.890756</v>
      </c>
      <c r="F731" s="25" t="n">
        <f aca="false">E731-D731</f>
        <v>-637572013.109244</v>
      </c>
      <c r="G731" s="25" t="n">
        <f aca="false">E731-C731</f>
        <v>-493967013.109244</v>
      </c>
      <c r="H731" s="7" t="str">
        <f aca="false">IF(F731&gt;=0,A731,"")</f>
        <v/>
      </c>
      <c r="I731" s="7" t="n">
        <f aca="false">IF(F731&lt;0,A731,0)</f>
        <v>726</v>
      </c>
      <c r="J731" s="7" t="str">
        <f aca="false">IF(G731&gt;=0,A731,"")</f>
        <v/>
      </c>
      <c r="K731" s="7" t="n">
        <f aca="false">IF(G731&lt;0,A731,0)</f>
        <v>726</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764270980</v>
      </c>
      <c r="D732" s="25" t="n">
        <f aca="false">('Chi phí'!$C$77+'Chi phí'!$D$77*B732+'Chi phí'!$E$77*A732+'Giả định'!$B$15*('Chi phí'!$F$77+'Chi phí'!$G$77*B732+'Chi phí'!$H$77*A732))*(1+'Giả định'!$B$16)</f>
        <v>907875980</v>
      </c>
      <c r="E732" s="25" t="n">
        <f aca="false">A732/'Giả định'!$B$19*'Giả định'!$B$20+A732*'Giả định'!$B$23+'Giả định'!$B$24</f>
        <v>270639495.798319</v>
      </c>
      <c r="F732" s="25" t="n">
        <f aca="false">E732-D732</f>
        <v>-637236484.201681</v>
      </c>
      <c r="G732" s="25" t="n">
        <f aca="false">E732-C732</f>
        <v>-493631484.201681</v>
      </c>
      <c r="H732" s="7" t="str">
        <f aca="false">IF(F732&gt;=0,A732,"")</f>
        <v/>
      </c>
      <c r="I732" s="7" t="n">
        <f aca="false">IF(F732&lt;0,A732,0)</f>
        <v>727</v>
      </c>
      <c r="J732" s="7" t="str">
        <f aca="false">IF(G732&gt;=0,A732,"")</f>
        <v/>
      </c>
      <c r="K732" s="7" t="n">
        <f aca="false">IF(G732&lt;0,A732,0)</f>
        <v>727</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764307720</v>
      </c>
      <c r="D733" s="25" t="n">
        <f aca="false">('Chi phí'!$C$77+'Chi phí'!$D$77*B733+'Chi phí'!$E$77*A733+'Giả định'!$B$15*('Chi phí'!$F$77+'Chi phí'!$G$77*B733+'Chi phí'!$H$77*A733))*(1+'Giả định'!$B$16)</f>
        <v>907912720</v>
      </c>
      <c r="E733" s="25" t="n">
        <f aca="false">A733/'Giả định'!$B$19*'Giả định'!$B$20+A733*'Giả định'!$B$23+'Giả định'!$B$24</f>
        <v>271011764.705882</v>
      </c>
      <c r="F733" s="25" t="n">
        <f aca="false">E733-D733</f>
        <v>-636900955.294118</v>
      </c>
      <c r="G733" s="25" t="n">
        <f aca="false">E733-C733</f>
        <v>-493295955.294118</v>
      </c>
      <c r="H733" s="7" t="str">
        <f aca="false">IF(F733&gt;=0,A733,"")</f>
        <v/>
      </c>
      <c r="I733" s="7" t="n">
        <f aca="false">IF(F733&lt;0,A733,0)</f>
        <v>728</v>
      </c>
      <c r="J733" s="7" t="str">
        <f aca="false">IF(G733&gt;=0,A733,"")</f>
        <v/>
      </c>
      <c r="K733" s="7" t="n">
        <f aca="false">IF(G733&lt;0,A733,0)</f>
        <v>728</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764344460</v>
      </c>
      <c r="D734" s="25" t="n">
        <f aca="false">('Chi phí'!$C$77+'Chi phí'!$D$77*B734+'Chi phí'!$E$77*A734+'Giả định'!$B$15*('Chi phí'!$F$77+'Chi phí'!$G$77*B734+'Chi phí'!$H$77*A734))*(1+'Giả định'!$B$16)</f>
        <v>907949460</v>
      </c>
      <c r="E734" s="25" t="n">
        <f aca="false">A734/'Giả định'!$B$19*'Giả định'!$B$20+A734*'Giả định'!$B$23+'Giả định'!$B$24</f>
        <v>271384033.613445</v>
      </c>
      <c r="F734" s="25" t="n">
        <f aca="false">E734-D734</f>
        <v>-636565426.386555</v>
      </c>
      <c r="G734" s="25" t="n">
        <f aca="false">E734-C734</f>
        <v>-492960426.386555</v>
      </c>
      <c r="H734" s="7" t="str">
        <f aca="false">IF(F734&gt;=0,A734,"")</f>
        <v/>
      </c>
      <c r="I734" s="7" t="n">
        <f aca="false">IF(F734&lt;0,A734,0)</f>
        <v>729</v>
      </c>
      <c r="J734" s="7" t="str">
        <f aca="false">IF(G734&gt;=0,A734,"")</f>
        <v/>
      </c>
      <c r="K734" s="7" t="n">
        <f aca="false">IF(G734&lt;0,A734,0)</f>
        <v>729</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764381200</v>
      </c>
      <c r="D735" s="25" t="n">
        <f aca="false">('Chi phí'!$C$77+'Chi phí'!$D$77*B735+'Chi phí'!$E$77*A735+'Giả định'!$B$15*('Chi phí'!$F$77+'Chi phí'!$G$77*B735+'Chi phí'!$H$77*A735))*(1+'Giả định'!$B$16)</f>
        <v>907986200</v>
      </c>
      <c r="E735" s="25" t="n">
        <f aca="false">A735/'Giả định'!$B$19*'Giả định'!$B$20+A735*'Giả định'!$B$23+'Giả định'!$B$24</f>
        <v>271756302.521008</v>
      </c>
      <c r="F735" s="25" t="n">
        <f aca="false">E735-D735</f>
        <v>-636229897.478992</v>
      </c>
      <c r="G735" s="25" t="n">
        <f aca="false">E735-C735</f>
        <v>-492624897.478992</v>
      </c>
      <c r="H735" s="7" t="str">
        <f aca="false">IF(F735&gt;=0,A735,"")</f>
        <v/>
      </c>
      <c r="I735" s="7" t="n">
        <f aca="false">IF(F735&lt;0,A735,0)</f>
        <v>730</v>
      </c>
      <c r="J735" s="7" t="str">
        <f aca="false">IF(G735&gt;=0,A735,"")</f>
        <v/>
      </c>
      <c r="K735" s="7" t="n">
        <f aca="false">IF(G735&lt;0,A735,0)</f>
        <v>730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773591940</v>
      </c>
      <c r="D736" s="25" t="n">
        <f aca="false">('Chi phí'!$C$77+'Chi phí'!$D$77*B736+'Chi phí'!$E$77*A736+'Giả định'!$B$15*('Chi phí'!$F$77+'Chi phí'!$G$77*B736+'Chi phí'!$H$77*A736))*(1+'Giả định'!$B$16)</f>
        <v>917196940</v>
      </c>
      <c r="E736" s="25" t="n">
        <f aca="false">A736/'Giả định'!$B$19*'Giả định'!$B$20+A736*'Giả định'!$B$23+'Giả định'!$B$24</f>
        <v>272128571.428571</v>
      </c>
      <c r="F736" s="25" t="n">
        <f aca="false">E736-D736</f>
        <v>-645068368.571429</v>
      </c>
      <c r="G736" s="25" t="n">
        <f aca="false">E736-C736</f>
        <v>-501463368.571429</v>
      </c>
      <c r="H736" s="7" t="str">
        <f aca="false">IF(F736&gt;=0,A736,"")</f>
        <v/>
      </c>
      <c r="I736" s="7" t="n">
        <f aca="false">IF(F736&lt;0,A736,0)</f>
        <v>731</v>
      </c>
      <c r="J736" s="7" t="str">
        <f aca="false">IF(G736&gt;=0,A736,"")</f>
        <v/>
      </c>
      <c r="K736" s="7" t="n">
        <f aca="false">IF(G736&lt;0,A736,0)</f>
        <v>731</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773628680</v>
      </c>
      <c r="D737" s="25" t="n">
        <f aca="false">('Chi phí'!$C$77+'Chi phí'!$D$77*B737+'Chi phí'!$E$77*A737+'Giả định'!$B$15*('Chi phí'!$F$77+'Chi phí'!$G$77*B737+'Chi phí'!$H$77*A737))*(1+'Giả định'!$B$16)</f>
        <v>917233680</v>
      </c>
      <c r="E737" s="25" t="n">
        <f aca="false">A737/'Giả định'!$B$19*'Giả định'!$B$20+A737*'Giả định'!$B$23+'Giả định'!$B$24</f>
        <v>272500840.336134</v>
      </c>
      <c r="F737" s="25" t="n">
        <f aca="false">E737-D737</f>
        <v>-644732839.663866</v>
      </c>
      <c r="G737" s="25" t="n">
        <f aca="false">E737-C737</f>
        <v>-501127839.663866</v>
      </c>
      <c r="H737" s="7" t="str">
        <f aca="false">IF(F737&gt;=0,A737,"")</f>
        <v/>
      </c>
      <c r="I737" s="7" t="n">
        <f aca="false">IF(F737&lt;0,A737,0)</f>
        <v>732</v>
      </c>
      <c r="J737" s="7" t="str">
        <f aca="false">IF(G737&gt;=0,A737,"")</f>
        <v/>
      </c>
      <c r="K737" s="7" t="n">
        <f aca="false">IF(G737&lt;0,A737,0)</f>
        <v>732</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773665420</v>
      </c>
      <c r="D738" s="25" t="n">
        <f aca="false">('Chi phí'!$C$77+'Chi phí'!$D$77*B738+'Chi phí'!$E$77*A738+'Giả định'!$B$15*('Chi phí'!$F$77+'Chi phí'!$G$77*B738+'Chi phí'!$H$77*A738))*(1+'Giả định'!$B$16)</f>
        <v>917270420</v>
      </c>
      <c r="E738" s="25" t="n">
        <f aca="false">A738/'Giả định'!$B$19*'Giả định'!$B$20+A738*'Giả định'!$B$23+'Giả định'!$B$24</f>
        <v>272873109.243697</v>
      </c>
      <c r="F738" s="25" t="n">
        <f aca="false">E738-D738</f>
        <v>-644397310.756303</v>
      </c>
      <c r="G738" s="25" t="n">
        <f aca="false">E738-C738</f>
        <v>-500792310.756303</v>
      </c>
      <c r="H738" s="7" t="str">
        <f aca="false">IF(F738&gt;=0,A738,"")</f>
        <v/>
      </c>
      <c r="I738" s="7" t="n">
        <f aca="false">IF(F738&lt;0,A738,0)</f>
        <v>733</v>
      </c>
      <c r="J738" s="7" t="str">
        <f aca="false">IF(G738&gt;=0,A738,"")</f>
        <v/>
      </c>
      <c r="K738" s="7" t="n">
        <f aca="false">IF(G738&lt;0,A738,0)</f>
        <v>733</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773702160</v>
      </c>
      <c r="D739" s="25" t="n">
        <f aca="false">('Chi phí'!$C$77+'Chi phí'!$D$77*B739+'Chi phí'!$E$77*A739+'Giả định'!$B$15*('Chi phí'!$F$77+'Chi phí'!$G$77*B739+'Chi phí'!$H$77*A739))*(1+'Giả định'!$B$16)</f>
        <v>917307160</v>
      </c>
      <c r="E739" s="25" t="n">
        <f aca="false">A739/'Giả định'!$B$19*'Giả định'!$B$20+A739*'Giả định'!$B$23+'Giả định'!$B$24</f>
        <v>273245378.151261</v>
      </c>
      <c r="F739" s="25" t="n">
        <f aca="false">E739-D739</f>
        <v>-644061781.84874</v>
      </c>
      <c r="G739" s="25" t="n">
        <f aca="false">E739-C739</f>
        <v>-500456781.84874</v>
      </c>
      <c r="H739" s="7" t="str">
        <f aca="false">IF(F739&gt;=0,A739,"")</f>
        <v/>
      </c>
      <c r="I739" s="7" t="n">
        <f aca="false">IF(F739&lt;0,A739,0)</f>
        <v>734</v>
      </c>
      <c r="J739" s="7" t="str">
        <f aca="false">IF(G739&gt;=0,A739,"")</f>
        <v/>
      </c>
      <c r="K739" s="7" t="n">
        <f aca="false">IF(G739&lt;0,A739,0)</f>
        <v>734</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773738900</v>
      </c>
      <c r="D740" s="25" t="n">
        <f aca="false">('Chi phí'!$C$77+'Chi phí'!$D$77*B740+'Chi phí'!$E$77*A740+'Giả định'!$B$15*('Chi phí'!$F$77+'Chi phí'!$G$77*B740+'Chi phí'!$H$77*A740))*(1+'Giả định'!$B$16)</f>
        <v>917343900</v>
      </c>
      <c r="E740" s="25" t="n">
        <f aca="false">A740/'Giả định'!$B$19*'Giả định'!$B$20+A740*'Giả định'!$B$23+'Giả định'!$B$24</f>
        <v>273617647.058824</v>
      </c>
      <c r="F740" s="25" t="n">
        <f aca="false">E740-D740</f>
        <v>-643726252.941177</v>
      </c>
      <c r="G740" s="25" t="n">
        <f aca="false">E740-C740</f>
        <v>-500121252.941177</v>
      </c>
      <c r="H740" s="7" t="str">
        <f aca="false">IF(F740&gt;=0,A740,"")</f>
        <v/>
      </c>
      <c r="I740" s="7" t="n">
        <f aca="false">IF(F740&lt;0,A740,0)</f>
        <v>735</v>
      </c>
      <c r="J740" s="7" t="str">
        <f aca="false">IF(G740&gt;=0,A740,"")</f>
        <v/>
      </c>
      <c r="K740" s="7" t="n">
        <f aca="false">IF(G740&lt;0,A740,0)</f>
        <v>735</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773775640</v>
      </c>
      <c r="D741" s="25" t="n">
        <f aca="false">('Chi phí'!$C$77+'Chi phí'!$D$77*B741+'Chi phí'!$E$77*A741+'Giả định'!$B$15*('Chi phí'!$F$77+'Chi phí'!$G$77*B741+'Chi phí'!$H$77*A741))*(1+'Giả định'!$B$16)</f>
        <v>917380640</v>
      </c>
      <c r="E741" s="25" t="n">
        <f aca="false">A741/'Giả định'!$B$19*'Giả định'!$B$20+A741*'Giả định'!$B$23+'Giả định'!$B$24</f>
        <v>273989915.966387</v>
      </c>
      <c r="F741" s="25" t="n">
        <f aca="false">E741-D741</f>
        <v>-643390724.033613</v>
      </c>
      <c r="G741" s="25" t="n">
        <f aca="false">E741-C741</f>
        <v>-499785724.033614</v>
      </c>
      <c r="H741" s="7" t="str">
        <f aca="false">IF(F741&gt;=0,A741,"")</f>
        <v/>
      </c>
      <c r="I741" s="7" t="n">
        <f aca="false">IF(F741&lt;0,A741,0)</f>
        <v>736</v>
      </c>
      <c r="J741" s="7" t="str">
        <f aca="false">IF(G741&gt;=0,A741,"")</f>
        <v/>
      </c>
      <c r="K741" s="7" t="n">
        <f aca="false">IF(G741&lt;0,A741,0)</f>
        <v>736</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773812380</v>
      </c>
      <c r="D742" s="25" t="n">
        <f aca="false">('Chi phí'!$C$77+'Chi phí'!$D$77*B742+'Chi phí'!$E$77*A742+'Giả định'!$B$15*('Chi phí'!$F$77+'Chi phí'!$G$77*B742+'Chi phí'!$H$77*A742))*(1+'Giả định'!$B$16)</f>
        <v>917417380</v>
      </c>
      <c r="E742" s="25" t="n">
        <f aca="false">A742/'Giả định'!$B$19*'Giả định'!$B$20+A742*'Giả định'!$B$23+'Giả định'!$B$24</f>
        <v>274362184.87395</v>
      </c>
      <c r="F742" s="25" t="n">
        <f aca="false">E742-D742</f>
        <v>-643055195.126051</v>
      </c>
      <c r="G742" s="25" t="n">
        <f aca="false">E742-C742</f>
        <v>-499450195.126051</v>
      </c>
      <c r="H742" s="7" t="str">
        <f aca="false">IF(F742&gt;=0,A742,"")</f>
        <v/>
      </c>
      <c r="I742" s="7" t="n">
        <f aca="false">IF(F742&lt;0,A742,0)</f>
        <v>737</v>
      </c>
      <c r="J742" s="7" t="str">
        <f aca="false">IF(G742&gt;=0,A742,"")</f>
        <v/>
      </c>
      <c r="K742" s="7" t="n">
        <f aca="false">IF(G742&lt;0,A742,0)</f>
        <v>737</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773849120</v>
      </c>
      <c r="D743" s="25" t="n">
        <f aca="false">('Chi phí'!$C$77+'Chi phí'!$D$77*B743+'Chi phí'!$E$77*A743+'Giả định'!$B$15*('Chi phí'!$F$77+'Chi phí'!$G$77*B743+'Chi phí'!$H$77*A743))*(1+'Giả định'!$B$16)</f>
        <v>917454120</v>
      </c>
      <c r="E743" s="25" t="n">
        <f aca="false">A743/'Giả định'!$B$19*'Giả định'!$B$20+A743*'Giả định'!$B$23+'Giả định'!$B$24</f>
        <v>274734453.781513</v>
      </c>
      <c r="F743" s="25" t="n">
        <f aca="false">E743-D743</f>
        <v>-642719666.218488</v>
      </c>
      <c r="G743" s="25" t="n">
        <f aca="false">E743-C743</f>
        <v>-499114666.218487</v>
      </c>
      <c r="H743" s="7" t="str">
        <f aca="false">IF(F743&gt;=0,A743,"")</f>
        <v/>
      </c>
      <c r="I743" s="7" t="n">
        <f aca="false">IF(F743&lt;0,A743,0)</f>
        <v>738</v>
      </c>
      <c r="J743" s="7" t="str">
        <f aca="false">IF(G743&gt;=0,A743,"")</f>
        <v/>
      </c>
      <c r="K743" s="7" t="n">
        <f aca="false">IF(G743&lt;0,A743,0)</f>
        <v>738</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773885860</v>
      </c>
      <c r="D744" s="25" t="n">
        <f aca="false">('Chi phí'!$C$77+'Chi phí'!$D$77*B744+'Chi phí'!$E$77*A744+'Giả định'!$B$15*('Chi phí'!$F$77+'Chi phí'!$G$77*B744+'Chi phí'!$H$77*A744))*(1+'Giả định'!$B$16)</f>
        <v>917490860</v>
      </c>
      <c r="E744" s="25" t="n">
        <f aca="false">A744/'Giả định'!$B$19*'Giả định'!$B$20+A744*'Giả định'!$B$23+'Giả định'!$B$24</f>
        <v>275106722.689076</v>
      </c>
      <c r="F744" s="25" t="n">
        <f aca="false">E744-D744</f>
        <v>-642384137.310925</v>
      </c>
      <c r="G744" s="25" t="n">
        <f aca="false">E744-C744</f>
        <v>-498779137.310925</v>
      </c>
      <c r="H744" s="7" t="str">
        <f aca="false">IF(F744&gt;=0,A744,"")</f>
        <v/>
      </c>
      <c r="I744" s="7" t="n">
        <f aca="false">IF(F744&lt;0,A744,0)</f>
        <v>739</v>
      </c>
      <c r="J744" s="7" t="str">
        <f aca="false">IF(G744&gt;=0,A744,"")</f>
        <v/>
      </c>
      <c r="K744" s="7" t="n">
        <f aca="false">IF(G744&lt;0,A744,0)</f>
        <v>739</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773922600</v>
      </c>
      <c r="D745" s="25" t="n">
        <f aca="false">('Chi phí'!$C$77+'Chi phí'!$D$77*B745+'Chi phí'!$E$77*A745+'Giả định'!$B$15*('Chi phí'!$F$77+'Chi phí'!$G$77*B745+'Chi phí'!$H$77*A745))*(1+'Giả định'!$B$16)</f>
        <v>917527600</v>
      </c>
      <c r="E745" s="25" t="n">
        <f aca="false">A745/'Giả định'!$B$19*'Giả định'!$B$20+A745*'Giả định'!$B$23+'Giả định'!$B$24</f>
        <v>275478991.596639</v>
      </c>
      <c r="F745" s="25" t="n">
        <f aca="false">E745-D745</f>
        <v>-642048608.403362</v>
      </c>
      <c r="G745" s="25" t="n">
        <f aca="false">E745-C745</f>
        <v>-498443608.403362</v>
      </c>
      <c r="H745" s="7" t="str">
        <f aca="false">IF(F745&gt;=0,A745,"")</f>
        <v/>
      </c>
      <c r="I745" s="7" t="n">
        <f aca="false">IF(F745&lt;0,A745,0)</f>
        <v>740</v>
      </c>
      <c r="J745" s="7" t="str">
        <f aca="false">IF(G745&gt;=0,A745,"")</f>
        <v/>
      </c>
      <c r="K745" s="7" t="n">
        <f aca="false">IF(G745&lt;0,A745,0)</f>
        <v>740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783133340</v>
      </c>
      <c r="D746" s="25" t="n">
        <f aca="false">('Chi phí'!$C$77+'Chi phí'!$D$77*B746+'Chi phí'!$E$77*A746+'Giả định'!$B$15*('Chi phí'!$F$77+'Chi phí'!$G$77*B746+'Chi phí'!$H$77*A746))*(1+'Giả định'!$B$16)</f>
        <v>926738340</v>
      </c>
      <c r="E746" s="25" t="n">
        <f aca="false">A746/'Giả định'!$B$19*'Giả định'!$B$20+A746*'Giả định'!$B$23+'Giả định'!$B$24</f>
        <v>275851260.504202</v>
      </c>
      <c r="F746" s="25" t="n">
        <f aca="false">E746-D746</f>
        <v>-650887079.495798</v>
      </c>
      <c r="G746" s="25" t="n">
        <f aca="false">E746-C746</f>
        <v>-507282079.495798</v>
      </c>
      <c r="H746" s="7" t="str">
        <f aca="false">IF(F746&gt;=0,A746,"")</f>
        <v/>
      </c>
      <c r="I746" s="7" t="n">
        <f aca="false">IF(F746&lt;0,A746,0)</f>
        <v>741</v>
      </c>
      <c r="J746" s="7" t="str">
        <f aca="false">IF(G746&gt;=0,A746,"")</f>
        <v/>
      </c>
      <c r="K746" s="7" t="n">
        <f aca="false">IF(G746&lt;0,A746,0)</f>
        <v>741</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783170080</v>
      </c>
      <c r="D747" s="25" t="n">
        <f aca="false">('Chi phí'!$C$77+'Chi phí'!$D$77*B747+'Chi phí'!$E$77*A747+'Giả định'!$B$15*('Chi phí'!$F$77+'Chi phí'!$G$77*B747+'Chi phí'!$H$77*A747))*(1+'Giả định'!$B$16)</f>
        <v>926775080</v>
      </c>
      <c r="E747" s="25" t="n">
        <f aca="false">A747/'Giả định'!$B$19*'Giả định'!$B$20+A747*'Giả định'!$B$23+'Giả định'!$B$24</f>
        <v>276223529.411765</v>
      </c>
      <c r="F747" s="25" t="n">
        <f aca="false">E747-D747</f>
        <v>-650551550.588235</v>
      </c>
      <c r="G747" s="25" t="n">
        <f aca="false">E747-C747</f>
        <v>-506946550.588235</v>
      </c>
      <c r="H747" s="7" t="str">
        <f aca="false">IF(F747&gt;=0,A747,"")</f>
        <v/>
      </c>
      <c r="I747" s="7" t="n">
        <f aca="false">IF(F747&lt;0,A747,0)</f>
        <v>742</v>
      </c>
      <c r="J747" s="7" t="str">
        <f aca="false">IF(G747&gt;=0,A747,"")</f>
        <v/>
      </c>
      <c r="K747" s="7" t="n">
        <f aca="false">IF(G747&lt;0,A747,0)</f>
        <v>742</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783206820</v>
      </c>
      <c r="D748" s="25" t="n">
        <f aca="false">('Chi phí'!$C$77+'Chi phí'!$D$77*B748+'Chi phí'!$E$77*A748+'Giả định'!$B$15*('Chi phí'!$F$77+'Chi phí'!$G$77*B748+'Chi phí'!$H$77*A748))*(1+'Giả định'!$B$16)</f>
        <v>926811820</v>
      </c>
      <c r="E748" s="25" t="n">
        <f aca="false">A748/'Giả định'!$B$19*'Giả định'!$B$20+A748*'Giả định'!$B$23+'Giả định'!$B$24</f>
        <v>276595798.319328</v>
      </c>
      <c r="F748" s="25" t="n">
        <f aca="false">E748-D748</f>
        <v>-650216021.680672</v>
      </c>
      <c r="G748" s="25" t="n">
        <f aca="false">E748-C748</f>
        <v>-506611021.680672</v>
      </c>
      <c r="H748" s="7" t="str">
        <f aca="false">IF(F748&gt;=0,A748,"")</f>
        <v/>
      </c>
      <c r="I748" s="7" t="n">
        <f aca="false">IF(F748&lt;0,A748,0)</f>
        <v>743</v>
      </c>
      <c r="J748" s="7" t="str">
        <f aca="false">IF(G748&gt;=0,A748,"")</f>
        <v/>
      </c>
      <c r="K748" s="7" t="n">
        <f aca="false">IF(G748&lt;0,A748,0)</f>
        <v>743</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783243560</v>
      </c>
      <c r="D749" s="25" t="n">
        <f aca="false">('Chi phí'!$C$77+'Chi phí'!$D$77*B749+'Chi phí'!$E$77*A749+'Giả định'!$B$15*('Chi phí'!$F$77+'Chi phí'!$G$77*B749+'Chi phí'!$H$77*A749))*(1+'Giả định'!$B$16)</f>
        <v>926848560</v>
      </c>
      <c r="E749" s="25" t="n">
        <f aca="false">A749/'Giả định'!$B$19*'Giả định'!$B$20+A749*'Giả định'!$B$23+'Giả định'!$B$24</f>
        <v>276968067.226891</v>
      </c>
      <c r="F749" s="25" t="n">
        <f aca="false">E749-D749</f>
        <v>-649880492.773109</v>
      </c>
      <c r="G749" s="25" t="n">
        <f aca="false">E749-C749</f>
        <v>-506275492.773109</v>
      </c>
      <c r="H749" s="7" t="str">
        <f aca="false">IF(F749&gt;=0,A749,"")</f>
        <v/>
      </c>
      <c r="I749" s="7" t="n">
        <f aca="false">IF(F749&lt;0,A749,0)</f>
        <v>744</v>
      </c>
      <c r="J749" s="7" t="str">
        <f aca="false">IF(G749&gt;=0,A749,"")</f>
        <v/>
      </c>
      <c r="K749" s="7" t="n">
        <f aca="false">IF(G749&lt;0,A749,0)</f>
        <v>744</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783280300</v>
      </c>
      <c r="D750" s="25" t="n">
        <f aca="false">('Chi phí'!$C$77+'Chi phí'!$D$77*B750+'Chi phí'!$E$77*A750+'Giả định'!$B$15*('Chi phí'!$F$77+'Chi phí'!$G$77*B750+'Chi phí'!$H$77*A750))*(1+'Giả định'!$B$16)</f>
        <v>926885300</v>
      </c>
      <c r="E750" s="25" t="n">
        <f aca="false">A750/'Giả định'!$B$19*'Giả định'!$B$20+A750*'Giả định'!$B$23+'Giả định'!$B$24</f>
        <v>277340336.134454</v>
      </c>
      <c r="F750" s="25" t="n">
        <f aca="false">E750-D750</f>
        <v>-649544963.865546</v>
      </c>
      <c r="G750" s="25" t="n">
        <f aca="false">E750-C750</f>
        <v>-505939963.865546</v>
      </c>
      <c r="H750" s="7" t="str">
        <f aca="false">IF(F750&gt;=0,A750,"")</f>
        <v/>
      </c>
      <c r="I750" s="7" t="n">
        <f aca="false">IF(F750&lt;0,A750,0)</f>
        <v>745</v>
      </c>
      <c r="J750" s="7" t="str">
        <f aca="false">IF(G750&gt;=0,A750,"")</f>
        <v/>
      </c>
      <c r="K750" s="7" t="n">
        <f aca="false">IF(G750&lt;0,A750,0)</f>
        <v>745</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783317040</v>
      </c>
      <c r="D751" s="25" t="n">
        <f aca="false">('Chi phí'!$C$77+'Chi phí'!$D$77*B751+'Chi phí'!$E$77*A751+'Giả định'!$B$15*('Chi phí'!$F$77+'Chi phí'!$G$77*B751+'Chi phí'!$H$77*A751))*(1+'Giả định'!$B$16)</f>
        <v>926922040</v>
      </c>
      <c r="E751" s="25" t="n">
        <f aca="false">A751/'Giả định'!$B$19*'Giả định'!$B$20+A751*'Giả định'!$B$23+'Giả định'!$B$24</f>
        <v>277712605.042017</v>
      </c>
      <c r="F751" s="25" t="n">
        <f aca="false">E751-D751</f>
        <v>-649209434.957983</v>
      </c>
      <c r="G751" s="25" t="n">
        <f aca="false">E751-C751</f>
        <v>-505604434.957983</v>
      </c>
      <c r="H751" s="7" t="str">
        <f aca="false">IF(F751&gt;=0,A751,"")</f>
        <v/>
      </c>
      <c r="I751" s="7" t="n">
        <f aca="false">IF(F751&lt;0,A751,0)</f>
        <v>746</v>
      </c>
      <c r="J751" s="7" t="str">
        <f aca="false">IF(G751&gt;=0,A751,"")</f>
        <v/>
      </c>
      <c r="K751" s="7" t="n">
        <f aca="false">IF(G751&lt;0,A751,0)</f>
        <v>746</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783353780</v>
      </c>
      <c r="D752" s="25" t="n">
        <f aca="false">('Chi phí'!$C$77+'Chi phí'!$D$77*B752+'Chi phí'!$E$77*A752+'Giả định'!$B$15*('Chi phí'!$F$77+'Chi phí'!$G$77*B752+'Chi phí'!$H$77*A752))*(1+'Giả định'!$B$16)</f>
        <v>926958780</v>
      </c>
      <c r="E752" s="25" t="n">
        <f aca="false">A752/'Giả định'!$B$19*'Giả định'!$B$20+A752*'Giả định'!$B$23+'Giả định'!$B$24</f>
        <v>278084873.94958</v>
      </c>
      <c r="F752" s="25" t="n">
        <f aca="false">E752-D752</f>
        <v>-648873906.05042</v>
      </c>
      <c r="G752" s="25" t="n">
        <f aca="false">E752-C752</f>
        <v>-505268906.05042</v>
      </c>
      <c r="H752" s="7" t="str">
        <f aca="false">IF(F752&gt;=0,A752,"")</f>
        <v/>
      </c>
      <c r="I752" s="7" t="n">
        <f aca="false">IF(F752&lt;0,A752,0)</f>
        <v>747</v>
      </c>
      <c r="J752" s="7" t="str">
        <f aca="false">IF(G752&gt;=0,A752,"")</f>
        <v/>
      </c>
      <c r="K752" s="7" t="n">
        <f aca="false">IF(G752&lt;0,A752,0)</f>
        <v>747</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783390520</v>
      </c>
      <c r="D753" s="25" t="n">
        <f aca="false">('Chi phí'!$C$77+'Chi phí'!$D$77*B753+'Chi phí'!$E$77*A753+'Giả định'!$B$15*('Chi phí'!$F$77+'Chi phí'!$G$77*B753+'Chi phí'!$H$77*A753))*(1+'Giả định'!$B$16)</f>
        <v>926995520</v>
      </c>
      <c r="E753" s="25" t="n">
        <f aca="false">A753/'Giả định'!$B$19*'Giả định'!$B$20+A753*'Giả định'!$B$23+'Giả định'!$B$24</f>
        <v>278457142.857143</v>
      </c>
      <c r="F753" s="25" t="n">
        <f aca="false">E753-D753</f>
        <v>-648538377.142857</v>
      </c>
      <c r="G753" s="25" t="n">
        <f aca="false">E753-C753</f>
        <v>-504933377.142857</v>
      </c>
      <c r="H753" s="7" t="str">
        <f aca="false">IF(F753&gt;=0,A753,"")</f>
        <v/>
      </c>
      <c r="I753" s="7" t="n">
        <f aca="false">IF(F753&lt;0,A753,0)</f>
        <v>748</v>
      </c>
      <c r="J753" s="7" t="str">
        <f aca="false">IF(G753&gt;=0,A753,"")</f>
        <v/>
      </c>
      <c r="K753" s="7" t="n">
        <f aca="false">IF(G753&lt;0,A753,0)</f>
        <v>748</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783427260</v>
      </c>
      <c r="D754" s="25" t="n">
        <f aca="false">('Chi phí'!$C$77+'Chi phí'!$D$77*B754+'Chi phí'!$E$77*A754+'Giả định'!$B$15*('Chi phí'!$F$77+'Chi phí'!$G$77*B754+'Chi phí'!$H$77*A754))*(1+'Giả định'!$B$16)</f>
        <v>927032260</v>
      </c>
      <c r="E754" s="25" t="n">
        <f aca="false">A754/'Giả định'!$B$19*'Giả định'!$B$20+A754*'Giả định'!$B$23+'Giả định'!$B$24</f>
        <v>278829411.764706</v>
      </c>
      <c r="F754" s="25" t="n">
        <f aca="false">E754-D754</f>
        <v>-648202848.235294</v>
      </c>
      <c r="G754" s="25" t="n">
        <f aca="false">E754-C754</f>
        <v>-504597848.235294</v>
      </c>
      <c r="H754" s="7" t="str">
        <f aca="false">IF(F754&gt;=0,A754,"")</f>
        <v/>
      </c>
      <c r="I754" s="7" t="n">
        <f aca="false">IF(F754&lt;0,A754,0)</f>
        <v>749</v>
      </c>
      <c r="J754" s="7" t="str">
        <f aca="false">IF(G754&gt;=0,A754,"")</f>
        <v/>
      </c>
      <c r="K754" s="7" t="n">
        <f aca="false">IF(G754&lt;0,A754,0)</f>
        <v>749</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783464000</v>
      </c>
      <c r="D755" s="25" t="n">
        <f aca="false">('Chi phí'!$C$77+'Chi phí'!$D$77*B755+'Chi phí'!$E$77*A755+'Giả định'!$B$15*('Chi phí'!$F$77+'Chi phí'!$G$77*B755+'Chi phí'!$H$77*A755))*(1+'Giả định'!$B$16)</f>
        <v>927069000</v>
      </c>
      <c r="E755" s="25" t="n">
        <f aca="false">A755/'Giả định'!$B$19*'Giả định'!$B$20+A755*'Giả định'!$B$23+'Giả định'!$B$24</f>
        <v>279201680.672269</v>
      </c>
      <c r="F755" s="25" t="n">
        <f aca="false">E755-D755</f>
        <v>-647867319.327731</v>
      </c>
      <c r="G755" s="25" t="n">
        <f aca="false">E755-C755</f>
        <v>-504262319.327731</v>
      </c>
      <c r="H755" s="7" t="str">
        <f aca="false">IF(F755&gt;=0,A755,"")</f>
        <v/>
      </c>
      <c r="I755" s="7" t="n">
        <f aca="false">IF(F755&lt;0,A755,0)</f>
        <v>750</v>
      </c>
      <c r="J755" s="7" t="str">
        <f aca="false">IF(G755&gt;=0,A755,"")</f>
        <v/>
      </c>
      <c r="K755" s="7" t="n">
        <f aca="false">IF(G755&lt;0,A755,0)</f>
        <v>750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792674740</v>
      </c>
      <c r="D756" s="25" t="n">
        <f aca="false">('Chi phí'!$C$77+'Chi phí'!$D$77*B756+'Chi phí'!$E$77*A756+'Giả định'!$B$15*('Chi phí'!$F$77+'Chi phí'!$G$77*B756+'Chi phí'!$H$77*A756))*(1+'Giả định'!$B$16)</f>
        <v>936279740</v>
      </c>
      <c r="E756" s="25" t="n">
        <f aca="false">A756/'Giả định'!$B$19*'Giả định'!$B$20+A756*'Giả định'!$B$23+'Giả định'!$B$24</f>
        <v>279573949.579832</v>
      </c>
      <c r="F756" s="25" t="n">
        <f aca="false">E756-D756</f>
        <v>-656705790.420168</v>
      </c>
      <c r="G756" s="25" t="n">
        <f aca="false">E756-C756</f>
        <v>-513100790.420168</v>
      </c>
      <c r="H756" s="7" t="str">
        <f aca="false">IF(F756&gt;=0,A756,"")</f>
        <v/>
      </c>
      <c r="I756" s="7" t="n">
        <f aca="false">IF(F756&lt;0,A756,0)</f>
        <v>751</v>
      </c>
      <c r="J756" s="7" t="str">
        <f aca="false">IF(G756&gt;=0,A756,"")</f>
        <v/>
      </c>
      <c r="K756" s="7" t="n">
        <f aca="false">IF(G756&lt;0,A756,0)</f>
        <v>751</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792711480</v>
      </c>
      <c r="D757" s="25" t="n">
        <f aca="false">('Chi phí'!$C$77+'Chi phí'!$D$77*B757+'Chi phí'!$E$77*A757+'Giả định'!$B$15*('Chi phí'!$F$77+'Chi phí'!$G$77*B757+'Chi phí'!$H$77*A757))*(1+'Giả định'!$B$16)</f>
        <v>936316480</v>
      </c>
      <c r="E757" s="25" t="n">
        <f aca="false">A757/'Giả định'!$B$19*'Giả định'!$B$20+A757*'Giả định'!$B$23+'Giả định'!$B$24</f>
        <v>279946218.487395</v>
      </c>
      <c r="F757" s="25" t="n">
        <f aca="false">E757-D757</f>
        <v>-656370261.512605</v>
      </c>
      <c r="G757" s="25" t="n">
        <f aca="false">E757-C757</f>
        <v>-512765261.512605</v>
      </c>
      <c r="H757" s="7" t="str">
        <f aca="false">IF(F757&gt;=0,A757,"")</f>
        <v/>
      </c>
      <c r="I757" s="7" t="n">
        <f aca="false">IF(F757&lt;0,A757,0)</f>
        <v>752</v>
      </c>
      <c r="J757" s="7" t="str">
        <f aca="false">IF(G757&gt;=0,A757,"")</f>
        <v/>
      </c>
      <c r="K757" s="7" t="n">
        <f aca="false">IF(G757&lt;0,A757,0)</f>
        <v>752</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792748220</v>
      </c>
      <c r="D758" s="25" t="n">
        <f aca="false">('Chi phí'!$C$77+'Chi phí'!$D$77*B758+'Chi phí'!$E$77*A758+'Giả định'!$B$15*('Chi phí'!$F$77+'Chi phí'!$G$77*B758+'Chi phí'!$H$77*A758))*(1+'Giả định'!$B$16)</f>
        <v>936353220</v>
      </c>
      <c r="E758" s="25" t="n">
        <f aca="false">A758/'Giả định'!$B$19*'Giả định'!$B$20+A758*'Giả định'!$B$23+'Giả định'!$B$24</f>
        <v>280318487.394958</v>
      </c>
      <c r="F758" s="25" t="n">
        <f aca="false">E758-D758</f>
        <v>-656034732.605042</v>
      </c>
      <c r="G758" s="25" t="n">
        <f aca="false">E758-C758</f>
        <v>-512429732.605042</v>
      </c>
      <c r="H758" s="7" t="str">
        <f aca="false">IF(F758&gt;=0,A758,"")</f>
        <v/>
      </c>
      <c r="I758" s="7" t="n">
        <f aca="false">IF(F758&lt;0,A758,0)</f>
        <v>753</v>
      </c>
      <c r="J758" s="7" t="str">
        <f aca="false">IF(G758&gt;=0,A758,"")</f>
        <v/>
      </c>
      <c r="K758" s="7" t="n">
        <f aca="false">IF(G758&lt;0,A758,0)</f>
        <v>753</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792784960</v>
      </c>
      <c r="D759" s="25" t="n">
        <f aca="false">('Chi phí'!$C$77+'Chi phí'!$D$77*B759+'Chi phí'!$E$77*A759+'Giả định'!$B$15*('Chi phí'!$F$77+'Chi phí'!$G$77*B759+'Chi phí'!$H$77*A759))*(1+'Giả định'!$B$16)</f>
        <v>936389960</v>
      </c>
      <c r="E759" s="25" t="n">
        <f aca="false">A759/'Giả định'!$B$19*'Giả định'!$B$20+A759*'Giả định'!$B$23+'Giả định'!$B$24</f>
        <v>280690756.302521</v>
      </c>
      <c r="F759" s="25" t="n">
        <f aca="false">E759-D759</f>
        <v>-655699203.697479</v>
      </c>
      <c r="G759" s="25" t="n">
        <f aca="false">E759-C759</f>
        <v>-512094203.697479</v>
      </c>
      <c r="H759" s="7" t="str">
        <f aca="false">IF(F759&gt;=0,A759,"")</f>
        <v/>
      </c>
      <c r="I759" s="7" t="n">
        <f aca="false">IF(F759&lt;0,A759,0)</f>
        <v>754</v>
      </c>
      <c r="J759" s="7" t="str">
        <f aca="false">IF(G759&gt;=0,A759,"")</f>
        <v/>
      </c>
      <c r="K759" s="7" t="n">
        <f aca="false">IF(G759&lt;0,A759,0)</f>
        <v>754</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792821700</v>
      </c>
      <c r="D760" s="25" t="n">
        <f aca="false">('Chi phí'!$C$77+'Chi phí'!$D$77*B760+'Chi phí'!$E$77*A760+'Giả định'!$B$15*('Chi phí'!$F$77+'Chi phí'!$G$77*B760+'Chi phí'!$H$77*A760))*(1+'Giả định'!$B$16)</f>
        <v>936426700</v>
      </c>
      <c r="E760" s="25" t="n">
        <f aca="false">A760/'Giả định'!$B$19*'Giả định'!$B$20+A760*'Giả định'!$B$23+'Giả định'!$B$24</f>
        <v>281063025.210084</v>
      </c>
      <c r="F760" s="25" t="n">
        <f aca="false">E760-D760</f>
        <v>-655363674.789916</v>
      </c>
      <c r="G760" s="25" t="n">
        <f aca="false">E760-C760</f>
        <v>-511758674.789916</v>
      </c>
      <c r="H760" s="7" t="str">
        <f aca="false">IF(F760&gt;=0,A760,"")</f>
        <v/>
      </c>
      <c r="I760" s="7" t="n">
        <f aca="false">IF(F760&lt;0,A760,0)</f>
        <v>755</v>
      </c>
      <c r="J760" s="7" t="str">
        <f aca="false">IF(G760&gt;=0,A760,"")</f>
        <v/>
      </c>
      <c r="K760" s="7" t="n">
        <f aca="false">IF(G760&lt;0,A760,0)</f>
        <v>755</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792858440</v>
      </c>
      <c r="D761" s="25" t="n">
        <f aca="false">('Chi phí'!$C$77+'Chi phí'!$D$77*B761+'Chi phí'!$E$77*A761+'Giả định'!$B$15*('Chi phí'!$F$77+'Chi phí'!$G$77*B761+'Chi phí'!$H$77*A761))*(1+'Giả định'!$B$16)</f>
        <v>936463440</v>
      </c>
      <c r="E761" s="25" t="n">
        <f aca="false">A761/'Giả định'!$B$19*'Giả định'!$B$20+A761*'Giả định'!$B$23+'Giả định'!$B$24</f>
        <v>281435294.117647</v>
      </c>
      <c r="F761" s="25" t="n">
        <f aca="false">E761-D761</f>
        <v>-655028145.882353</v>
      </c>
      <c r="G761" s="25" t="n">
        <f aca="false">E761-C761</f>
        <v>-511423145.882353</v>
      </c>
      <c r="H761" s="7" t="str">
        <f aca="false">IF(F761&gt;=0,A761,"")</f>
        <v/>
      </c>
      <c r="I761" s="7" t="n">
        <f aca="false">IF(F761&lt;0,A761,0)</f>
        <v>756</v>
      </c>
      <c r="J761" s="7" t="str">
        <f aca="false">IF(G761&gt;=0,A761,"")</f>
        <v/>
      </c>
      <c r="K761" s="7" t="n">
        <f aca="false">IF(G761&lt;0,A761,0)</f>
        <v>756</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792895180</v>
      </c>
      <c r="D762" s="25" t="n">
        <f aca="false">('Chi phí'!$C$77+'Chi phí'!$D$77*B762+'Chi phí'!$E$77*A762+'Giả định'!$B$15*('Chi phí'!$F$77+'Chi phí'!$G$77*B762+'Chi phí'!$H$77*A762))*(1+'Giả định'!$B$16)</f>
        <v>936500180</v>
      </c>
      <c r="E762" s="25" t="n">
        <f aca="false">A762/'Giả định'!$B$19*'Giả định'!$B$20+A762*'Giả định'!$B$23+'Giả định'!$B$24</f>
        <v>281807563.02521</v>
      </c>
      <c r="F762" s="25" t="n">
        <f aca="false">E762-D762</f>
        <v>-654692616.97479</v>
      </c>
      <c r="G762" s="25" t="n">
        <f aca="false">E762-C762</f>
        <v>-511087616.97479</v>
      </c>
      <c r="H762" s="7" t="str">
        <f aca="false">IF(F762&gt;=0,A762,"")</f>
        <v/>
      </c>
      <c r="I762" s="7" t="n">
        <f aca="false">IF(F762&lt;0,A762,0)</f>
        <v>757</v>
      </c>
      <c r="J762" s="7" t="str">
        <f aca="false">IF(G762&gt;=0,A762,"")</f>
        <v/>
      </c>
      <c r="K762" s="7" t="n">
        <f aca="false">IF(G762&lt;0,A762,0)</f>
        <v>757</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792931920</v>
      </c>
      <c r="D763" s="25" t="n">
        <f aca="false">('Chi phí'!$C$77+'Chi phí'!$D$77*B763+'Chi phí'!$E$77*A763+'Giả định'!$B$15*('Chi phí'!$F$77+'Chi phí'!$G$77*B763+'Chi phí'!$H$77*A763))*(1+'Giả định'!$B$16)</f>
        <v>936536920</v>
      </c>
      <c r="E763" s="25" t="n">
        <f aca="false">A763/'Giả định'!$B$19*'Giả định'!$B$20+A763*'Giả định'!$B$23+'Giả định'!$B$24</f>
        <v>282179831.932773</v>
      </c>
      <c r="F763" s="25" t="n">
        <f aca="false">E763-D763</f>
        <v>-654357088.067227</v>
      </c>
      <c r="G763" s="25" t="n">
        <f aca="false">E763-C763</f>
        <v>-510752088.067227</v>
      </c>
      <c r="H763" s="7" t="str">
        <f aca="false">IF(F763&gt;=0,A763,"")</f>
        <v/>
      </c>
      <c r="I763" s="7" t="n">
        <f aca="false">IF(F763&lt;0,A763,0)</f>
        <v>758</v>
      </c>
      <c r="J763" s="7" t="str">
        <f aca="false">IF(G763&gt;=0,A763,"")</f>
        <v/>
      </c>
      <c r="K763" s="7" t="n">
        <f aca="false">IF(G763&lt;0,A763,0)</f>
        <v>758</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792968660</v>
      </c>
      <c r="D764" s="25" t="n">
        <f aca="false">('Chi phí'!$C$77+'Chi phí'!$D$77*B764+'Chi phí'!$E$77*A764+'Giả định'!$B$15*('Chi phí'!$F$77+'Chi phí'!$G$77*B764+'Chi phí'!$H$77*A764))*(1+'Giả định'!$B$16)</f>
        <v>936573660</v>
      </c>
      <c r="E764" s="25" t="n">
        <f aca="false">A764/'Giả định'!$B$19*'Giả định'!$B$20+A764*'Giả định'!$B$23+'Giả định'!$B$24</f>
        <v>282552100.840336</v>
      </c>
      <c r="F764" s="25" t="n">
        <f aca="false">E764-D764</f>
        <v>-654021559.159664</v>
      </c>
      <c r="G764" s="25" t="n">
        <f aca="false">E764-C764</f>
        <v>-510416559.159664</v>
      </c>
      <c r="H764" s="7" t="str">
        <f aca="false">IF(F764&gt;=0,A764,"")</f>
        <v/>
      </c>
      <c r="I764" s="7" t="n">
        <f aca="false">IF(F764&lt;0,A764,0)</f>
        <v>759</v>
      </c>
      <c r="J764" s="7" t="str">
        <f aca="false">IF(G764&gt;=0,A764,"")</f>
        <v/>
      </c>
      <c r="K764" s="7" t="n">
        <f aca="false">IF(G764&lt;0,A764,0)</f>
        <v>759</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793005400</v>
      </c>
      <c r="D765" s="25" t="n">
        <f aca="false">('Chi phí'!$C$77+'Chi phí'!$D$77*B765+'Chi phí'!$E$77*A765+'Giả định'!$B$15*('Chi phí'!$F$77+'Chi phí'!$G$77*B765+'Chi phí'!$H$77*A765))*(1+'Giả định'!$B$16)</f>
        <v>936610400</v>
      </c>
      <c r="E765" s="25" t="n">
        <f aca="false">A765/'Giả định'!$B$19*'Giả định'!$B$20+A765*'Giả định'!$B$23+'Giả định'!$B$24</f>
        <v>282924369.747899</v>
      </c>
      <c r="F765" s="25" t="n">
        <f aca="false">E765-D765</f>
        <v>-653686030.252101</v>
      </c>
      <c r="G765" s="25" t="n">
        <f aca="false">E765-C765</f>
        <v>-510081030.252101</v>
      </c>
      <c r="H765" s="7" t="str">
        <f aca="false">IF(F765&gt;=0,A765,"")</f>
        <v/>
      </c>
      <c r="I765" s="7" t="n">
        <f aca="false">IF(F765&lt;0,A765,0)</f>
        <v>760</v>
      </c>
      <c r="J765" s="7" t="str">
        <f aca="false">IF(G765&gt;=0,A765,"")</f>
        <v/>
      </c>
      <c r="K765" s="7" t="n">
        <f aca="false">IF(G765&lt;0,A765,0)</f>
        <v>760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802216140</v>
      </c>
      <c r="D766" s="25" t="n">
        <f aca="false">('Chi phí'!$C$77+'Chi phí'!$D$77*B766+'Chi phí'!$E$77*A766+'Giả định'!$B$15*('Chi phí'!$F$77+'Chi phí'!$G$77*B766+'Chi phí'!$H$77*A766))*(1+'Giả định'!$B$16)</f>
        <v>945821140</v>
      </c>
      <c r="E766" s="25" t="n">
        <f aca="false">A766/'Giả định'!$B$19*'Giả định'!$B$20+A766*'Giả định'!$B$23+'Giả định'!$B$24</f>
        <v>283296638.655462</v>
      </c>
      <c r="F766" s="25" t="n">
        <f aca="false">E766-D766</f>
        <v>-662524501.344538</v>
      </c>
      <c r="G766" s="25" t="n">
        <f aca="false">E766-C766</f>
        <v>-518919501.344538</v>
      </c>
      <c r="H766" s="7" t="str">
        <f aca="false">IF(F766&gt;=0,A766,"")</f>
        <v/>
      </c>
      <c r="I766" s="7" t="n">
        <f aca="false">IF(F766&lt;0,A766,0)</f>
        <v>761</v>
      </c>
      <c r="J766" s="7" t="str">
        <f aca="false">IF(G766&gt;=0,A766,"")</f>
        <v/>
      </c>
      <c r="K766" s="7" t="n">
        <f aca="false">IF(G766&lt;0,A766,0)</f>
        <v>761</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802252880</v>
      </c>
      <c r="D767" s="25" t="n">
        <f aca="false">('Chi phí'!$C$77+'Chi phí'!$D$77*B767+'Chi phí'!$E$77*A767+'Giả định'!$B$15*('Chi phí'!$F$77+'Chi phí'!$G$77*B767+'Chi phí'!$H$77*A767))*(1+'Giả định'!$B$16)</f>
        <v>945857880</v>
      </c>
      <c r="E767" s="25" t="n">
        <f aca="false">A767/'Giả định'!$B$19*'Giả định'!$B$20+A767*'Giả định'!$B$23+'Giả định'!$B$24</f>
        <v>283668907.563025</v>
      </c>
      <c r="F767" s="25" t="n">
        <f aca="false">E767-D767</f>
        <v>-662188972.436975</v>
      </c>
      <c r="G767" s="25" t="n">
        <f aca="false">E767-C767</f>
        <v>-518583972.436975</v>
      </c>
      <c r="H767" s="7" t="str">
        <f aca="false">IF(F767&gt;=0,A767,"")</f>
        <v/>
      </c>
      <c r="I767" s="7" t="n">
        <f aca="false">IF(F767&lt;0,A767,0)</f>
        <v>762</v>
      </c>
      <c r="J767" s="7" t="str">
        <f aca="false">IF(G767&gt;=0,A767,"")</f>
        <v/>
      </c>
      <c r="K767" s="7" t="n">
        <f aca="false">IF(G767&lt;0,A767,0)</f>
        <v>762</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802289620</v>
      </c>
      <c r="D768" s="25" t="n">
        <f aca="false">('Chi phí'!$C$77+'Chi phí'!$D$77*B768+'Chi phí'!$E$77*A768+'Giả định'!$B$15*('Chi phí'!$F$77+'Chi phí'!$G$77*B768+'Chi phí'!$H$77*A768))*(1+'Giả định'!$B$16)</f>
        <v>945894620</v>
      </c>
      <c r="E768" s="25" t="n">
        <f aca="false">A768/'Giả định'!$B$19*'Giả định'!$B$20+A768*'Giả định'!$B$23+'Giả định'!$B$24</f>
        <v>284041176.470588</v>
      </c>
      <c r="F768" s="25" t="n">
        <f aca="false">E768-D768</f>
        <v>-661853443.529412</v>
      </c>
      <c r="G768" s="25" t="n">
        <f aca="false">E768-C768</f>
        <v>-518248443.529412</v>
      </c>
      <c r="H768" s="7" t="str">
        <f aca="false">IF(F768&gt;=0,A768,"")</f>
        <v/>
      </c>
      <c r="I768" s="7" t="n">
        <f aca="false">IF(F768&lt;0,A768,0)</f>
        <v>763</v>
      </c>
      <c r="J768" s="7" t="str">
        <f aca="false">IF(G768&gt;=0,A768,"")</f>
        <v/>
      </c>
      <c r="K768" s="7" t="n">
        <f aca="false">IF(G768&lt;0,A768,0)</f>
        <v>763</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802326360</v>
      </c>
      <c r="D769" s="25" t="n">
        <f aca="false">('Chi phí'!$C$77+'Chi phí'!$D$77*B769+'Chi phí'!$E$77*A769+'Giả định'!$B$15*('Chi phí'!$F$77+'Chi phí'!$G$77*B769+'Chi phí'!$H$77*A769))*(1+'Giả định'!$B$16)</f>
        <v>945931360</v>
      </c>
      <c r="E769" s="25" t="n">
        <f aca="false">A769/'Giả định'!$B$19*'Giả định'!$B$20+A769*'Giả định'!$B$23+'Giả định'!$B$24</f>
        <v>284413445.378151</v>
      </c>
      <c r="F769" s="25" t="n">
        <f aca="false">E769-D769</f>
        <v>-661517914.621849</v>
      </c>
      <c r="G769" s="25" t="n">
        <f aca="false">E769-C769</f>
        <v>-517912914.621849</v>
      </c>
      <c r="H769" s="7" t="str">
        <f aca="false">IF(F769&gt;=0,A769,"")</f>
        <v/>
      </c>
      <c r="I769" s="7" t="n">
        <f aca="false">IF(F769&lt;0,A769,0)</f>
        <v>764</v>
      </c>
      <c r="J769" s="7" t="str">
        <f aca="false">IF(G769&gt;=0,A769,"")</f>
        <v/>
      </c>
      <c r="K769" s="7" t="n">
        <f aca="false">IF(G769&lt;0,A769,0)</f>
        <v>764</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802363100</v>
      </c>
      <c r="D770" s="25" t="n">
        <f aca="false">('Chi phí'!$C$77+'Chi phí'!$D$77*B770+'Chi phí'!$E$77*A770+'Giả định'!$B$15*('Chi phí'!$F$77+'Chi phí'!$G$77*B770+'Chi phí'!$H$77*A770))*(1+'Giả định'!$B$16)</f>
        <v>945968100</v>
      </c>
      <c r="E770" s="25" t="n">
        <f aca="false">A770/'Giả định'!$B$19*'Giả định'!$B$20+A770*'Giả định'!$B$23+'Giả định'!$B$24</f>
        <v>284785714.285714</v>
      </c>
      <c r="F770" s="25" t="n">
        <f aca="false">E770-D770</f>
        <v>-661182385.714286</v>
      </c>
      <c r="G770" s="25" t="n">
        <f aca="false">E770-C770</f>
        <v>-517577385.714286</v>
      </c>
      <c r="H770" s="7" t="str">
        <f aca="false">IF(F770&gt;=0,A770,"")</f>
        <v/>
      </c>
      <c r="I770" s="7" t="n">
        <f aca="false">IF(F770&lt;0,A770,0)</f>
        <v>765</v>
      </c>
      <c r="J770" s="7" t="str">
        <f aca="false">IF(G770&gt;=0,A770,"")</f>
        <v/>
      </c>
      <c r="K770" s="7" t="n">
        <f aca="false">IF(G770&lt;0,A770,0)</f>
        <v>765</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802399840</v>
      </c>
      <c r="D771" s="25" t="n">
        <f aca="false">('Chi phí'!$C$77+'Chi phí'!$D$77*B771+'Chi phí'!$E$77*A771+'Giả định'!$B$15*('Chi phí'!$F$77+'Chi phí'!$G$77*B771+'Chi phí'!$H$77*A771))*(1+'Giả định'!$B$16)</f>
        <v>946004840</v>
      </c>
      <c r="E771" s="25" t="n">
        <f aca="false">A771/'Giả định'!$B$19*'Giả định'!$B$20+A771*'Giả định'!$B$23+'Giả định'!$B$24</f>
        <v>285157983.193277</v>
      </c>
      <c r="F771" s="25" t="n">
        <f aca="false">E771-D771</f>
        <v>-660846856.806723</v>
      </c>
      <c r="G771" s="25" t="n">
        <f aca="false">E771-C771</f>
        <v>-517241856.806723</v>
      </c>
      <c r="H771" s="7" t="str">
        <f aca="false">IF(F771&gt;=0,A771,"")</f>
        <v/>
      </c>
      <c r="I771" s="7" t="n">
        <f aca="false">IF(F771&lt;0,A771,0)</f>
        <v>766</v>
      </c>
      <c r="J771" s="7" t="str">
        <f aca="false">IF(G771&gt;=0,A771,"")</f>
        <v/>
      </c>
      <c r="K771" s="7" t="n">
        <f aca="false">IF(G771&lt;0,A771,0)</f>
        <v>766</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802436580</v>
      </c>
      <c r="D772" s="25" t="n">
        <f aca="false">('Chi phí'!$C$77+'Chi phí'!$D$77*B772+'Chi phí'!$E$77*A772+'Giả định'!$B$15*('Chi phí'!$F$77+'Chi phí'!$G$77*B772+'Chi phí'!$H$77*A772))*(1+'Giả định'!$B$16)</f>
        <v>946041580</v>
      </c>
      <c r="E772" s="25" t="n">
        <f aca="false">A772/'Giả định'!$B$19*'Giả định'!$B$20+A772*'Giả định'!$B$23+'Giả định'!$B$24</f>
        <v>285530252.10084</v>
      </c>
      <c r="F772" s="25" t="n">
        <f aca="false">E772-D772</f>
        <v>-660511327.89916</v>
      </c>
      <c r="G772" s="25" t="n">
        <f aca="false">E772-C772</f>
        <v>-516906327.89916</v>
      </c>
      <c r="H772" s="7" t="str">
        <f aca="false">IF(F772&gt;=0,A772,"")</f>
        <v/>
      </c>
      <c r="I772" s="7" t="n">
        <f aca="false">IF(F772&lt;0,A772,0)</f>
        <v>767</v>
      </c>
      <c r="J772" s="7" t="str">
        <f aca="false">IF(G772&gt;=0,A772,"")</f>
        <v/>
      </c>
      <c r="K772" s="7" t="n">
        <f aca="false">IF(G772&lt;0,A772,0)</f>
        <v>767</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802473320</v>
      </c>
      <c r="D773" s="25" t="n">
        <f aca="false">('Chi phí'!$C$77+'Chi phí'!$D$77*B773+'Chi phí'!$E$77*A773+'Giả định'!$B$15*('Chi phí'!$F$77+'Chi phí'!$G$77*B773+'Chi phí'!$H$77*A773))*(1+'Giả định'!$B$16)</f>
        <v>946078320</v>
      </c>
      <c r="E773" s="25" t="n">
        <f aca="false">A773/'Giả định'!$B$19*'Giả định'!$B$20+A773*'Giả định'!$B$23+'Giả định'!$B$24</f>
        <v>285902521.008403</v>
      </c>
      <c r="F773" s="25" t="n">
        <f aca="false">E773-D773</f>
        <v>-660175798.991597</v>
      </c>
      <c r="G773" s="25" t="n">
        <f aca="false">E773-C773</f>
        <v>-516570798.991597</v>
      </c>
      <c r="H773" s="7" t="str">
        <f aca="false">IF(F773&gt;=0,A773,"")</f>
        <v/>
      </c>
      <c r="I773" s="7" t="n">
        <f aca="false">IF(F773&lt;0,A773,0)</f>
        <v>768</v>
      </c>
      <c r="J773" s="7" t="str">
        <f aca="false">IF(G773&gt;=0,A773,"")</f>
        <v/>
      </c>
      <c r="K773" s="7" t="n">
        <f aca="false">IF(G773&lt;0,A773,0)</f>
        <v>768</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802510060</v>
      </c>
      <c r="D774" s="25" t="n">
        <f aca="false">('Chi phí'!$C$77+'Chi phí'!$D$77*B774+'Chi phí'!$E$77*A774+'Giả định'!$B$15*('Chi phí'!$F$77+'Chi phí'!$G$77*B774+'Chi phí'!$H$77*A774))*(1+'Giả định'!$B$16)</f>
        <v>946115060</v>
      </c>
      <c r="E774" s="25" t="n">
        <f aca="false">A774/'Giả định'!$B$19*'Giả định'!$B$20+A774*'Giả định'!$B$23+'Giả định'!$B$24</f>
        <v>286274789.915966</v>
      </c>
      <c r="F774" s="25" t="n">
        <f aca="false">E774-D774</f>
        <v>-659840270.084034</v>
      </c>
      <c r="G774" s="25" t="n">
        <f aca="false">E774-C774</f>
        <v>-516235270.084034</v>
      </c>
      <c r="H774" s="7" t="str">
        <f aca="false">IF(F774&gt;=0,A774,"")</f>
        <v/>
      </c>
      <c r="I774" s="7" t="n">
        <f aca="false">IF(F774&lt;0,A774,0)</f>
        <v>769</v>
      </c>
      <c r="J774" s="7" t="str">
        <f aca="false">IF(G774&gt;=0,A774,"")</f>
        <v/>
      </c>
      <c r="K774" s="7" t="n">
        <f aca="false">IF(G774&lt;0,A774,0)</f>
        <v>769</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802546800</v>
      </c>
      <c r="D775" s="25" t="n">
        <f aca="false">('Chi phí'!$C$77+'Chi phí'!$D$77*B775+'Chi phí'!$E$77*A775+'Giả định'!$B$15*('Chi phí'!$F$77+'Chi phí'!$G$77*B775+'Chi phí'!$H$77*A775))*(1+'Giả định'!$B$16)</f>
        <v>946151800</v>
      </c>
      <c r="E775" s="25" t="n">
        <f aca="false">A775/'Giả định'!$B$19*'Giả định'!$B$20+A775*'Giả định'!$B$23+'Giả định'!$B$24</f>
        <v>286647058.823529</v>
      </c>
      <c r="F775" s="25" t="n">
        <f aca="false">E775-D775</f>
        <v>-659504741.176471</v>
      </c>
      <c r="G775" s="25" t="n">
        <f aca="false">E775-C775</f>
        <v>-515899741.176471</v>
      </c>
      <c r="H775" s="7" t="str">
        <f aca="false">IF(F775&gt;=0,A775,"")</f>
        <v/>
      </c>
      <c r="I775" s="7" t="n">
        <f aca="false">IF(F775&lt;0,A775,0)</f>
        <v>770</v>
      </c>
      <c r="J775" s="7" t="str">
        <f aca="false">IF(G775&gt;=0,A775,"")</f>
        <v/>
      </c>
      <c r="K775" s="7" t="n">
        <f aca="false">IF(G775&lt;0,A775,0)</f>
        <v>770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811757540</v>
      </c>
      <c r="D776" s="25" t="n">
        <f aca="false">('Chi phí'!$C$77+'Chi phí'!$D$77*B776+'Chi phí'!$E$77*A776+'Giả định'!$B$15*('Chi phí'!$F$77+'Chi phí'!$G$77*B776+'Chi phí'!$H$77*A776))*(1+'Giả định'!$B$16)</f>
        <v>955362540</v>
      </c>
      <c r="E776" s="25" t="n">
        <f aca="false">A776/'Giả định'!$B$19*'Giả định'!$B$20+A776*'Giả định'!$B$23+'Giả định'!$B$24</f>
        <v>287019327.731092</v>
      </c>
      <c r="F776" s="25" t="n">
        <f aca="false">E776-D776</f>
        <v>-668343212.268908</v>
      </c>
      <c r="G776" s="25" t="n">
        <f aca="false">E776-C776</f>
        <v>-524738212.268908</v>
      </c>
      <c r="H776" s="7" t="str">
        <f aca="false">IF(F776&gt;=0,A776,"")</f>
        <v/>
      </c>
      <c r="I776" s="7" t="n">
        <f aca="false">IF(F776&lt;0,A776,0)</f>
        <v>771</v>
      </c>
      <c r="J776" s="7" t="str">
        <f aca="false">IF(G776&gt;=0,A776,"")</f>
        <v/>
      </c>
      <c r="K776" s="7" t="n">
        <f aca="false">IF(G776&lt;0,A776,0)</f>
        <v>771</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811794280</v>
      </c>
      <c r="D777" s="25" t="n">
        <f aca="false">('Chi phí'!$C$77+'Chi phí'!$D$77*B777+'Chi phí'!$E$77*A777+'Giả định'!$B$15*('Chi phí'!$F$77+'Chi phí'!$G$77*B777+'Chi phí'!$H$77*A777))*(1+'Giả định'!$B$16)</f>
        <v>955399280</v>
      </c>
      <c r="E777" s="25" t="n">
        <f aca="false">A777/'Giả định'!$B$19*'Giả định'!$B$20+A777*'Giả định'!$B$23+'Giả định'!$B$24</f>
        <v>287391596.638656</v>
      </c>
      <c r="F777" s="25" t="n">
        <f aca="false">E777-D777</f>
        <v>-668007683.361345</v>
      </c>
      <c r="G777" s="25" t="n">
        <f aca="false">E777-C777</f>
        <v>-524402683.361345</v>
      </c>
      <c r="H777" s="7" t="str">
        <f aca="false">IF(F777&gt;=0,A777,"")</f>
        <v/>
      </c>
      <c r="I777" s="7" t="n">
        <f aca="false">IF(F777&lt;0,A777,0)</f>
        <v>772</v>
      </c>
      <c r="J777" s="7" t="str">
        <f aca="false">IF(G777&gt;=0,A777,"")</f>
        <v/>
      </c>
      <c r="K777" s="7" t="n">
        <f aca="false">IF(G777&lt;0,A777,0)</f>
        <v>772</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811831020</v>
      </c>
      <c r="D778" s="25" t="n">
        <f aca="false">('Chi phí'!$C$77+'Chi phí'!$D$77*B778+'Chi phí'!$E$77*A778+'Giả định'!$B$15*('Chi phí'!$F$77+'Chi phí'!$G$77*B778+'Chi phí'!$H$77*A778))*(1+'Giả định'!$B$16)</f>
        <v>955436020</v>
      </c>
      <c r="E778" s="25" t="n">
        <f aca="false">A778/'Giả định'!$B$19*'Giả định'!$B$20+A778*'Giả định'!$B$23+'Giả định'!$B$24</f>
        <v>287763865.546219</v>
      </c>
      <c r="F778" s="25" t="n">
        <f aca="false">E778-D778</f>
        <v>-667672154.453782</v>
      </c>
      <c r="G778" s="25" t="n">
        <f aca="false">E778-C778</f>
        <v>-524067154.453782</v>
      </c>
      <c r="H778" s="7" t="str">
        <f aca="false">IF(F778&gt;=0,A778,"")</f>
        <v/>
      </c>
      <c r="I778" s="7" t="n">
        <f aca="false">IF(F778&lt;0,A778,0)</f>
        <v>773</v>
      </c>
      <c r="J778" s="7" t="str">
        <f aca="false">IF(G778&gt;=0,A778,"")</f>
        <v/>
      </c>
      <c r="K778" s="7" t="n">
        <f aca="false">IF(G778&lt;0,A778,0)</f>
        <v>773</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811867760</v>
      </c>
      <c r="D779" s="25" t="n">
        <f aca="false">('Chi phí'!$C$77+'Chi phí'!$D$77*B779+'Chi phí'!$E$77*A779+'Giả định'!$B$15*('Chi phí'!$F$77+'Chi phí'!$G$77*B779+'Chi phí'!$H$77*A779))*(1+'Giả định'!$B$16)</f>
        <v>955472760</v>
      </c>
      <c r="E779" s="25" t="n">
        <f aca="false">A779/'Giả định'!$B$19*'Giả định'!$B$20+A779*'Giả định'!$B$23+'Giả định'!$B$24</f>
        <v>288136134.453782</v>
      </c>
      <c r="F779" s="25" t="n">
        <f aca="false">E779-D779</f>
        <v>-667336625.546219</v>
      </c>
      <c r="G779" s="25" t="n">
        <f aca="false">E779-C779</f>
        <v>-523731625.546219</v>
      </c>
      <c r="H779" s="7" t="str">
        <f aca="false">IF(F779&gt;=0,A779,"")</f>
        <v/>
      </c>
      <c r="I779" s="7" t="n">
        <f aca="false">IF(F779&lt;0,A779,0)</f>
        <v>774</v>
      </c>
      <c r="J779" s="7" t="str">
        <f aca="false">IF(G779&gt;=0,A779,"")</f>
        <v/>
      </c>
      <c r="K779" s="7" t="n">
        <f aca="false">IF(G779&lt;0,A779,0)</f>
        <v>774</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811904500</v>
      </c>
      <c r="D780" s="25" t="n">
        <f aca="false">('Chi phí'!$C$77+'Chi phí'!$D$77*B780+'Chi phí'!$E$77*A780+'Giả định'!$B$15*('Chi phí'!$F$77+'Chi phí'!$G$77*B780+'Chi phí'!$H$77*A780))*(1+'Giả định'!$B$16)</f>
        <v>955509500</v>
      </c>
      <c r="E780" s="25" t="n">
        <f aca="false">A780/'Giả định'!$B$19*'Giả định'!$B$20+A780*'Giả định'!$B$23+'Giả định'!$B$24</f>
        <v>288508403.361345</v>
      </c>
      <c r="F780" s="25" t="n">
        <f aca="false">E780-D780</f>
        <v>-667001096.638656</v>
      </c>
      <c r="G780" s="25" t="n">
        <f aca="false">E780-C780</f>
        <v>-523396096.638656</v>
      </c>
      <c r="H780" s="7" t="str">
        <f aca="false">IF(F780&gt;=0,A780,"")</f>
        <v/>
      </c>
      <c r="I780" s="7" t="n">
        <f aca="false">IF(F780&lt;0,A780,0)</f>
        <v>775</v>
      </c>
      <c r="J780" s="7" t="str">
        <f aca="false">IF(G780&gt;=0,A780,"")</f>
        <v/>
      </c>
      <c r="K780" s="7" t="n">
        <f aca="false">IF(G780&lt;0,A780,0)</f>
        <v>775</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811941240</v>
      </c>
      <c r="D781" s="25" t="n">
        <f aca="false">('Chi phí'!$C$77+'Chi phí'!$D$77*B781+'Chi phí'!$E$77*A781+'Giả định'!$B$15*('Chi phí'!$F$77+'Chi phí'!$G$77*B781+'Chi phí'!$H$77*A781))*(1+'Giả định'!$B$16)</f>
        <v>955546240</v>
      </c>
      <c r="E781" s="25" t="n">
        <f aca="false">A781/'Giả định'!$B$19*'Giả định'!$B$20+A781*'Giả định'!$B$23+'Giả định'!$B$24</f>
        <v>288880672.268908</v>
      </c>
      <c r="F781" s="25" t="n">
        <f aca="false">E781-D781</f>
        <v>-666665567.731093</v>
      </c>
      <c r="G781" s="25" t="n">
        <f aca="false">E781-C781</f>
        <v>-523060567.731093</v>
      </c>
      <c r="H781" s="7" t="str">
        <f aca="false">IF(F781&gt;=0,A781,"")</f>
        <v/>
      </c>
      <c r="I781" s="7" t="n">
        <f aca="false">IF(F781&lt;0,A781,0)</f>
        <v>776</v>
      </c>
      <c r="J781" s="7" t="str">
        <f aca="false">IF(G781&gt;=0,A781,"")</f>
        <v/>
      </c>
      <c r="K781" s="7" t="n">
        <f aca="false">IF(G781&lt;0,A781,0)</f>
        <v>776</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811977980</v>
      </c>
      <c r="D782" s="25" t="n">
        <f aca="false">('Chi phí'!$C$77+'Chi phí'!$D$77*B782+'Chi phí'!$E$77*A782+'Giả định'!$B$15*('Chi phí'!$F$77+'Chi phí'!$G$77*B782+'Chi phí'!$H$77*A782))*(1+'Giả định'!$B$16)</f>
        <v>955582980</v>
      </c>
      <c r="E782" s="25" t="n">
        <f aca="false">A782/'Giả định'!$B$19*'Giả định'!$B$20+A782*'Giả định'!$B$23+'Giả định'!$B$24</f>
        <v>289252941.176471</v>
      </c>
      <c r="F782" s="25" t="n">
        <f aca="false">E782-D782</f>
        <v>-666330038.82353</v>
      </c>
      <c r="G782" s="25" t="n">
        <f aca="false">E782-C782</f>
        <v>-522725038.82353</v>
      </c>
      <c r="H782" s="7" t="str">
        <f aca="false">IF(F782&gt;=0,A782,"")</f>
        <v/>
      </c>
      <c r="I782" s="7" t="n">
        <f aca="false">IF(F782&lt;0,A782,0)</f>
        <v>777</v>
      </c>
      <c r="J782" s="7" t="str">
        <f aca="false">IF(G782&gt;=0,A782,"")</f>
        <v/>
      </c>
      <c r="K782" s="7" t="n">
        <f aca="false">IF(G782&lt;0,A782,0)</f>
        <v>777</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812014720</v>
      </c>
      <c r="D783" s="25" t="n">
        <f aca="false">('Chi phí'!$C$77+'Chi phí'!$D$77*B783+'Chi phí'!$E$77*A783+'Giả định'!$B$15*('Chi phí'!$F$77+'Chi phí'!$G$77*B783+'Chi phí'!$H$77*A783))*(1+'Giả định'!$B$16)</f>
        <v>955619720</v>
      </c>
      <c r="E783" s="25" t="n">
        <f aca="false">A783/'Giả định'!$B$19*'Giả định'!$B$20+A783*'Giả định'!$B$23+'Giả định'!$B$24</f>
        <v>289625210.084034</v>
      </c>
      <c r="F783" s="25" t="n">
        <f aca="false">E783-D783</f>
        <v>-665994509.915967</v>
      </c>
      <c r="G783" s="25" t="n">
        <f aca="false">E783-C783</f>
        <v>-522389509.915967</v>
      </c>
      <c r="H783" s="7" t="str">
        <f aca="false">IF(F783&gt;=0,A783,"")</f>
        <v/>
      </c>
      <c r="I783" s="7" t="n">
        <f aca="false">IF(F783&lt;0,A783,0)</f>
        <v>778</v>
      </c>
      <c r="J783" s="7" t="str">
        <f aca="false">IF(G783&gt;=0,A783,"")</f>
        <v/>
      </c>
      <c r="K783" s="7" t="n">
        <f aca="false">IF(G783&lt;0,A783,0)</f>
        <v>778</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812051460</v>
      </c>
      <c r="D784" s="25" t="n">
        <f aca="false">('Chi phí'!$C$77+'Chi phí'!$D$77*B784+'Chi phí'!$E$77*A784+'Giả định'!$B$15*('Chi phí'!$F$77+'Chi phí'!$G$77*B784+'Chi phí'!$H$77*A784))*(1+'Giả định'!$B$16)</f>
        <v>955656460</v>
      </c>
      <c r="E784" s="25" t="n">
        <f aca="false">A784/'Giả định'!$B$19*'Giả định'!$B$20+A784*'Giả định'!$B$23+'Giả định'!$B$24</f>
        <v>289997478.991597</v>
      </c>
      <c r="F784" s="25" t="n">
        <f aca="false">E784-D784</f>
        <v>-665658981.008404</v>
      </c>
      <c r="G784" s="25" t="n">
        <f aca="false">E784-C784</f>
        <v>-522053981.008404</v>
      </c>
      <c r="H784" s="7" t="str">
        <f aca="false">IF(F784&gt;=0,A784,"")</f>
        <v/>
      </c>
      <c r="I784" s="7" t="n">
        <f aca="false">IF(F784&lt;0,A784,0)</f>
        <v>779</v>
      </c>
      <c r="J784" s="7" t="str">
        <f aca="false">IF(G784&gt;=0,A784,"")</f>
        <v/>
      </c>
      <c r="K784" s="7" t="n">
        <f aca="false">IF(G784&lt;0,A784,0)</f>
        <v>779</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812088200</v>
      </c>
      <c r="D785" s="25" t="n">
        <f aca="false">('Chi phí'!$C$77+'Chi phí'!$D$77*B785+'Chi phí'!$E$77*A785+'Giả định'!$B$15*('Chi phí'!$F$77+'Chi phí'!$G$77*B785+'Chi phí'!$H$77*A785))*(1+'Giả định'!$B$16)</f>
        <v>955693200</v>
      </c>
      <c r="E785" s="25" t="n">
        <f aca="false">A785/'Giả định'!$B$19*'Giả định'!$B$20+A785*'Giả định'!$B$23+'Giả định'!$B$24</f>
        <v>290369747.89916</v>
      </c>
      <c r="F785" s="25" t="n">
        <f aca="false">E785-D785</f>
        <v>-665323452.10084</v>
      </c>
      <c r="G785" s="25" t="n">
        <f aca="false">E785-C785</f>
        <v>-521718452.10084</v>
      </c>
      <c r="H785" s="7" t="str">
        <f aca="false">IF(F785&gt;=0,A785,"")</f>
        <v/>
      </c>
      <c r="I785" s="7" t="n">
        <f aca="false">IF(F785&lt;0,A785,0)</f>
        <v>780</v>
      </c>
      <c r="J785" s="7" t="str">
        <f aca="false">IF(G785&gt;=0,A785,"")</f>
        <v/>
      </c>
      <c r="K785" s="7" t="n">
        <f aca="false">IF(G785&lt;0,A785,0)</f>
        <v>780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821298940</v>
      </c>
      <c r="D786" s="25" t="n">
        <f aca="false">('Chi phí'!$C$77+'Chi phí'!$D$77*B786+'Chi phí'!$E$77*A786+'Giả định'!$B$15*('Chi phí'!$F$77+'Chi phí'!$G$77*B786+'Chi phí'!$H$77*A786))*(1+'Giả định'!$B$16)</f>
        <v>964903940</v>
      </c>
      <c r="E786" s="25" t="n">
        <f aca="false">A786/'Giả định'!$B$19*'Giả định'!$B$20+A786*'Giả định'!$B$23+'Giả định'!$B$24</f>
        <v>290742016.806723</v>
      </c>
      <c r="F786" s="25" t="n">
        <f aca="false">E786-D786</f>
        <v>-674161923.193277</v>
      </c>
      <c r="G786" s="25" t="n">
        <f aca="false">E786-C786</f>
        <v>-530556923.193277</v>
      </c>
      <c r="H786" s="7" t="str">
        <f aca="false">IF(F786&gt;=0,A786,"")</f>
        <v/>
      </c>
      <c r="I786" s="7" t="n">
        <f aca="false">IF(F786&lt;0,A786,0)</f>
        <v>781</v>
      </c>
      <c r="J786" s="7" t="str">
        <f aca="false">IF(G786&gt;=0,A786,"")</f>
        <v/>
      </c>
      <c r="K786" s="7" t="n">
        <f aca="false">IF(G786&lt;0,A786,0)</f>
        <v>781</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821335680</v>
      </c>
      <c r="D787" s="25" t="n">
        <f aca="false">('Chi phí'!$C$77+'Chi phí'!$D$77*B787+'Chi phí'!$E$77*A787+'Giả định'!$B$15*('Chi phí'!$F$77+'Chi phí'!$G$77*B787+'Chi phí'!$H$77*A787))*(1+'Giả định'!$B$16)</f>
        <v>964940680</v>
      </c>
      <c r="E787" s="25" t="n">
        <f aca="false">A787/'Giả định'!$B$19*'Giả định'!$B$20+A787*'Giả định'!$B$23+'Giả định'!$B$24</f>
        <v>291114285.714286</v>
      </c>
      <c r="F787" s="25" t="n">
        <f aca="false">E787-D787</f>
        <v>-673826394.285714</v>
      </c>
      <c r="G787" s="25" t="n">
        <f aca="false">E787-C787</f>
        <v>-530221394.285714</v>
      </c>
      <c r="H787" s="7" t="str">
        <f aca="false">IF(F787&gt;=0,A787,"")</f>
        <v/>
      </c>
      <c r="I787" s="7" t="n">
        <f aca="false">IF(F787&lt;0,A787,0)</f>
        <v>782</v>
      </c>
      <c r="J787" s="7" t="str">
        <f aca="false">IF(G787&gt;=0,A787,"")</f>
        <v/>
      </c>
      <c r="K787" s="7" t="n">
        <f aca="false">IF(G787&lt;0,A787,0)</f>
        <v>782</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821372420</v>
      </c>
      <c r="D788" s="25" t="n">
        <f aca="false">('Chi phí'!$C$77+'Chi phí'!$D$77*B788+'Chi phí'!$E$77*A788+'Giả định'!$B$15*('Chi phí'!$F$77+'Chi phí'!$G$77*B788+'Chi phí'!$H$77*A788))*(1+'Giả định'!$B$16)</f>
        <v>964977420</v>
      </c>
      <c r="E788" s="25" t="n">
        <f aca="false">A788/'Giả định'!$B$19*'Giả định'!$B$20+A788*'Giả định'!$B$23+'Giả định'!$B$24</f>
        <v>291486554.621849</v>
      </c>
      <c r="F788" s="25" t="n">
        <f aca="false">E788-D788</f>
        <v>-673490865.378151</v>
      </c>
      <c r="G788" s="25" t="n">
        <f aca="false">E788-C788</f>
        <v>-529885865.378151</v>
      </c>
      <c r="H788" s="7" t="str">
        <f aca="false">IF(F788&gt;=0,A788,"")</f>
        <v/>
      </c>
      <c r="I788" s="7" t="n">
        <f aca="false">IF(F788&lt;0,A788,0)</f>
        <v>783</v>
      </c>
      <c r="J788" s="7" t="str">
        <f aca="false">IF(G788&gt;=0,A788,"")</f>
        <v/>
      </c>
      <c r="K788" s="7" t="n">
        <f aca="false">IF(G788&lt;0,A788,0)</f>
        <v>783</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821409160</v>
      </c>
      <c r="D789" s="25" t="n">
        <f aca="false">('Chi phí'!$C$77+'Chi phí'!$D$77*B789+'Chi phí'!$E$77*A789+'Giả định'!$B$15*('Chi phí'!$F$77+'Chi phí'!$G$77*B789+'Chi phí'!$H$77*A789))*(1+'Giả định'!$B$16)</f>
        <v>965014160</v>
      </c>
      <c r="E789" s="25" t="n">
        <f aca="false">A789/'Giả định'!$B$19*'Giả định'!$B$20+A789*'Giả định'!$B$23+'Giả định'!$B$24</f>
        <v>291858823.529412</v>
      </c>
      <c r="F789" s="25" t="n">
        <f aca="false">E789-D789</f>
        <v>-673155336.470588</v>
      </c>
      <c r="G789" s="25" t="n">
        <f aca="false">E789-C789</f>
        <v>-529550336.470588</v>
      </c>
      <c r="H789" s="7" t="str">
        <f aca="false">IF(F789&gt;=0,A789,"")</f>
        <v/>
      </c>
      <c r="I789" s="7" t="n">
        <f aca="false">IF(F789&lt;0,A789,0)</f>
        <v>784</v>
      </c>
      <c r="J789" s="7" t="str">
        <f aca="false">IF(G789&gt;=0,A789,"")</f>
        <v/>
      </c>
      <c r="K789" s="7" t="n">
        <f aca="false">IF(G789&lt;0,A789,0)</f>
        <v>784</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821445900</v>
      </c>
      <c r="D790" s="25" t="n">
        <f aca="false">('Chi phí'!$C$77+'Chi phí'!$D$77*B790+'Chi phí'!$E$77*A790+'Giả định'!$B$15*('Chi phí'!$F$77+'Chi phí'!$G$77*B790+'Chi phí'!$H$77*A790))*(1+'Giả định'!$B$16)</f>
        <v>965050900</v>
      </c>
      <c r="E790" s="25" t="n">
        <f aca="false">A790/'Giả định'!$B$19*'Giả định'!$B$20+A790*'Giả định'!$B$23+'Giả định'!$B$24</f>
        <v>292231092.436975</v>
      </c>
      <c r="F790" s="25" t="n">
        <f aca="false">E790-D790</f>
        <v>-672819807.563025</v>
      </c>
      <c r="G790" s="25" t="n">
        <f aca="false">E790-C790</f>
        <v>-529214807.563025</v>
      </c>
      <c r="H790" s="7" t="str">
        <f aca="false">IF(F790&gt;=0,A790,"")</f>
        <v/>
      </c>
      <c r="I790" s="7" t="n">
        <f aca="false">IF(F790&lt;0,A790,0)</f>
        <v>785</v>
      </c>
      <c r="J790" s="7" t="str">
        <f aca="false">IF(G790&gt;=0,A790,"")</f>
        <v/>
      </c>
      <c r="K790" s="7" t="n">
        <f aca="false">IF(G790&lt;0,A790,0)</f>
        <v>785</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821482640</v>
      </c>
      <c r="D791" s="25" t="n">
        <f aca="false">('Chi phí'!$C$77+'Chi phí'!$D$77*B791+'Chi phí'!$E$77*A791+'Giả định'!$B$15*('Chi phí'!$F$77+'Chi phí'!$G$77*B791+'Chi phí'!$H$77*A791))*(1+'Giả định'!$B$16)</f>
        <v>965087640</v>
      </c>
      <c r="E791" s="25" t="n">
        <f aca="false">A791/'Giả định'!$B$19*'Giả định'!$B$20+A791*'Giả định'!$B$23+'Giả định'!$B$24</f>
        <v>292603361.344538</v>
      </c>
      <c r="F791" s="25" t="n">
        <f aca="false">E791-D791</f>
        <v>-672484278.655462</v>
      </c>
      <c r="G791" s="25" t="n">
        <f aca="false">E791-C791</f>
        <v>-528879278.655462</v>
      </c>
      <c r="H791" s="7" t="str">
        <f aca="false">IF(F791&gt;=0,A791,"")</f>
        <v/>
      </c>
      <c r="I791" s="7" t="n">
        <f aca="false">IF(F791&lt;0,A791,0)</f>
        <v>786</v>
      </c>
      <c r="J791" s="7" t="str">
        <f aca="false">IF(G791&gt;=0,A791,"")</f>
        <v/>
      </c>
      <c r="K791" s="7" t="n">
        <f aca="false">IF(G791&lt;0,A791,0)</f>
        <v>786</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821519380</v>
      </c>
      <c r="D792" s="25" t="n">
        <f aca="false">('Chi phí'!$C$77+'Chi phí'!$D$77*B792+'Chi phí'!$E$77*A792+'Giả định'!$B$15*('Chi phí'!$F$77+'Chi phí'!$G$77*B792+'Chi phí'!$H$77*A792))*(1+'Giả định'!$B$16)</f>
        <v>965124380</v>
      </c>
      <c r="E792" s="25" t="n">
        <f aca="false">A792/'Giả định'!$B$19*'Giả định'!$B$20+A792*'Giả định'!$B$23+'Giả định'!$B$24</f>
        <v>292975630.252101</v>
      </c>
      <c r="F792" s="25" t="n">
        <f aca="false">E792-D792</f>
        <v>-672148749.747899</v>
      </c>
      <c r="G792" s="25" t="n">
        <f aca="false">E792-C792</f>
        <v>-528543749.747899</v>
      </c>
      <c r="H792" s="7" t="str">
        <f aca="false">IF(F792&gt;=0,A792,"")</f>
        <v/>
      </c>
      <c r="I792" s="7" t="n">
        <f aca="false">IF(F792&lt;0,A792,0)</f>
        <v>787</v>
      </c>
      <c r="J792" s="7" t="str">
        <f aca="false">IF(G792&gt;=0,A792,"")</f>
        <v/>
      </c>
      <c r="K792" s="7" t="n">
        <f aca="false">IF(G792&lt;0,A792,0)</f>
        <v>787</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821556120</v>
      </c>
      <c r="D793" s="25" t="n">
        <f aca="false">('Chi phí'!$C$77+'Chi phí'!$D$77*B793+'Chi phí'!$E$77*A793+'Giả định'!$B$15*('Chi phí'!$F$77+'Chi phí'!$G$77*B793+'Chi phí'!$H$77*A793))*(1+'Giả định'!$B$16)</f>
        <v>965161120</v>
      </c>
      <c r="E793" s="25" t="n">
        <f aca="false">A793/'Giả định'!$B$19*'Giả định'!$B$20+A793*'Giả định'!$B$23+'Giả định'!$B$24</f>
        <v>293347899.159664</v>
      </c>
      <c r="F793" s="25" t="n">
        <f aca="false">E793-D793</f>
        <v>-671813220.840336</v>
      </c>
      <c r="G793" s="25" t="n">
        <f aca="false">E793-C793</f>
        <v>-528208220.840336</v>
      </c>
      <c r="H793" s="7" t="str">
        <f aca="false">IF(F793&gt;=0,A793,"")</f>
        <v/>
      </c>
      <c r="I793" s="7" t="n">
        <f aca="false">IF(F793&lt;0,A793,0)</f>
        <v>788</v>
      </c>
      <c r="J793" s="7" t="str">
        <f aca="false">IF(G793&gt;=0,A793,"")</f>
        <v/>
      </c>
      <c r="K793" s="7" t="n">
        <f aca="false">IF(G793&lt;0,A793,0)</f>
        <v>788</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821592860</v>
      </c>
      <c r="D794" s="25" t="n">
        <f aca="false">('Chi phí'!$C$77+'Chi phí'!$D$77*B794+'Chi phí'!$E$77*A794+'Giả định'!$B$15*('Chi phí'!$F$77+'Chi phí'!$G$77*B794+'Chi phí'!$H$77*A794))*(1+'Giả định'!$B$16)</f>
        <v>965197860</v>
      </c>
      <c r="E794" s="25" t="n">
        <f aca="false">A794/'Giả định'!$B$19*'Giả định'!$B$20+A794*'Giả định'!$B$23+'Giả định'!$B$24</f>
        <v>293720168.067227</v>
      </c>
      <c r="F794" s="25" t="n">
        <f aca="false">E794-D794</f>
        <v>-671477691.932773</v>
      </c>
      <c r="G794" s="25" t="n">
        <f aca="false">E794-C794</f>
        <v>-527872691.932773</v>
      </c>
      <c r="H794" s="7" t="str">
        <f aca="false">IF(F794&gt;=0,A794,"")</f>
        <v/>
      </c>
      <c r="I794" s="7" t="n">
        <f aca="false">IF(F794&lt;0,A794,0)</f>
        <v>789</v>
      </c>
      <c r="J794" s="7" t="str">
        <f aca="false">IF(G794&gt;=0,A794,"")</f>
        <v/>
      </c>
      <c r="K794" s="7" t="n">
        <f aca="false">IF(G794&lt;0,A794,0)</f>
        <v>789</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821629600</v>
      </c>
      <c r="D795" s="25" t="n">
        <f aca="false">('Chi phí'!$C$77+'Chi phí'!$D$77*B795+'Chi phí'!$E$77*A795+'Giả định'!$B$15*('Chi phí'!$F$77+'Chi phí'!$G$77*B795+'Chi phí'!$H$77*A795))*(1+'Giả định'!$B$16)</f>
        <v>965234600</v>
      </c>
      <c r="E795" s="25" t="n">
        <f aca="false">A795/'Giả định'!$B$19*'Giả định'!$B$20+A795*'Giả định'!$B$23+'Giả định'!$B$24</f>
        <v>294092436.97479</v>
      </c>
      <c r="F795" s="25" t="n">
        <f aca="false">E795-D795</f>
        <v>-671142163.02521</v>
      </c>
      <c r="G795" s="25" t="n">
        <f aca="false">E795-C795</f>
        <v>-527537163.02521</v>
      </c>
      <c r="H795" s="7" t="str">
        <f aca="false">IF(F795&gt;=0,A795,"")</f>
        <v/>
      </c>
      <c r="I795" s="7" t="n">
        <f aca="false">IF(F795&lt;0,A795,0)</f>
        <v>790</v>
      </c>
      <c r="J795" s="7" t="str">
        <f aca="false">IF(G795&gt;=0,A795,"")</f>
        <v/>
      </c>
      <c r="K795" s="7" t="n">
        <f aca="false">IF(G795&lt;0,A795,0)</f>
        <v>790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830840340</v>
      </c>
      <c r="D796" s="25" t="n">
        <f aca="false">('Chi phí'!$C$77+'Chi phí'!$D$77*B796+'Chi phí'!$E$77*A796+'Giả định'!$B$15*('Chi phí'!$F$77+'Chi phí'!$G$77*B796+'Chi phí'!$H$77*A796))*(1+'Giả định'!$B$16)</f>
        <v>974445340</v>
      </c>
      <c r="E796" s="25" t="n">
        <f aca="false">A796/'Giả định'!$B$19*'Giả định'!$B$20+A796*'Giả định'!$B$23+'Giả định'!$B$24</f>
        <v>294464705.882353</v>
      </c>
      <c r="F796" s="25" t="n">
        <f aca="false">E796-D796</f>
        <v>-679980634.117647</v>
      </c>
      <c r="G796" s="25" t="n">
        <f aca="false">E796-C796</f>
        <v>-536375634.117647</v>
      </c>
      <c r="H796" s="7" t="str">
        <f aca="false">IF(F796&gt;=0,A796,"")</f>
        <v/>
      </c>
      <c r="I796" s="7" t="n">
        <f aca="false">IF(F796&lt;0,A796,0)</f>
        <v>791</v>
      </c>
      <c r="J796" s="7" t="str">
        <f aca="false">IF(G796&gt;=0,A796,"")</f>
        <v/>
      </c>
      <c r="K796" s="7" t="n">
        <f aca="false">IF(G796&lt;0,A796,0)</f>
        <v>791</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830877080</v>
      </c>
      <c r="D797" s="25" t="n">
        <f aca="false">('Chi phí'!$C$77+'Chi phí'!$D$77*B797+'Chi phí'!$E$77*A797+'Giả định'!$B$15*('Chi phí'!$F$77+'Chi phí'!$G$77*B797+'Chi phí'!$H$77*A797))*(1+'Giả định'!$B$16)</f>
        <v>974482080</v>
      </c>
      <c r="E797" s="25" t="n">
        <f aca="false">A797/'Giả định'!$B$19*'Giả định'!$B$20+A797*'Giả định'!$B$23+'Giả định'!$B$24</f>
        <v>294836974.789916</v>
      </c>
      <c r="F797" s="25" t="n">
        <f aca="false">E797-D797</f>
        <v>-679645105.210084</v>
      </c>
      <c r="G797" s="25" t="n">
        <f aca="false">E797-C797</f>
        <v>-536040105.210084</v>
      </c>
      <c r="H797" s="7" t="str">
        <f aca="false">IF(F797&gt;=0,A797,"")</f>
        <v/>
      </c>
      <c r="I797" s="7" t="n">
        <f aca="false">IF(F797&lt;0,A797,0)</f>
        <v>792</v>
      </c>
      <c r="J797" s="7" t="str">
        <f aca="false">IF(G797&gt;=0,A797,"")</f>
        <v/>
      </c>
      <c r="K797" s="7" t="n">
        <f aca="false">IF(G797&lt;0,A797,0)</f>
        <v>792</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830913820</v>
      </c>
      <c r="D798" s="25" t="n">
        <f aca="false">('Chi phí'!$C$77+'Chi phí'!$D$77*B798+'Chi phí'!$E$77*A798+'Giả định'!$B$15*('Chi phí'!$F$77+'Chi phí'!$G$77*B798+'Chi phí'!$H$77*A798))*(1+'Giả định'!$B$16)</f>
        <v>974518820</v>
      </c>
      <c r="E798" s="25" t="n">
        <f aca="false">A798/'Giả định'!$B$19*'Giả định'!$B$20+A798*'Giả định'!$B$23+'Giả định'!$B$24</f>
        <v>295209243.697479</v>
      </c>
      <c r="F798" s="25" t="n">
        <f aca="false">E798-D798</f>
        <v>-679309576.302521</v>
      </c>
      <c r="G798" s="25" t="n">
        <f aca="false">E798-C798</f>
        <v>-535704576.302521</v>
      </c>
      <c r="H798" s="7" t="str">
        <f aca="false">IF(F798&gt;=0,A798,"")</f>
        <v/>
      </c>
      <c r="I798" s="7" t="n">
        <f aca="false">IF(F798&lt;0,A798,0)</f>
        <v>793</v>
      </c>
      <c r="J798" s="7" t="str">
        <f aca="false">IF(G798&gt;=0,A798,"")</f>
        <v/>
      </c>
      <c r="K798" s="7" t="n">
        <f aca="false">IF(G798&lt;0,A798,0)</f>
        <v>793</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830950560</v>
      </c>
      <c r="D799" s="25" t="n">
        <f aca="false">('Chi phí'!$C$77+'Chi phí'!$D$77*B799+'Chi phí'!$E$77*A799+'Giả định'!$B$15*('Chi phí'!$F$77+'Chi phí'!$G$77*B799+'Chi phí'!$H$77*A799))*(1+'Giả định'!$B$16)</f>
        <v>974555560</v>
      </c>
      <c r="E799" s="25" t="n">
        <f aca="false">A799/'Giả định'!$B$19*'Giả định'!$B$20+A799*'Giả định'!$B$23+'Giả định'!$B$24</f>
        <v>295581512.605042</v>
      </c>
      <c r="F799" s="25" t="n">
        <f aca="false">E799-D799</f>
        <v>-678974047.394958</v>
      </c>
      <c r="G799" s="25" t="n">
        <f aca="false">E799-C799</f>
        <v>-535369047.394958</v>
      </c>
      <c r="H799" s="7" t="str">
        <f aca="false">IF(F799&gt;=0,A799,"")</f>
        <v/>
      </c>
      <c r="I799" s="7" t="n">
        <f aca="false">IF(F799&lt;0,A799,0)</f>
        <v>794</v>
      </c>
      <c r="J799" s="7" t="str">
        <f aca="false">IF(G799&gt;=0,A799,"")</f>
        <v/>
      </c>
      <c r="K799" s="7" t="n">
        <f aca="false">IF(G799&lt;0,A799,0)</f>
        <v>794</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830987300</v>
      </c>
      <c r="D800" s="25" t="n">
        <f aca="false">('Chi phí'!$C$77+'Chi phí'!$D$77*B800+'Chi phí'!$E$77*A800+'Giả định'!$B$15*('Chi phí'!$F$77+'Chi phí'!$G$77*B800+'Chi phí'!$H$77*A800))*(1+'Giả định'!$B$16)</f>
        <v>974592300</v>
      </c>
      <c r="E800" s="25" t="n">
        <f aca="false">A800/'Giả định'!$B$19*'Giả định'!$B$20+A800*'Giả định'!$B$23+'Giả định'!$B$24</f>
        <v>295953781.512605</v>
      </c>
      <c r="F800" s="25" t="n">
        <f aca="false">E800-D800</f>
        <v>-678638518.487395</v>
      </c>
      <c r="G800" s="25" t="n">
        <f aca="false">E800-C800</f>
        <v>-535033518.487395</v>
      </c>
      <c r="H800" s="7" t="str">
        <f aca="false">IF(F800&gt;=0,A800,"")</f>
        <v/>
      </c>
      <c r="I800" s="7" t="n">
        <f aca="false">IF(F800&lt;0,A800,0)</f>
        <v>795</v>
      </c>
      <c r="J800" s="7" t="str">
        <f aca="false">IF(G800&gt;=0,A800,"")</f>
        <v/>
      </c>
      <c r="K800" s="7" t="n">
        <f aca="false">IF(G800&lt;0,A800,0)</f>
        <v>795</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831024040</v>
      </c>
      <c r="D801" s="25" t="n">
        <f aca="false">('Chi phí'!$C$77+'Chi phí'!$D$77*B801+'Chi phí'!$E$77*A801+'Giả định'!$B$15*('Chi phí'!$F$77+'Chi phí'!$G$77*B801+'Chi phí'!$H$77*A801))*(1+'Giả định'!$B$16)</f>
        <v>974629040</v>
      </c>
      <c r="E801" s="25" t="n">
        <f aca="false">A801/'Giả định'!$B$19*'Giả định'!$B$20+A801*'Giả định'!$B$23+'Giả định'!$B$24</f>
        <v>296326050.420168</v>
      </c>
      <c r="F801" s="25" t="n">
        <f aca="false">E801-D801</f>
        <v>-678302989.579832</v>
      </c>
      <c r="G801" s="25" t="n">
        <f aca="false">E801-C801</f>
        <v>-534697989.579832</v>
      </c>
      <c r="H801" s="7" t="str">
        <f aca="false">IF(F801&gt;=0,A801,"")</f>
        <v/>
      </c>
      <c r="I801" s="7" t="n">
        <f aca="false">IF(F801&lt;0,A801,0)</f>
        <v>796</v>
      </c>
      <c r="J801" s="7" t="str">
        <f aca="false">IF(G801&gt;=0,A801,"")</f>
        <v/>
      </c>
      <c r="K801" s="7" t="n">
        <f aca="false">IF(G801&lt;0,A801,0)</f>
        <v>796</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831060780</v>
      </c>
      <c r="D802" s="25" t="n">
        <f aca="false">('Chi phí'!$C$77+'Chi phí'!$D$77*B802+'Chi phí'!$E$77*A802+'Giả định'!$B$15*('Chi phí'!$F$77+'Chi phí'!$G$77*B802+'Chi phí'!$H$77*A802))*(1+'Giả định'!$B$16)</f>
        <v>974665780</v>
      </c>
      <c r="E802" s="25" t="n">
        <f aca="false">A802/'Giả định'!$B$19*'Giả định'!$B$20+A802*'Giả định'!$B$23+'Giả định'!$B$24</f>
        <v>296698319.327731</v>
      </c>
      <c r="F802" s="25" t="n">
        <f aca="false">E802-D802</f>
        <v>-677967460.672269</v>
      </c>
      <c r="G802" s="25" t="n">
        <f aca="false">E802-C802</f>
        <v>-534362460.672269</v>
      </c>
      <c r="H802" s="7" t="str">
        <f aca="false">IF(F802&gt;=0,A802,"")</f>
        <v/>
      </c>
      <c r="I802" s="7" t="n">
        <f aca="false">IF(F802&lt;0,A802,0)</f>
        <v>797</v>
      </c>
      <c r="J802" s="7" t="str">
        <f aca="false">IF(G802&gt;=0,A802,"")</f>
        <v/>
      </c>
      <c r="K802" s="7" t="n">
        <f aca="false">IF(G802&lt;0,A802,0)</f>
        <v>797</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831097520</v>
      </c>
      <c r="D803" s="25" t="n">
        <f aca="false">('Chi phí'!$C$77+'Chi phí'!$D$77*B803+'Chi phí'!$E$77*A803+'Giả định'!$B$15*('Chi phí'!$F$77+'Chi phí'!$G$77*B803+'Chi phí'!$H$77*A803))*(1+'Giả định'!$B$16)</f>
        <v>974702520</v>
      </c>
      <c r="E803" s="25" t="n">
        <f aca="false">A803/'Giả định'!$B$19*'Giả định'!$B$20+A803*'Giả định'!$B$23+'Giả định'!$B$24</f>
        <v>297070588.235294</v>
      </c>
      <c r="F803" s="25" t="n">
        <f aca="false">E803-D803</f>
        <v>-677631931.764706</v>
      </c>
      <c r="G803" s="25" t="n">
        <f aca="false">E803-C803</f>
        <v>-534026931.764706</v>
      </c>
      <c r="H803" s="7" t="str">
        <f aca="false">IF(F803&gt;=0,A803,"")</f>
        <v/>
      </c>
      <c r="I803" s="7" t="n">
        <f aca="false">IF(F803&lt;0,A803,0)</f>
        <v>798</v>
      </c>
      <c r="J803" s="7" t="str">
        <f aca="false">IF(G803&gt;=0,A803,"")</f>
        <v/>
      </c>
      <c r="K803" s="7" t="n">
        <f aca="false">IF(G803&lt;0,A803,0)</f>
        <v>798</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831134260</v>
      </c>
      <c r="D804" s="25" t="n">
        <f aca="false">('Chi phí'!$C$77+'Chi phí'!$D$77*B804+'Chi phí'!$E$77*A804+'Giả định'!$B$15*('Chi phí'!$F$77+'Chi phí'!$G$77*B804+'Chi phí'!$H$77*A804))*(1+'Giả định'!$B$16)</f>
        <v>974739260</v>
      </c>
      <c r="E804" s="25" t="n">
        <f aca="false">A804/'Giả định'!$B$19*'Giả định'!$B$20+A804*'Giả định'!$B$23+'Giả định'!$B$24</f>
        <v>297442857.142857</v>
      </c>
      <c r="F804" s="25" t="n">
        <f aca="false">E804-D804</f>
        <v>-677296402.857143</v>
      </c>
      <c r="G804" s="25" t="n">
        <f aca="false">E804-C804</f>
        <v>-533691402.857143</v>
      </c>
      <c r="H804" s="7" t="str">
        <f aca="false">IF(F804&gt;=0,A804,"")</f>
        <v/>
      </c>
      <c r="I804" s="7" t="n">
        <f aca="false">IF(F804&lt;0,A804,0)</f>
        <v>799</v>
      </c>
      <c r="J804" s="7" t="str">
        <f aca="false">IF(G804&gt;=0,A804,"")</f>
        <v/>
      </c>
      <c r="K804" s="7" t="n">
        <f aca="false">IF(G804&lt;0,A804,0)</f>
        <v>799</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831171000</v>
      </c>
      <c r="D805" s="25" t="n">
        <f aca="false">('Chi phí'!$C$77+'Chi phí'!$D$77*B805+'Chi phí'!$E$77*A805+'Giả định'!$B$15*('Chi phí'!$F$77+'Chi phí'!$G$77*B805+'Chi phí'!$H$77*A805))*(1+'Giả định'!$B$16)</f>
        <v>974776000</v>
      </c>
      <c r="E805" s="25" t="n">
        <f aca="false">A805/'Giả định'!$B$19*'Giả định'!$B$20+A805*'Giả định'!$B$23+'Giả định'!$B$24</f>
        <v>297815126.05042</v>
      </c>
      <c r="F805" s="25" t="n">
        <f aca="false">E805-D805</f>
        <v>-676960873.94958</v>
      </c>
      <c r="G805" s="25" t="n">
        <f aca="false">E805-C805</f>
        <v>-533355873.94958</v>
      </c>
      <c r="H805" s="7" t="str">
        <f aca="false">IF(F805&gt;=0,A805,"")</f>
        <v/>
      </c>
      <c r="I805" s="7" t="n">
        <f aca="false">IF(F805&lt;0,A805,0)</f>
        <v>800</v>
      </c>
      <c r="J805" s="7" t="str">
        <f aca="false">IF(G805&gt;=0,A805,"")</f>
        <v/>
      </c>
      <c r="K805" s="7" t="n">
        <f aca="false">IF(G805&lt;0,A805,0)</f>
        <v>800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840381740</v>
      </c>
      <c r="D806" s="25" t="n">
        <f aca="false">('Chi phí'!$C$77+'Chi phí'!$D$77*B806+'Chi phí'!$E$77*A806+'Giả định'!$B$15*('Chi phí'!$F$77+'Chi phí'!$G$77*B806+'Chi phí'!$H$77*A806))*(1+'Giả định'!$B$16)</f>
        <v>983986740</v>
      </c>
      <c r="E806" s="25" t="n">
        <f aca="false">A806/'Giả định'!$B$19*'Giả định'!$B$20+A806*'Giả định'!$B$23+'Giả định'!$B$24</f>
        <v>298187394.957983</v>
      </c>
      <c r="F806" s="25" t="n">
        <f aca="false">E806-D806</f>
        <v>-685799345.042017</v>
      </c>
      <c r="G806" s="25" t="n">
        <f aca="false">E806-C806</f>
        <v>-542194345.042017</v>
      </c>
      <c r="H806" s="7" t="str">
        <f aca="false">IF(F806&gt;=0,A806,"")</f>
        <v/>
      </c>
      <c r="I806" s="7" t="n">
        <f aca="false">IF(F806&lt;0,A806,0)</f>
        <v>801</v>
      </c>
      <c r="J806" s="7" t="str">
        <f aca="false">IF(G806&gt;=0,A806,"")</f>
        <v/>
      </c>
      <c r="K806" s="7" t="n">
        <f aca="false">IF(G806&lt;0,A806,0)</f>
        <v>801</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840418480</v>
      </c>
      <c r="D807" s="25" t="n">
        <f aca="false">('Chi phí'!$C$77+'Chi phí'!$D$77*B807+'Chi phí'!$E$77*A807+'Giả định'!$B$15*('Chi phí'!$F$77+'Chi phí'!$G$77*B807+'Chi phí'!$H$77*A807))*(1+'Giả định'!$B$16)</f>
        <v>984023480</v>
      </c>
      <c r="E807" s="25" t="n">
        <f aca="false">A807/'Giả định'!$B$19*'Giả định'!$B$20+A807*'Giả định'!$B$23+'Giả định'!$B$24</f>
        <v>298559663.865546</v>
      </c>
      <c r="F807" s="25" t="n">
        <f aca="false">E807-D807</f>
        <v>-685463816.134454</v>
      </c>
      <c r="G807" s="25" t="n">
        <f aca="false">E807-C807</f>
        <v>-541858816.134454</v>
      </c>
      <c r="H807" s="7" t="str">
        <f aca="false">IF(F807&gt;=0,A807,"")</f>
        <v/>
      </c>
      <c r="I807" s="7" t="n">
        <f aca="false">IF(F807&lt;0,A807,0)</f>
        <v>802</v>
      </c>
      <c r="J807" s="7" t="str">
        <f aca="false">IF(G807&gt;=0,A807,"")</f>
        <v/>
      </c>
      <c r="K807" s="7" t="n">
        <f aca="false">IF(G807&lt;0,A807,0)</f>
        <v>802</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840455220</v>
      </c>
      <c r="D808" s="25" t="n">
        <f aca="false">('Chi phí'!$C$77+'Chi phí'!$D$77*B808+'Chi phí'!$E$77*A808+'Giả định'!$B$15*('Chi phí'!$F$77+'Chi phí'!$G$77*B808+'Chi phí'!$H$77*A808))*(1+'Giả định'!$B$16)</f>
        <v>984060220</v>
      </c>
      <c r="E808" s="25" t="n">
        <f aca="false">A808/'Giả định'!$B$19*'Giả định'!$B$20+A808*'Giả định'!$B$23+'Giả định'!$B$24</f>
        <v>298931932.773109</v>
      </c>
      <c r="F808" s="25" t="n">
        <f aca="false">E808-D808</f>
        <v>-685128287.226891</v>
      </c>
      <c r="G808" s="25" t="n">
        <f aca="false">E808-C808</f>
        <v>-541523287.226891</v>
      </c>
      <c r="H808" s="7" t="str">
        <f aca="false">IF(F808&gt;=0,A808,"")</f>
        <v/>
      </c>
      <c r="I808" s="7" t="n">
        <f aca="false">IF(F808&lt;0,A808,0)</f>
        <v>803</v>
      </c>
      <c r="J808" s="7" t="str">
        <f aca="false">IF(G808&gt;=0,A808,"")</f>
        <v/>
      </c>
      <c r="K808" s="7" t="n">
        <f aca="false">IF(G808&lt;0,A808,0)</f>
        <v>803</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840491960</v>
      </c>
      <c r="D809" s="25" t="n">
        <f aca="false">('Chi phí'!$C$77+'Chi phí'!$D$77*B809+'Chi phí'!$E$77*A809+'Giả định'!$B$15*('Chi phí'!$F$77+'Chi phí'!$G$77*B809+'Chi phí'!$H$77*A809))*(1+'Giả định'!$B$16)</f>
        <v>984096960</v>
      </c>
      <c r="E809" s="25" t="n">
        <f aca="false">A809/'Giả định'!$B$19*'Giả định'!$B$20+A809*'Giả định'!$B$23+'Giả định'!$B$24</f>
        <v>299304201.680672</v>
      </c>
      <c r="F809" s="25" t="n">
        <f aca="false">E809-D809</f>
        <v>-684792758.319328</v>
      </c>
      <c r="G809" s="25" t="n">
        <f aca="false">E809-C809</f>
        <v>-541187758.319328</v>
      </c>
      <c r="H809" s="7" t="str">
        <f aca="false">IF(F809&gt;=0,A809,"")</f>
        <v/>
      </c>
      <c r="I809" s="7" t="n">
        <f aca="false">IF(F809&lt;0,A809,0)</f>
        <v>804</v>
      </c>
      <c r="J809" s="7" t="str">
        <f aca="false">IF(G809&gt;=0,A809,"")</f>
        <v/>
      </c>
      <c r="K809" s="7" t="n">
        <f aca="false">IF(G809&lt;0,A809,0)</f>
        <v>804</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840528700</v>
      </c>
      <c r="D810" s="25" t="n">
        <f aca="false">('Chi phí'!$C$77+'Chi phí'!$D$77*B810+'Chi phí'!$E$77*A810+'Giả định'!$B$15*('Chi phí'!$F$77+'Chi phí'!$G$77*B810+'Chi phí'!$H$77*A810))*(1+'Giả định'!$B$16)</f>
        <v>984133700</v>
      </c>
      <c r="E810" s="25" t="n">
        <f aca="false">A810/'Giả định'!$B$19*'Giả định'!$B$20+A810*'Giả định'!$B$23+'Giả định'!$B$24</f>
        <v>299676470.588235</v>
      </c>
      <c r="F810" s="25" t="n">
        <f aca="false">E810-D810</f>
        <v>-684457229.411765</v>
      </c>
      <c r="G810" s="25" t="n">
        <f aca="false">E810-C810</f>
        <v>-540852229.411765</v>
      </c>
      <c r="H810" s="7" t="str">
        <f aca="false">IF(F810&gt;=0,A810,"")</f>
        <v/>
      </c>
      <c r="I810" s="7" t="n">
        <f aca="false">IF(F810&lt;0,A810,0)</f>
        <v>805</v>
      </c>
      <c r="J810" s="7" t="str">
        <f aca="false">IF(G810&gt;=0,A810,"")</f>
        <v/>
      </c>
      <c r="K810" s="7" t="n">
        <f aca="false">IF(G810&lt;0,A810,0)</f>
        <v>805</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840565440</v>
      </c>
      <c r="D811" s="25" t="n">
        <f aca="false">('Chi phí'!$C$77+'Chi phí'!$D$77*B811+'Chi phí'!$E$77*A811+'Giả định'!$B$15*('Chi phí'!$F$77+'Chi phí'!$G$77*B811+'Chi phí'!$H$77*A811))*(1+'Giả định'!$B$16)</f>
        <v>984170440</v>
      </c>
      <c r="E811" s="25" t="n">
        <f aca="false">A811/'Giả định'!$B$19*'Giả định'!$B$20+A811*'Giả định'!$B$23+'Giả định'!$B$24</f>
        <v>300048739.495798</v>
      </c>
      <c r="F811" s="25" t="n">
        <f aca="false">E811-D811</f>
        <v>-684121700.504202</v>
      </c>
      <c r="G811" s="25" t="n">
        <f aca="false">E811-C811</f>
        <v>-540516700.504202</v>
      </c>
      <c r="H811" s="7" t="str">
        <f aca="false">IF(F811&gt;=0,A811,"")</f>
        <v/>
      </c>
      <c r="I811" s="7" t="n">
        <f aca="false">IF(F811&lt;0,A811,0)</f>
        <v>806</v>
      </c>
      <c r="J811" s="7" t="str">
        <f aca="false">IF(G811&gt;=0,A811,"")</f>
        <v/>
      </c>
      <c r="K811" s="7" t="n">
        <f aca="false">IF(G811&lt;0,A811,0)</f>
        <v>806</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840602180</v>
      </c>
      <c r="D812" s="25" t="n">
        <f aca="false">('Chi phí'!$C$77+'Chi phí'!$D$77*B812+'Chi phí'!$E$77*A812+'Giả định'!$B$15*('Chi phí'!$F$77+'Chi phí'!$G$77*B812+'Chi phí'!$H$77*A812))*(1+'Giả định'!$B$16)</f>
        <v>984207180</v>
      </c>
      <c r="E812" s="25" t="n">
        <f aca="false">A812/'Giả định'!$B$19*'Giả định'!$B$20+A812*'Giả định'!$B$23+'Giả định'!$B$24</f>
        <v>300421008.403361</v>
      </c>
      <c r="F812" s="25" t="n">
        <f aca="false">E812-D812</f>
        <v>-683786171.596639</v>
      </c>
      <c r="G812" s="25" t="n">
        <f aca="false">E812-C812</f>
        <v>-540181171.596639</v>
      </c>
      <c r="H812" s="7" t="str">
        <f aca="false">IF(F812&gt;=0,A812,"")</f>
        <v/>
      </c>
      <c r="I812" s="7" t="n">
        <f aca="false">IF(F812&lt;0,A812,0)</f>
        <v>807</v>
      </c>
      <c r="J812" s="7" t="str">
        <f aca="false">IF(G812&gt;=0,A812,"")</f>
        <v/>
      </c>
      <c r="K812" s="7" t="n">
        <f aca="false">IF(G812&lt;0,A812,0)</f>
        <v>807</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840638920</v>
      </c>
      <c r="D813" s="25" t="n">
        <f aca="false">('Chi phí'!$C$77+'Chi phí'!$D$77*B813+'Chi phí'!$E$77*A813+'Giả định'!$B$15*('Chi phí'!$F$77+'Chi phí'!$G$77*B813+'Chi phí'!$H$77*A813))*(1+'Giả định'!$B$16)</f>
        <v>984243920</v>
      </c>
      <c r="E813" s="25" t="n">
        <f aca="false">A813/'Giả định'!$B$19*'Giả định'!$B$20+A813*'Giả định'!$B$23+'Giả định'!$B$24</f>
        <v>300793277.310924</v>
      </c>
      <c r="F813" s="25" t="n">
        <f aca="false">E813-D813</f>
        <v>-683450642.689076</v>
      </c>
      <c r="G813" s="25" t="n">
        <f aca="false">E813-C813</f>
        <v>-539845642.689076</v>
      </c>
      <c r="H813" s="7" t="str">
        <f aca="false">IF(F813&gt;=0,A813,"")</f>
        <v/>
      </c>
      <c r="I813" s="7" t="n">
        <f aca="false">IF(F813&lt;0,A813,0)</f>
        <v>808</v>
      </c>
      <c r="J813" s="7" t="str">
        <f aca="false">IF(G813&gt;=0,A813,"")</f>
        <v/>
      </c>
      <c r="K813" s="7" t="n">
        <f aca="false">IF(G813&lt;0,A813,0)</f>
        <v>808</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840675660</v>
      </c>
      <c r="D814" s="25" t="n">
        <f aca="false">('Chi phí'!$C$77+'Chi phí'!$D$77*B814+'Chi phí'!$E$77*A814+'Giả định'!$B$15*('Chi phí'!$F$77+'Chi phí'!$G$77*B814+'Chi phí'!$H$77*A814))*(1+'Giả định'!$B$16)</f>
        <v>984280660</v>
      </c>
      <c r="E814" s="25" t="n">
        <f aca="false">A814/'Giả định'!$B$19*'Giả định'!$B$20+A814*'Giả định'!$B$23+'Giả định'!$B$24</f>
        <v>301165546.218487</v>
      </c>
      <c r="F814" s="25" t="n">
        <f aca="false">E814-D814</f>
        <v>-683115113.781513</v>
      </c>
      <c r="G814" s="25" t="n">
        <f aca="false">E814-C814</f>
        <v>-539510113.781513</v>
      </c>
      <c r="H814" s="7" t="str">
        <f aca="false">IF(F814&gt;=0,A814,"")</f>
        <v/>
      </c>
      <c r="I814" s="7" t="n">
        <f aca="false">IF(F814&lt;0,A814,0)</f>
        <v>809</v>
      </c>
      <c r="J814" s="7" t="str">
        <f aca="false">IF(G814&gt;=0,A814,"")</f>
        <v/>
      </c>
      <c r="K814" s="7" t="n">
        <f aca="false">IF(G814&lt;0,A814,0)</f>
        <v>809</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840712400</v>
      </c>
      <c r="D815" s="25" t="n">
        <f aca="false">('Chi phí'!$C$77+'Chi phí'!$D$77*B815+'Chi phí'!$E$77*A815+'Giả định'!$B$15*('Chi phí'!$F$77+'Chi phí'!$G$77*B815+'Chi phí'!$H$77*A815))*(1+'Giả định'!$B$16)</f>
        <v>984317400</v>
      </c>
      <c r="E815" s="25" t="n">
        <f aca="false">A815/'Giả định'!$B$19*'Giả định'!$B$20+A815*'Giả định'!$B$23+'Giả định'!$B$24</f>
        <v>301537815.12605</v>
      </c>
      <c r="F815" s="25" t="n">
        <f aca="false">E815-D815</f>
        <v>-682779584.87395</v>
      </c>
      <c r="G815" s="25" t="n">
        <f aca="false">E815-C815</f>
        <v>-539174584.87395</v>
      </c>
      <c r="H815" s="7" t="str">
        <f aca="false">IF(F815&gt;=0,A815,"")</f>
        <v/>
      </c>
      <c r="I815" s="7" t="n">
        <f aca="false">IF(F815&lt;0,A815,0)</f>
        <v>810</v>
      </c>
      <c r="J815" s="7" t="str">
        <f aca="false">IF(G815&gt;=0,A815,"")</f>
        <v/>
      </c>
      <c r="K815" s="7" t="n">
        <f aca="false">IF(G815&lt;0,A815,0)</f>
        <v>810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849923140</v>
      </c>
      <c r="D816" s="25" t="n">
        <f aca="false">('Chi phí'!$C$77+'Chi phí'!$D$77*B816+'Chi phí'!$E$77*A816+'Giả định'!$B$15*('Chi phí'!$F$77+'Chi phí'!$G$77*B816+'Chi phí'!$H$77*A816))*(1+'Giả định'!$B$16)</f>
        <v>993528140</v>
      </c>
      <c r="E816" s="25" t="n">
        <f aca="false">A816/'Giả định'!$B$19*'Giả định'!$B$20+A816*'Giả định'!$B$23+'Giả định'!$B$24</f>
        <v>301910084.033614</v>
      </c>
      <c r="F816" s="25" t="n">
        <f aca="false">E816-D816</f>
        <v>-691618055.966387</v>
      </c>
      <c r="G816" s="25" t="n">
        <f aca="false">E816-C816</f>
        <v>-548013055.966387</v>
      </c>
      <c r="H816" s="7" t="str">
        <f aca="false">IF(F816&gt;=0,A816,"")</f>
        <v/>
      </c>
      <c r="I816" s="7" t="n">
        <f aca="false">IF(F816&lt;0,A816,0)</f>
        <v>811</v>
      </c>
      <c r="J816" s="7" t="str">
        <f aca="false">IF(G816&gt;=0,A816,"")</f>
        <v/>
      </c>
      <c r="K816" s="7" t="n">
        <f aca="false">IF(G816&lt;0,A816,0)</f>
        <v>811</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849959880</v>
      </c>
      <c r="D817" s="25" t="n">
        <f aca="false">('Chi phí'!$C$77+'Chi phí'!$D$77*B817+'Chi phí'!$E$77*A817+'Giả định'!$B$15*('Chi phí'!$F$77+'Chi phí'!$G$77*B817+'Chi phí'!$H$77*A817))*(1+'Giả định'!$B$16)</f>
        <v>993564880</v>
      </c>
      <c r="E817" s="25" t="n">
        <f aca="false">A817/'Giả định'!$B$19*'Giả định'!$B$20+A817*'Giả định'!$B$23+'Giả định'!$B$24</f>
        <v>302282352.941177</v>
      </c>
      <c r="F817" s="25" t="n">
        <f aca="false">E817-D817</f>
        <v>-691282527.058824</v>
      </c>
      <c r="G817" s="25" t="n">
        <f aca="false">E817-C817</f>
        <v>-547677527.058824</v>
      </c>
      <c r="H817" s="7" t="str">
        <f aca="false">IF(F817&gt;=0,A817,"")</f>
        <v/>
      </c>
      <c r="I817" s="7" t="n">
        <f aca="false">IF(F817&lt;0,A817,0)</f>
        <v>812</v>
      </c>
      <c r="J817" s="7" t="str">
        <f aca="false">IF(G817&gt;=0,A817,"")</f>
        <v/>
      </c>
      <c r="K817" s="7" t="n">
        <f aca="false">IF(G817&lt;0,A817,0)</f>
        <v>812</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849996620</v>
      </c>
      <c r="D818" s="25" t="n">
        <f aca="false">('Chi phí'!$C$77+'Chi phí'!$D$77*B818+'Chi phí'!$E$77*A818+'Giả định'!$B$15*('Chi phí'!$F$77+'Chi phí'!$G$77*B818+'Chi phí'!$H$77*A818))*(1+'Giả định'!$B$16)</f>
        <v>993601620</v>
      </c>
      <c r="E818" s="25" t="n">
        <f aca="false">A818/'Giả định'!$B$19*'Giả định'!$B$20+A818*'Giả định'!$B$23+'Giả định'!$B$24</f>
        <v>302654621.84874</v>
      </c>
      <c r="F818" s="25" t="n">
        <f aca="false">E818-D818</f>
        <v>-690946998.151261</v>
      </c>
      <c r="G818" s="25" t="n">
        <f aca="false">E818-C818</f>
        <v>-547341998.151261</v>
      </c>
      <c r="H818" s="7" t="str">
        <f aca="false">IF(F818&gt;=0,A818,"")</f>
        <v/>
      </c>
      <c r="I818" s="7" t="n">
        <f aca="false">IF(F818&lt;0,A818,0)</f>
        <v>813</v>
      </c>
      <c r="J818" s="7" t="str">
        <f aca="false">IF(G818&gt;=0,A818,"")</f>
        <v/>
      </c>
      <c r="K818" s="7" t="n">
        <f aca="false">IF(G818&lt;0,A818,0)</f>
        <v>813</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850033360</v>
      </c>
      <c r="D819" s="25" t="n">
        <f aca="false">('Chi phí'!$C$77+'Chi phí'!$D$77*B819+'Chi phí'!$E$77*A819+'Giả định'!$B$15*('Chi phí'!$F$77+'Chi phí'!$G$77*B819+'Chi phí'!$H$77*A819))*(1+'Giả định'!$B$16)</f>
        <v>993638360</v>
      </c>
      <c r="E819" s="25" t="n">
        <f aca="false">A819/'Giả định'!$B$19*'Giả định'!$B$20+A819*'Giả định'!$B$23+'Giả định'!$B$24</f>
        <v>303026890.756303</v>
      </c>
      <c r="F819" s="25" t="n">
        <f aca="false">E819-D819</f>
        <v>-690611469.243698</v>
      </c>
      <c r="G819" s="25" t="n">
        <f aca="false">E819-C819</f>
        <v>-547006469.243698</v>
      </c>
      <c r="H819" s="7" t="str">
        <f aca="false">IF(F819&gt;=0,A819,"")</f>
        <v/>
      </c>
      <c r="I819" s="7" t="n">
        <f aca="false">IF(F819&lt;0,A819,0)</f>
        <v>814</v>
      </c>
      <c r="J819" s="7" t="str">
        <f aca="false">IF(G819&gt;=0,A819,"")</f>
        <v/>
      </c>
      <c r="K819" s="7" t="n">
        <f aca="false">IF(G819&lt;0,A819,0)</f>
        <v>814</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850070100</v>
      </c>
      <c r="D820" s="25" t="n">
        <f aca="false">('Chi phí'!$C$77+'Chi phí'!$D$77*B820+'Chi phí'!$E$77*A820+'Giả định'!$B$15*('Chi phí'!$F$77+'Chi phí'!$G$77*B820+'Chi phí'!$H$77*A820))*(1+'Giả định'!$B$16)</f>
        <v>993675100</v>
      </c>
      <c r="E820" s="25" t="n">
        <f aca="false">A820/'Giả định'!$B$19*'Giả định'!$B$20+A820*'Giả định'!$B$23+'Giả định'!$B$24</f>
        <v>303399159.663866</v>
      </c>
      <c r="F820" s="25" t="n">
        <f aca="false">E820-D820</f>
        <v>-690275940.336135</v>
      </c>
      <c r="G820" s="25" t="n">
        <f aca="false">E820-C820</f>
        <v>-546670940.336135</v>
      </c>
      <c r="H820" s="7" t="str">
        <f aca="false">IF(F820&gt;=0,A820,"")</f>
        <v/>
      </c>
      <c r="I820" s="7" t="n">
        <f aca="false">IF(F820&lt;0,A820,0)</f>
        <v>815</v>
      </c>
      <c r="J820" s="7" t="str">
        <f aca="false">IF(G820&gt;=0,A820,"")</f>
        <v/>
      </c>
      <c r="K820" s="7" t="n">
        <f aca="false">IF(G820&lt;0,A820,0)</f>
        <v>815</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850106840</v>
      </c>
      <c r="D821" s="25" t="n">
        <f aca="false">('Chi phí'!$C$77+'Chi phí'!$D$77*B821+'Chi phí'!$E$77*A821+'Giả định'!$B$15*('Chi phí'!$F$77+'Chi phí'!$G$77*B821+'Chi phí'!$H$77*A821))*(1+'Giả định'!$B$16)</f>
        <v>993711840</v>
      </c>
      <c r="E821" s="25" t="n">
        <f aca="false">A821/'Giả định'!$B$19*'Giả định'!$B$20+A821*'Giả định'!$B$23+'Giả định'!$B$24</f>
        <v>303771428.571429</v>
      </c>
      <c r="F821" s="25" t="n">
        <f aca="false">E821-D821</f>
        <v>-689940411.428572</v>
      </c>
      <c r="G821" s="25" t="n">
        <f aca="false">E821-C821</f>
        <v>-546335411.428572</v>
      </c>
      <c r="H821" s="7" t="str">
        <f aca="false">IF(F821&gt;=0,A821,"")</f>
        <v/>
      </c>
      <c r="I821" s="7" t="n">
        <f aca="false">IF(F821&lt;0,A821,0)</f>
        <v>816</v>
      </c>
      <c r="J821" s="7" t="str">
        <f aca="false">IF(G821&gt;=0,A821,"")</f>
        <v/>
      </c>
      <c r="K821" s="7" t="n">
        <f aca="false">IF(G821&lt;0,A821,0)</f>
        <v>816</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850143580</v>
      </c>
      <c r="D822" s="25" t="n">
        <f aca="false">('Chi phí'!$C$77+'Chi phí'!$D$77*B822+'Chi phí'!$E$77*A822+'Giả định'!$B$15*('Chi phí'!$F$77+'Chi phí'!$G$77*B822+'Chi phí'!$H$77*A822))*(1+'Giả định'!$B$16)</f>
        <v>993748580</v>
      </c>
      <c r="E822" s="25" t="n">
        <f aca="false">A822/'Giả định'!$B$19*'Giả định'!$B$20+A822*'Giả định'!$B$23+'Giả định'!$B$24</f>
        <v>304143697.478992</v>
      </c>
      <c r="F822" s="25" t="n">
        <f aca="false">E822-D822</f>
        <v>-689604882.521009</v>
      </c>
      <c r="G822" s="25" t="n">
        <f aca="false">E822-C822</f>
        <v>-545999882.521009</v>
      </c>
      <c r="H822" s="7" t="str">
        <f aca="false">IF(F822&gt;=0,A822,"")</f>
        <v/>
      </c>
      <c r="I822" s="7" t="n">
        <f aca="false">IF(F822&lt;0,A822,0)</f>
        <v>817</v>
      </c>
      <c r="J822" s="7" t="str">
        <f aca="false">IF(G822&gt;=0,A822,"")</f>
        <v/>
      </c>
      <c r="K822" s="7" t="n">
        <f aca="false">IF(G822&lt;0,A822,0)</f>
        <v>817</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850180320</v>
      </c>
      <c r="D823" s="25" t="n">
        <f aca="false">('Chi phí'!$C$77+'Chi phí'!$D$77*B823+'Chi phí'!$E$77*A823+'Giả định'!$B$15*('Chi phí'!$F$77+'Chi phí'!$G$77*B823+'Chi phí'!$H$77*A823))*(1+'Giả định'!$B$16)</f>
        <v>993785320</v>
      </c>
      <c r="E823" s="25" t="n">
        <f aca="false">A823/'Giả định'!$B$19*'Giả định'!$B$20+A823*'Giả định'!$B$23+'Giả định'!$B$24</f>
        <v>304515966.386555</v>
      </c>
      <c r="F823" s="25" t="n">
        <f aca="false">E823-D823</f>
        <v>-689269353.613446</v>
      </c>
      <c r="G823" s="25" t="n">
        <f aca="false">E823-C823</f>
        <v>-545664353.613446</v>
      </c>
      <c r="H823" s="7" t="str">
        <f aca="false">IF(F823&gt;=0,A823,"")</f>
        <v/>
      </c>
      <c r="I823" s="7" t="n">
        <f aca="false">IF(F823&lt;0,A823,0)</f>
        <v>818</v>
      </c>
      <c r="J823" s="7" t="str">
        <f aca="false">IF(G823&gt;=0,A823,"")</f>
        <v/>
      </c>
      <c r="K823" s="7" t="n">
        <f aca="false">IF(G823&lt;0,A823,0)</f>
        <v>818</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850217060</v>
      </c>
      <c r="D824" s="25" t="n">
        <f aca="false">('Chi phí'!$C$77+'Chi phí'!$D$77*B824+'Chi phí'!$E$77*A824+'Giả định'!$B$15*('Chi phí'!$F$77+'Chi phí'!$G$77*B824+'Chi phí'!$H$77*A824))*(1+'Giả định'!$B$16)</f>
        <v>993822060</v>
      </c>
      <c r="E824" s="25" t="n">
        <f aca="false">A824/'Giả định'!$B$19*'Giả định'!$B$20+A824*'Giả định'!$B$23+'Giả định'!$B$24</f>
        <v>304888235.294118</v>
      </c>
      <c r="F824" s="25" t="n">
        <f aca="false">E824-D824</f>
        <v>-688933824.705883</v>
      </c>
      <c r="G824" s="25" t="n">
        <f aca="false">E824-C824</f>
        <v>-545328824.705883</v>
      </c>
      <c r="H824" s="7" t="str">
        <f aca="false">IF(F824&gt;=0,A824,"")</f>
        <v/>
      </c>
      <c r="I824" s="7" t="n">
        <f aca="false">IF(F824&lt;0,A824,0)</f>
        <v>819</v>
      </c>
      <c r="J824" s="7" t="str">
        <f aca="false">IF(G824&gt;=0,A824,"")</f>
        <v/>
      </c>
      <c r="K824" s="7" t="n">
        <f aca="false">IF(G824&lt;0,A824,0)</f>
        <v>819</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850253800</v>
      </c>
      <c r="D825" s="25" t="n">
        <f aca="false">('Chi phí'!$C$77+'Chi phí'!$D$77*B825+'Chi phí'!$E$77*A825+'Giả định'!$B$15*('Chi phí'!$F$77+'Chi phí'!$G$77*B825+'Chi phí'!$H$77*A825))*(1+'Giả định'!$B$16)</f>
        <v>993858800</v>
      </c>
      <c r="E825" s="25" t="n">
        <f aca="false">A825/'Giả định'!$B$19*'Giả định'!$B$20+A825*'Giả định'!$B$23+'Giả định'!$B$24</f>
        <v>305260504.201681</v>
      </c>
      <c r="F825" s="25" t="n">
        <f aca="false">E825-D825</f>
        <v>-688598295.79832</v>
      </c>
      <c r="G825" s="25" t="n">
        <f aca="false">E825-C825</f>
        <v>-544993295.79832</v>
      </c>
      <c r="H825" s="7" t="str">
        <f aca="false">IF(F825&gt;=0,A825,"")</f>
        <v/>
      </c>
      <c r="I825" s="7" t="n">
        <f aca="false">IF(F825&lt;0,A825,0)</f>
        <v>820</v>
      </c>
      <c r="J825" s="7" t="str">
        <f aca="false">IF(G825&gt;=0,A825,"")</f>
        <v/>
      </c>
      <c r="K825" s="7" t="n">
        <f aca="false">IF(G825&lt;0,A825,0)</f>
        <v>820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859464540</v>
      </c>
      <c r="D826" s="25" t="n">
        <f aca="false">('Chi phí'!$C$77+'Chi phí'!$D$77*B826+'Chi phí'!$E$77*A826+'Giả định'!$B$15*('Chi phí'!$F$77+'Chi phí'!$G$77*B826+'Chi phí'!$H$77*A826))*(1+'Giả định'!$B$16)</f>
        <v>1003069540</v>
      </c>
      <c r="E826" s="25" t="n">
        <f aca="false">A826/'Giả định'!$B$19*'Giả định'!$B$20+A826*'Giả định'!$B$23+'Giả định'!$B$24</f>
        <v>305632773.109244</v>
      </c>
      <c r="F826" s="25" t="n">
        <f aca="false">E826-D826</f>
        <v>-697436766.890756</v>
      </c>
      <c r="G826" s="25" t="n">
        <f aca="false">E826-C826</f>
        <v>-553831766.890756</v>
      </c>
      <c r="H826" s="7" t="str">
        <f aca="false">IF(F826&gt;=0,A826,"")</f>
        <v/>
      </c>
      <c r="I826" s="7" t="n">
        <f aca="false">IF(F826&lt;0,A826,0)</f>
        <v>821</v>
      </c>
      <c r="J826" s="7" t="str">
        <f aca="false">IF(G826&gt;=0,A826,"")</f>
        <v/>
      </c>
      <c r="K826" s="7" t="n">
        <f aca="false">IF(G826&lt;0,A826,0)</f>
        <v>821</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859501280</v>
      </c>
      <c r="D827" s="25" t="n">
        <f aca="false">('Chi phí'!$C$77+'Chi phí'!$D$77*B827+'Chi phí'!$E$77*A827+'Giả định'!$B$15*('Chi phí'!$F$77+'Chi phí'!$G$77*B827+'Chi phí'!$H$77*A827))*(1+'Giả định'!$B$16)</f>
        <v>1003106280</v>
      </c>
      <c r="E827" s="25" t="n">
        <f aca="false">A827/'Giả định'!$B$19*'Giả định'!$B$20+A827*'Giả định'!$B$23+'Giả định'!$B$24</f>
        <v>306005042.016807</v>
      </c>
      <c r="F827" s="25" t="n">
        <f aca="false">E827-D827</f>
        <v>-697101237.983193</v>
      </c>
      <c r="G827" s="25" t="n">
        <f aca="false">E827-C827</f>
        <v>-553496237.983193</v>
      </c>
      <c r="H827" s="7" t="str">
        <f aca="false">IF(F827&gt;=0,A827,"")</f>
        <v/>
      </c>
      <c r="I827" s="7" t="n">
        <f aca="false">IF(F827&lt;0,A827,0)</f>
        <v>822</v>
      </c>
      <c r="J827" s="7" t="str">
        <f aca="false">IF(G827&gt;=0,A827,"")</f>
        <v/>
      </c>
      <c r="K827" s="7" t="n">
        <f aca="false">IF(G827&lt;0,A827,0)</f>
        <v>822</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859538020</v>
      </c>
      <c r="D828" s="25" t="n">
        <f aca="false">('Chi phí'!$C$77+'Chi phí'!$D$77*B828+'Chi phí'!$E$77*A828+'Giả định'!$B$15*('Chi phí'!$F$77+'Chi phí'!$G$77*B828+'Chi phí'!$H$77*A828))*(1+'Giả định'!$B$16)</f>
        <v>1003143020</v>
      </c>
      <c r="E828" s="25" t="n">
        <f aca="false">A828/'Giả định'!$B$19*'Giả định'!$B$20+A828*'Giả định'!$B$23+'Giả định'!$B$24</f>
        <v>306377310.92437</v>
      </c>
      <c r="F828" s="25" t="n">
        <f aca="false">E828-D828</f>
        <v>-696765709.07563</v>
      </c>
      <c r="G828" s="25" t="n">
        <f aca="false">E828-C828</f>
        <v>-553160709.07563</v>
      </c>
      <c r="H828" s="7" t="str">
        <f aca="false">IF(F828&gt;=0,A828,"")</f>
        <v/>
      </c>
      <c r="I828" s="7" t="n">
        <f aca="false">IF(F828&lt;0,A828,0)</f>
        <v>823</v>
      </c>
      <c r="J828" s="7" t="str">
        <f aca="false">IF(G828&gt;=0,A828,"")</f>
        <v/>
      </c>
      <c r="K828" s="7" t="n">
        <f aca="false">IF(G828&lt;0,A828,0)</f>
        <v>823</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859574760</v>
      </c>
      <c r="D829" s="25" t="n">
        <f aca="false">('Chi phí'!$C$77+'Chi phí'!$D$77*B829+'Chi phí'!$E$77*A829+'Giả định'!$B$15*('Chi phí'!$F$77+'Chi phí'!$G$77*B829+'Chi phí'!$H$77*A829))*(1+'Giả định'!$B$16)</f>
        <v>1003179760</v>
      </c>
      <c r="E829" s="25" t="n">
        <f aca="false">A829/'Giả định'!$B$19*'Giả định'!$B$20+A829*'Giả định'!$B$23+'Giả định'!$B$24</f>
        <v>306749579.831933</v>
      </c>
      <c r="F829" s="25" t="n">
        <f aca="false">E829-D829</f>
        <v>-696430180.168067</v>
      </c>
      <c r="G829" s="25" t="n">
        <f aca="false">E829-C829</f>
        <v>-552825180.168067</v>
      </c>
      <c r="H829" s="7" t="str">
        <f aca="false">IF(F829&gt;=0,A829,"")</f>
        <v/>
      </c>
      <c r="I829" s="7" t="n">
        <f aca="false">IF(F829&lt;0,A829,0)</f>
        <v>824</v>
      </c>
      <c r="J829" s="7" t="str">
        <f aca="false">IF(G829&gt;=0,A829,"")</f>
        <v/>
      </c>
      <c r="K829" s="7" t="n">
        <f aca="false">IF(G829&lt;0,A829,0)</f>
        <v>824</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859611500</v>
      </c>
      <c r="D830" s="25" t="n">
        <f aca="false">('Chi phí'!$C$77+'Chi phí'!$D$77*B830+'Chi phí'!$E$77*A830+'Giả định'!$B$15*('Chi phí'!$F$77+'Chi phí'!$G$77*B830+'Chi phí'!$H$77*A830))*(1+'Giả định'!$B$16)</f>
        <v>1003216500</v>
      </c>
      <c r="E830" s="25" t="n">
        <f aca="false">A830/'Giả định'!$B$19*'Giả định'!$B$20+A830*'Giả định'!$B$23+'Giả định'!$B$24</f>
        <v>307121848.739496</v>
      </c>
      <c r="F830" s="25" t="n">
        <f aca="false">E830-D830</f>
        <v>-696094651.260504</v>
      </c>
      <c r="G830" s="25" t="n">
        <f aca="false">E830-C830</f>
        <v>-552489651.260504</v>
      </c>
      <c r="H830" s="7" t="str">
        <f aca="false">IF(F830&gt;=0,A830,"")</f>
        <v/>
      </c>
      <c r="I830" s="7" t="n">
        <f aca="false">IF(F830&lt;0,A830,0)</f>
        <v>825</v>
      </c>
      <c r="J830" s="7" t="str">
        <f aca="false">IF(G830&gt;=0,A830,"")</f>
        <v/>
      </c>
      <c r="K830" s="7" t="n">
        <f aca="false">IF(G830&lt;0,A830,0)</f>
        <v>825</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859648240</v>
      </c>
      <c r="D831" s="25" t="n">
        <f aca="false">('Chi phí'!$C$77+'Chi phí'!$D$77*B831+'Chi phí'!$E$77*A831+'Giả định'!$B$15*('Chi phí'!$F$77+'Chi phí'!$G$77*B831+'Chi phí'!$H$77*A831))*(1+'Giả định'!$B$16)</f>
        <v>1003253240</v>
      </c>
      <c r="E831" s="25" t="n">
        <f aca="false">A831/'Giả định'!$B$19*'Giả định'!$B$20+A831*'Giả định'!$B$23+'Giả định'!$B$24</f>
        <v>307494117.647059</v>
      </c>
      <c r="F831" s="25" t="n">
        <f aca="false">E831-D831</f>
        <v>-695759122.352941</v>
      </c>
      <c r="G831" s="25" t="n">
        <f aca="false">E831-C831</f>
        <v>-552154122.352941</v>
      </c>
      <c r="H831" s="7" t="str">
        <f aca="false">IF(F831&gt;=0,A831,"")</f>
        <v/>
      </c>
      <c r="I831" s="7" t="n">
        <f aca="false">IF(F831&lt;0,A831,0)</f>
        <v>826</v>
      </c>
      <c r="J831" s="7" t="str">
        <f aca="false">IF(G831&gt;=0,A831,"")</f>
        <v/>
      </c>
      <c r="K831" s="7" t="n">
        <f aca="false">IF(G831&lt;0,A831,0)</f>
        <v>826</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859684980</v>
      </c>
      <c r="D832" s="25" t="n">
        <f aca="false">('Chi phí'!$C$77+'Chi phí'!$D$77*B832+'Chi phí'!$E$77*A832+'Giả định'!$B$15*('Chi phí'!$F$77+'Chi phí'!$G$77*B832+'Chi phí'!$H$77*A832))*(1+'Giả định'!$B$16)</f>
        <v>1003289980</v>
      </c>
      <c r="E832" s="25" t="n">
        <f aca="false">A832/'Giả định'!$B$19*'Giả định'!$B$20+A832*'Giả định'!$B$23+'Giả định'!$B$24</f>
        <v>307866386.554622</v>
      </c>
      <c r="F832" s="25" t="n">
        <f aca="false">E832-D832</f>
        <v>-695423593.445378</v>
      </c>
      <c r="G832" s="25" t="n">
        <f aca="false">E832-C832</f>
        <v>-551818593.445378</v>
      </c>
      <c r="H832" s="7" t="str">
        <f aca="false">IF(F832&gt;=0,A832,"")</f>
        <v/>
      </c>
      <c r="I832" s="7" t="n">
        <f aca="false">IF(F832&lt;0,A832,0)</f>
        <v>827</v>
      </c>
      <c r="J832" s="7" t="str">
        <f aca="false">IF(G832&gt;=0,A832,"")</f>
        <v/>
      </c>
      <c r="K832" s="7" t="n">
        <f aca="false">IF(G832&lt;0,A832,0)</f>
        <v>827</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859721720</v>
      </c>
      <c r="D833" s="25" t="n">
        <f aca="false">('Chi phí'!$C$77+'Chi phí'!$D$77*B833+'Chi phí'!$E$77*A833+'Giả định'!$B$15*('Chi phí'!$F$77+'Chi phí'!$G$77*B833+'Chi phí'!$H$77*A833))*(1+'Giả định'!$B$16)</f>
        <v>1003326720</v>
      </c>
      <c r="E833" s="25" t="n">
        <f aca="false">A833/'Giả định'!$B$19*'Giả định'!$B$20+A833*'Giả định'!$B$23+'Giả định'!$B$24</f>
        <v>308238655.462185</v>
      </c>
      <c r="F833" s="25" t="n">
        <f aca="false">E833-D833</f>
        <v>-695088064.537815</v>
      </c>
      <c r="G833" s="25" t="n">
        <f aca="false">E833-C833</f>
        <v>-551483064.537815</v>
      </c>
      <c r="H833" s="7" t="str">
        <f aca="false">IF(F833&gt;=0,A833,"")</f>
        <v/>
      </c>
      <c r="I833" s="7" t="n">
        <f aca="false">IF(F833&lt;0,A833,0)</f>
        <v>828</v>
      </c>
      <c r="J833" s="7" t="str">
        <f aca="false">IF(G833&gt;=0,A833,"")</f>
        <v/>
      </c>
      <c r="K833" s="7" t="n">
        <f aca="false">IF(G833&lt;0,A833,0)</f>
        <v>828</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859758460</v>
      </c>
      <c r="D834" s="25" t="n">
        <f aca="false">('Chi phí'!$C$77+'Chi phí'!$D$77*B834+'Chi phí'!$E$77*A834+'Giả định'!$B$15*('Chi phí'!$F$77+'Chi phí'!$G$77*B834+'Chi phí'!$H$77*A834))*(1+'Giả định'!$B$16)</f>
        <v>1003363460</v>
      </c>
      <c r="E834" s="25" t="n">
        <f aca="false">A834/'Giả định'!$B$19*'Giả định'!$B$20+A834*'Giả định'!$B$23+'Giả định'!$B$24</f>
        <v>308610924.369748</v>
      </c>
      <c r="F834" s="25" t="n">
        <f aca="false">E834-D834</f>
        <v>-694752535.630252</v>
      </c>
      <c r="G834" s="25" t="n">
        <f aca="false">E834-C834</f>
        <v>-551147535.630252</v>
      </c>
      <c r="H834" s="7" t="str">
        <f aca="false">IF(F834&gt;=0,A834,"")</f>
        <v/>
      </c>
      <c r="I834" s="7" t="n">
        <f aca="false">IF(F834&lt;0,A834,0)</f>
        <v>829</v>
      </c>
      <c r="J834" s="7" t="str">
        <f aca="false">IF(G834&gt;=0,A834,"")</f>
        <v/>
      </c>
      <c r="K834" s="7" t="n">
        <f aca="false">IF(G834&lt;0,A834,0)</f>
        <v>829</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859795200</v>
      </c>
      <c r="D835" s="25" t="n">
        <f aca="false">('Chi phí'!$C$77+'Chi phí'!$D$77*B835+'Chi phí'!$E$77*A835+'Giả định'!$B$15*('Chi phí'!$F$77+'Chi phí'!$G$77*B835+'Chi phí'!$H$77*A835))*(1+'Giả định'!$B$16)</f>
        <v>1003400200</v>
      </c>
      <c r="E835" s="25" t="n">
        <f aca="false">A835/'Giả định'!$B$19*'Giả định'!$B$20+A835*'Giả định'!$B$23+'Giả định'!$B$24</f>
        <v>308983193.277311</v>
      </c>
      <c r="F835" s="25" t="n">
        <f aca="false">E835-D835</f>
        <v>-694417006.722689</v>
      </c>
      <c r="G835" s="25" t="n">
        <f aca="false">E835-C835</f>
        <v>-550812006.722689</v>
      </c>
      <c r="H835" s="7" t="str">
        <f aca="false">IF(F835&gt;=0,A835,"")</f>
        <v/>
      </c>
      <c r="I835" s="7" t="n">
        <f aca="false">IF(F835&lt;0,A835,0)</f>
        <v>830</v>
      </c>
      <c r="J835" s="7" t="str">
        <f aca="false">IF(G835&gt;=0,A835,"")</f>
        <v/>
      </c>
      <c r="K835" s="7" t="n">
        <f aca="false">IF(G835&lt;0,A835,0)</f>
        <v>830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869005940</v>
      </c>
      <c r="D836" s="25" t="n">
        <f aca="false">('Chi phí'!$C$77+'Chi phí'!$D$77*B836+'Chi phí'!$E$77*A836+'Giả định'!$B$15*('Chi phí'!$F$77+'Chi phí'!$G$77*B836+'Chi phí'!$H$77*A836))*(1+'Giả định'!$B$16)</f>
        <v>1012610940</v>
      </c>
      <c r="E836" s="25" t="n">
        <f aca="false">A836/'Giả định'!$B$19*'Giả định'!$B$20+A836*'Giả định'!$B$23+'Giả định'!$B$24</f>
        <v>309355462.184874</v>
      </c>
      <c r="F836" s="25" t="n">
        <f aca="false">E836-D836</f>
        <v>-703255477.815126</v>
      </c>
      <c r="G836" s="25" t="n">
        <f aca="false">E836-C836</f>
        <v>-559650477.815126</v>
      </c>
      <c r="H836" s="7" t="str">
        <f aca="false">IF(F836&gt;=0,A836,"")</f>
        <v/>
      </c>
      <c r="I836" s="7" t="n">
        <f aca="false">IF(F836&lt;0,A836,0)</f>
        <v>831</v>
      </c>
      <c r="J836" s="7" t="str">
        <f aca="false">IF(G836&gt;=0,A836,"")</f>
        <v/>
      </c>
      <c r="K836" s="7" t="n">
        <f aca="false">IF(G836&lt;0,A836,0)</f>
        <v>831</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869042680</v>
      </c>
      <c r="D837" s="25" t="n">
        <f aca="false">('Chi phí'!$C$77+'Chi phí'!$D$77*B837+'Chi phí'!$E$77*A837+'Giả định'!$B$15*('Chi phí'!$F$77+'Chi phí'!$G$77*B837+'Chi phí'!$H$77*A837))*(1+'Giả định'!$B$16)</f>
        <v>1012647680</v>
      </c>
      <c r="E837" s="25" t="n">
        <f aca="false">A837/'Giả định'!$B$19*'Giả định'!$B$20+A837*'Giả định'!$B$23+'Giả định'!$B$24</f>
        <v>309727731.092437</v>
      </c>
      <c r="F837" s="25" t="n">
        <f aca="false">E837-D837</f>
        <v>-702919948.907563</v>
      </c>
      <c r="G837" s="25" t="n">
        <f aca="false">E837-C837</f>
        <v>-559314948.907563</v>
      </c>
      <c r="H837" s="7" t="str">
        <f aca="false">IF(F837&gt;=0,A837,"")</f>
        <v/>
      </c>
      <c r="I837" s="7" t="n">
        <f aca="false">IF(F837&lt;0,A837,0)</f>
        <v>832</v>
      </c>
      <c r="J837" s="7" t="str">
        <f aca="false">IF(G837&gt;=0,A837,"")</f>
        <v/>
      </c>
      <c r="K837" s="7" t="n">
        <f aca="false">IF(G837&lt;0,A837,0)</f>
        <v>832</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869079420</v>
      </c>
      <c r="D838" s="25" t="n">
        <f aca="false">('Chi phí'!$C$77+'Chi phí'!$D$77*B838+'Chi phí'!$E$77*A838+'Giả định'!$B$15*('Chi phí'!$F$77+'Chi phí'!$G$77*B838+'Chi phí'!$H$77*A838))*(1+'Giả định'!$B$16)</f>
        <v>1012684420</v>
      </c>
      <c r="E838" s="25" t="n">
        <f aca="false">A838/'Giả định'!$B$19*'Giả định'!$B$20+A838*'Giả định'!$B$23+'Giả định'!$B$24</f>
        <v>310100000</v>
      </c>
      <c r="F838" s="25" t="n">
        <f aca="false">E838-D838</f>
        <v>-702584420</v>
      </c>
      <c r="G838" s="25" t="n">
        <f aca="false">E838-C838</f>
        <v>-558979420</v>
      </c>
      <c r="H838" s="7" t="str">
        <f aca="false">IF(F838&gt;=0,A838,"")</f>
        <v/>
      </c>
      <c r="I838" s="7" t="n">
        <f aca="false">IF(F838&lt;0,A838,0)</f>
        <v>833</v>
      </c>
      <c r="J838" s="7" t="str">
        <f aca="false">IF(G838&gt;=0,A838,"")</f>
        <v/>
      </c>
      <c r="K838" s="7" t="n">
        <f aca="false">IF(G838&lt;0,A838,0)</f>
        <v>833</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869116160</v>
      </c>
      <c r="D839" s="25" t="n">
        <f aca="false">('Chi phí'!$C$77+'Chi phí'!$D$77*B839+'Chi phí'!$E$77*A839+'Giả định'!$B$15*('Chi phí'!$F$77+'Chi phí'!$G$77*B839+'Chi phí'!$H$77*A839))*(1+'Giả định'!$B$16)</f>
        <v>1012721160</v>
      </c>
      <c r="E839" s="25" t="n">
        <f aca="false">A839/'Giả định'!$B$19*'Giả định'!$B$20+A839*'Giả định'!$B$23+'Giả định'!$B$24</f>
        <v>310472268.907563</v>
      </c>
      <c r="F839" s="25" t="n">
        <f aca="false">E839-D839</f>
        <v>-702248891.092437</v>
      </c>
      <c r="G839" s="25" t="n">
        <f aca="false">E839-C839</f>
        <v>-558643891.092437</v>
      </c>
      <c r="H839" s="7" t="str">
        <f aca="false">IF(F839&gt;=0,A839,"")</f>
        <v/>
      </c>
      <c r="I839" s="7" t="n">
        <f aca="false">IF(F839&lt;0,A839,0)</f>
        <v>834</v>
      </c>
      <c r="J839" s="7" t="str">
        <f aca="false">IF(G839&gt;=0,A839,"")</f>
        <v/>
      </c>
      <c r="K839" s="7" t="n">
        <f aca="false">IF(G839&lt;0,A839,0)</f>
        <v>834</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869152900</v>
      </c>
      <c r="D840" s="25" t="n">
        <f aca="false">('Chi phí'!$C$77+'Chi phí'!$D$77*B840+'Chi phí'!$E$77*A840+'Giả định'!$B$15*('Chi phí'!$F$77+'Chi phí'!$G$77*B840+'Chi phí'!$H$77*A840))*(1+'Giả định'!$B$16)</f>
        <v>1012757900</v>
      </c>
      <c r="E840" s="25" t="n">
        <f aca="false">A840/'Giả định'!$B$19*'Giả định'!$B$20+A840*'Giả định'!$B$23+'Giả định'!$B$24</f>
        <v>310844537.815126</v>
      </c>
      <c r="F840" s="25" t="n">
        <f aca="false">E840-D840</f>
        <v>-701913362.184874</v>
      </c>
      <c r="G840" s="25" t="n">
        <f aca="false">E840-C840</f>
        <v>-558308362.184874</v>
      </c>
      <c r="H840" s="7" t="str">
        <f aca="false">IF(F840&gt;=0,A840,"")</f>
        <v/>
      </c>
      <c r="I840" s="7" t="n">
        <f aca="false">IF(F840&lt;0,A840,0)</f>
        <v>835</v>
      </c>
      <c r="J840" s="7" t="str">
        <f aca="false">IF(G840&gt;=0,A840,"")</f>
        <v/>
      </c>
      <c r="K840" s="7" t="n">
        <f aca="false">IF(G840&lt;0,A840,0)</f>
        <v>835</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869189640</v>
      </c>
      <c r="D841" s="25" t="n">
        <f aca="false">('Chi phí'!$C$77+'Chi phí'!$D$77*B841+'Chi phí'!$E$77*A841+'Giả định'!$B$15*('Chi phí'!$F$77+'Chi phí'!$G$77*B841+'Chi phí'!$H$77*A841))*(1+'Giả định'!$B$16)</f>
        <v>1012794640</v>
      </c>
      <c r="E841" s="25" t="n">
        <f aca="false">A841/'Giả định'!$B$19*'Giả định'!$B$20+A841*'Giả định'!$B$23+'Giả định'!$B$24</f>
        <v>311216806.722689</v>
      </c>
      <c r="F841" s="25" t="n">
        <f aca="false">E841-D841</f>
        <v>-701577833.277311</v>
      </c>
      <c r="G841" s="25" t="n">
        <f aca="false">E841-C841</f>
        <v>-557972833.277311</v>
      </c>
      <c r="H841" s="7" t="str">
        <f aca="false">IF(F841&gt;=0,A841,"")</f>
        <v/>
      </c>
      <c r="I841" s="7" t="n">
        <f aca="false">IF(F841&lt;0,A841,0)</f>
        <v>836</v>
      </c>
      <c r="J841" s="7" t="str">
        <f aca="false">IF(G841&gt;=0,A841,"")</f>
        <v/>
      </c>
      <c r="K841" s="7" t="n">
        <f aca="false">IF(G841&lt;0,A841,0)</f>
        <v>836</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869226380</v>
      </c>
      <c r="D842" s="25" t="n">
        <f aca="false">('Chi phí'!$C$77+'Chi phí'!$D$77*B842+'Chi phí'!$E$77*A842+'Giả định'!$B$15*('Chi phí'!$F$77+'Chi phí'!$G$77*B842+'Chi phí'!$H$77*A842))*(1+'Giả định'!$B$16)</f>
        <v>1012831380</v>
      </c>
      <c r="E842" s="25" t="n">
        <f aca="false">A842/'Giả định'!$B$19*'Giả định'!$B$20+A842*'Giả định'!$B$23+'Giả định'!$B$24</f>
        <v>311589075.630252</v>
      </c>
      <c r="F842" s="25" t="n">
        <f aca="false">E842-D842</f>
        <v>-701242304.369748</v>
      </c>
      <c r="G842" s="25" t="n">
        <f aca="false">E842-C842</f>
        <v>-557637304.369748</v>
      </c>
      <c r="H842" s="7" t="str">
        <f aca="false">IF(F842&gt;=0,A842,"")</f>
        <v/>
      </c>
      <c r="I842" s="7" t="n">
        <f aca="false">IF(F842&lt;0,A842,0)</f>
        <v>837</v>
      </c>
      <c r="J842" s="7" t="str">
        <f aca="false">IF(G842&gt;=0,A842,"")</f>
        <v/>
      </c>
      <c r="K842" s="7" t="n">
        <f aca="false">IF(G842&lt;0,A842,0)</f>
        <v>837</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869263120</v>
      </c>
      <c r="D843" s="25" t="n">
        <f aca="false">('Chi phí'!$C$77+'Chi phí'!$D$77*B843+'Chi phí'!$E$77*A843+'Giả định'!$B$15*('Chi phí'!$F$77+'Chi phí'!$G$77*B843+'Chi phí'!$H$77*A843))*(1+'Giả định'!$B$16)</f>
        <v>1012868120</v>
      </c>
      <c r="E843" s="25" t="n">
        <f aca="false">A843/'Giả định'!$B$19*'Giả định'!$B$20+A843*'Giả định'!$B$23+'Giả định'!$B$24</f>
        <v>311961344.537815</v>
      </c>
      <c r="F843" s="25" t="n">
        <f aca="false">E843-D843</f>
        <v>-700906775.462185</v>
      </c>
      <c r="G843" s="25" t="n">
        <f aca="false">E843-C843</f>
        <v>-557301775.462185</v>
      </c>
      <c r="H843" s="7" t="str">
        <f aca="false">IF(F843&gt;=0,A843,"")</f>
        <v/>
      </c>
      <c r="I843" s="7" t="n">
        <f aca="false">IF(F843&lt;0,A843,0)</f>
        <v>838</v>
      </c>
      <c r="J843" s="7" t="str">
        <f aca="false">IF(G843&gt;=0,A843,"")</f>
        <v/>
      </c>
      <c r="K843" s="7" t="n">
        <f aca="false">IF(G843&lt;0,A843,0)</f>
        <v>838</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869299860</v>
      </c>
      <c r="D844" s="25" t="n">
        <f aca="false">('Chi phí'!$C$77+'Chi phí'!$D$77*B844+'Chi phí'!$E$77*A844+'Giả định'!$B$15*('Chi phí'!$F$77+'Chi phí'!$G$77*B844+'Chi phí'!$H$77*A844))*(1+'Giả định'!$B$16)</f>
        <v>1012904860</v>
      </c>
      <c r="E844" s="25" t="n">
        <f aca="false">A844/'Giả định'!$B$19*'Giả định'!$B$20+A844*'Giả định'!$B$23+'Giả định'!$B$24</f>
        <v>312333613.445378</v>
      </c>
      <c r="F844" s="25" t="n">
        <f aca="false">E844-D844</f>
        <v>-700571246.554622</v>
      </c>
      <c r="G844" s="25" t="n">
        <f aca="false">E844-C844</f>
        <v>-556966246.554622</v>
      </c>
      <c r="H844" s="7" t="str">
        <f aca="false">IF(F844&gt;=0,A844,"")</f>
        <v/>
      </c>
      <c r="I844" s="7" t="n">
        <f aca="false">IF(F844&lt;0,A844,0)</f>
        <v>839</v>
      </c>
      <c r="J844" s="7" t="str">
        <f aca="false">IF(G844&gt;=0,A844,"")</f>
        <v/>
      </c>
      <c r="K844" s="7" t="n">
        <f aca="false">IF(G844&lt;0,A844,0)</f>
        <v>839</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869336600</v>
      </c>
      <c r="D845" s="25" t="n">
        <f aca="false">('Chi phí'!$C$77+'Chi phí'!$D$77*B845+'Chi phí'!$E$77*A845+'Giả định'!$B$15*('Chi phí'!$F$77+'Chi phí'!$G$77*B845+'Chi phí'!$H$77*A845))*(1+'Giả định'!$B$16)</f>
        <v>1012941600</v>
      </c>
      <c r="E845" s="25" t="n">
        <f aca="false">A845/'Giả định'!$B$19*'Giả định'!$B$20+A845*'Giả định'!$B$23+'Giả định'!$B$24</f>
        <v>312705882.352941</v>
      </c>
      <c r="F845" s="25" t="n">
        <f aca="false">E845-D845</f>
        <v>-700235717.647059</v>
      </c>
      <c r="G845" s="25" t="n">
        <f aca="false">E845-C845</f>
        <v>-556630717.647059</v>
      </c>
      <c r="H845" s="7" t="str">
        <f aca="false">IF(F845&gt;=0,A845,"")</f>
        <v/>
      </c>
      <c r="I845" s="7" t="n">
        <f aca="false">IF(F845&lt;0,A845,0)</f>
        <v>840</v>
      </c>
      <c r="J845" s="7" t="str">
        <f aca="false">IF(G845&gt;=0,A845,"")</f>
        <v/>
      </c>
      <c r="K845" s="7" t="n">
        <f aca="false">IF(G845&lt;0,A845,0)</f>
        <v>840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878547340</v>
      </c>
      <c r="D846" s="25" t="n">
        <f aca="false">('Chi phí'!$C$77+'Chi phí'!$D$77*B846+'Chi phí'!$E$77*A846+'Giả định'!$B$15*('Chi phí'!$F$77+'Chi phí'!$G$77*B846+'Chi phí'!$H$77*A846))*(1+'Giả định'!$B$16)</f>
        <v>1022152340</v>
      </c>
      <c r="E846" s="25" t="n">
        <f aca="false">A846/'Giả định'!$B$19*'Giả định'!$B$20+A846*'Giả định'!$B$23+'Giả định'!$B$24</f>
        <v>313078151.260504</v>
      </c>
      <c r="F846" s="25" t="n">
        <f aca="false">E846-D846</f>
        <v>-709074188.739496</v>
      </c>
      <c r="G846" s="25" t="n">
        <f aca="false">E846-C846</f>
        <v>-565469188.739496</v>
      </c>
      <c r="H846" s="7" t="str">
        <f aca="false">IF(F846&gt;=0,A846,"")</f>
        <v/>
      </c>
      <c r="I846" s="7" t="n">
        <f aca="false">IF(F846&lt;0,A846,0)</f>
        <v>841</v>
      </c>
      <c r="J846" s="7" t="str">
        <f aca="false">IF(G846&gt;=0,A846,"")</f>
        <v/>
      </c>
      <c r="K846" s="7" t="n">
        <f aca="false">IF(G846&lt;0,A846,0)</f>
        <v>841</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878584080</v>
      </c>
      <c r="D847" s="25" t="n">
        <f aca="false">('Chi phí'!$C$77+'Chi phí'!$D$77*B847+'Chi phí'!$E$77*A847+'Giả định'!$B$15*('Chi phí'!$F$77+'Chi phí'!$G$77*B847+'Chi phí'!$H$77*A847))*(1+'Giả định'!$B$16)</f>
        <v>1022189080</v>
      </c>
      <c r="E847" s="25" t="n">
        <f aca="false">A847/'Giả định'!$B$19*'Giả định'!$B$20+A847*'Giả định'!$B$23+'Giả định'!$B$24</f>
        <v>313450420.168067</v>
      </c>
      <c r="F847" s="25" t="n">
        <f aca="false">E847-D847</f>
        <v>-708738659.831933</v>
      </c>
      <c r="G847" s="25" t="n">
        <f aca="false">E847-C847</f>
        <v>-565133659.831933</v>
      </c>
      <c r="H847" s="7" t="str">
        <f aca="false">IF(F847&gt;=0,A847,"")</f>
        <v/>
      </c>
      <c r="I847" s="7" t="n">
        <f aca="false">IF(F847&lt;0,A847,0)</f>
        <v>842</v>
      </c>
      <c r="J847" s="7" t="str">
        <f aca="false">IF(G847&gt;=0,A847,"")</f>
        <v/>
      </c>
      <c r="K847" s="7" t="n">
        <f aca="false">IF(G847&lt;0,A847,0)</f>
        <v>842</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878620820</v>
      </c>
      <c r="D848" s="25" t="n">
        <f aca="false">('Chi phí'!$C$77+'Chi phí'!$D$77*B848+'Chi phí'!$E$77*A848+'Giả định'!$B$15*('Chi phí'!$F$77+'Chi phí'!$G$77*B848+'Chi phí'!$H$77*A848))*(1+'Giả định'!$B$16)</f>
        <v>1022225820</v>
      </c>
      <c r="E848" s="25" t="n">
        <f aca="false">A848/'Giả định'!$B$19*'Giả định'!$B$20+A848*'Giả định'!$B$23+'Giả định'!$B$24</f>
        <v>313822689.07563</v>
      </c>
      <c r="F848" s="25" t="n">
        <f aca="false">E848-D848</f>
        <v>-708403130.92437</v>
      </c>
      <c r="G848" s="25" t="n">
        <f aca="false">E848-C848</f>
        <v>-564798130.92437</v>
      </c>
      <c r="H848" s="7" t="str">
        <f aca="false">IF(F848&gt;=0,A848,"")</f>
        <v/>
      </c>
      <c r="I848" s="7" t="n">
        <f aca="false">IF(F848&lt;0,A848,0)</f>
        <v>843</v>
      </c>
      <c r="J848" s="7" t="str">
        <f aca="false">IF(G848&gt;=0,A848,"")</f>
        <v/>
      </c>
      <c r="K848" s="7" t="n">
        <f aca="false">IF(G848&lt;0,A848,0)</f>
        <v>843</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878657560</v>
      </c>
      <c r="D849" s="25" t="n">
        <f aca="false">('Chi phí'!$C$77+'Chi phí'!$D$77*B849+'Chi phí'!$E$77*A849+'Giả định'!$B$15*('Chi phí'!$F$77+'Chi phí'!$G$77*B849+'Chi phí'!$H$77*A849))*(1+'Giả định'!$B$16)</f>
        <v>1022262560</v>
      </c>
      <c r="E849" s="25" t="n">
        <f aca="false">A849/'Giả định'!$B$19*'Giả định'!$B$20+A849*'Giả định'!$B$23+'Giả định'!$B$24</f>
        <v>314194957.983193</v>
      </c>
      <c r="F849" s="25" t="n">
        <f aca="false">E849-D849</f>
        <v>-708067602.016807</v>
      </c>
      <c r="G849" s="25" t="n">
        <f aca="false">E849-C849</f>
        <v>-564462602.016807</v>
      </c>
      <c r="H849" s="7" t="str">
        <f aca="false">IF(F849&gt;=0,A849,"")</f>
        <v/>
      </c>
      <c r="I849" s="7" t="n">
        <f aca="false">IF(F849&lt;0,A849,0)</f>
        <v>844</v>
      </c>
      <c r="J849" s="7" t="str">
        <f aca="false">IF(G849&gt;=0,A849,"")</f>
        <v/>
      </c>
      <c r="K849" s="7" t="n">
        <f aca="false">IF(G849&lt;0,A849,0)</f>
        <v>844</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878694300</v>
      </c>
      <c r="D850" s="25" t="n">
        <f aca="false">('Chi phí'!$C$77+'Chi phí'!$D$77*B850+'Chi phí'!$E$77*A850+'Giả định'!$B$15*('Chi phí'!$F$77+'Chi phí'!$G$77*B850+'Chi phí'!$H$77*A850))*(1+'Giả định'!$B$16)</f>
        <v>1022299300</v>
      </c>
      <c r="E850" s="25" t="n">
        <f aca="false">A850/'Giả định'!$B$19*'Giả định'!$B$20+A850*'Giả định'!$B$23+'Giả định'!$B$24</f>
        <v>314567226.890756</v>
      </c>
      <c r="F850" s="25" t="n">
        <f aca="false">E850-D850</f>
        <v>-707732073.109244</v>
      </c>
      <c r="G850" s="25" t="n">
        <f aca="false">E850-C850</f>
        <v>-564127073.109244</v>
      </c>
      <c r="H850" s="7" t="str">
        <f aca="false">IF(F850&gt;=0,A850,"")</f>
        <v/>
      </c>
      <c r="I850" s="7" t="n">
        <f aca="false">IF(F850&lt;0,A850,0)</f>
        <v>845</v>
      </c>
      <c r="J850" s="7" t="str">
        <f aca="false">IF(G850&gt;=0,A850,"")</f>
        <v/>
      </c>
      <c r="K850" s="7" t="n">
        <f aca="false">IF(G850&lt;0,A850,0)</f>
        <v>845</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878731040</v>
      </c>
      <c r="D851" s="25" t="n">
        <f aca="false">('Chi phí'!$C$77+'Chi phí'!$D$77*B851+'Chi phí'!$E$77*A851+'Giả định'!$B$15*('Chi phí'!$F$77+'Chi phí'!$G$77*B851+'Chi phí'!$H$77*A851))*(1+'Giả định'!$B$16)</f>
        <v>1022336040</v>
      </c>
      <c r="E851" s="25" t="n">
        <f aca="false">A851/'Giả định'!$B$19*'Giả định'!$B$20+A851*'Giả định'!$B$23+'Giả định'!$B$24</f>
        <v>314939495.798319</v>
      </c>
      <c r="F851" s="25" t="n">
        <f aca="false">E851-D851</f>
        <v>-707396544.201681</v>
      </c>
      <c r="G851" s="25" t="n">
        <f aca="false">E851-C851</f>
        <v>-563791544.201681</v>
      </c>
      <c r="H851" s="7" t="str">
        <f aca="false">IF(F851&gt;=0,A851,"")</f>
        <v/>
      </c>
      <c r="I851" s="7" t="n">
        <f aca="false">IF(F851&lt;0,A851,0)</f>
        <v>846</v>
      </c>
      <c r="J851" s="7" t="str">
        <f aca="false">IF(G851&gt;=0,A851,"")</f>
        <v/>
      </c>
      <c r="K851" s="7" t="n">
        <f aca="false">IF(G851&lt;0,A851,0)</f>
        <v>846</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878767780</v>
      </c>
      <c r="D852" s="25" t="n">
        <f aca="false">('Chi phí'!$C$77+'Chi phí'!$D$77*B852+'Chi phí'!$E$77*A852+'Giả định'!$B$15*('Chi phí'!$F$77+'Chi phí'!$G$77*B852+'Chi phí'!$H$77*A852))*(1+'Giả định'!$B$16)</f>
        <v>1022372780</v>
      </c>
      <c r="E852" s="25" t="n">
        <f aca="false">A852/'Giả định'!$B$19*'Giả định'!$B$20+A852*'Giả định'!$B$23+'Giả định'!$B$24</f>
        <v>315311764.705882</v>
      </c>
      <c r="F852" s="25" t="n">
        <f aca="false">E852-D852</f>
        <v>-707061015.294118</v>
      </c>
      <c r="G852" s="25" t="n">
        <f aca="false">E852-C852</f>
        <v>-563456015.294118</v>
      </c>
      <c r="H852" s="7" t="str">
        <f aca="false">IF(F852&gt;=0,A852,"")</f>
        <v/>
      </c>
      <c r="I852" s="7" t="n">
        <f aca="false">IF(F852&lt;0,A852,0)</f>
        <v>847</v>
      </c>
      <c r="J852" s="7" t="str">
        <f aca="false">IF(G852&gt;=0,A852,"")</f>
        <v/>
      </c>
      <c r="K852" s="7" t="n">
        <f aca="false">IF(G852&lt;0,A852,0)</f>
        <v>847</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878804520</v>
      </c>
      <c r="D853" s="25" t="n">
        <f aca="false">('Chi phí'!$C$77+'Chi phí'!$D$77*B853+'Chi phí'!$E$77*A853+'Giả định'!$B$15*('Chi phí'!$F$77+'Chi phí'!$G$77*B853+'Chi phí'!$H$77*A853))*(1+'Giả định'!$B$16)</f>
        <v>1022409520</v>
      </c>
      <c r="E853" s="25" t="n">
        <f aca="false">A853/'Giả định'!$B$19*'Giả định'!$B$20+A853*'Giả định'!$B$23+'Giả định'!$B$24</f>
        <v>315684033.613445</v>
      </c>
      <c r="F853" s="25" t="n">
        <f aca="false">E853-D853</f>
        <v>-706725486.386555</v>
      </c>
      <c r="G853" s="25" t="n">
        <f aca="false">E853-C853</f>
        <v>-563120486.386555</v>
      </c>
      <c r="H853" s="7" t="str">
        <f aca="false">IF(F853&gt;=0,A853,"")</f>
        <v/>
      </c>
      <c r="I853" s="7" t="n">
        <f aca="false">IF(F853&lt;0,A853,0)</f>
        <v>848</v>
      </c>
      <c r="J853" s="7" t="str">
        <f aca="false">IF(G853&gt;=0,A853,"")</f>
        <v/>
      </c>
      <c r="K853" s="7" t="n">
        <f aca="false">IF(G853&lt;0,A853,0)</f>
        <v>848</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878841260</v>
      </c>
      <c r="D854" s="25" t="n">
        <f aca="false">('Chi phí'!$C$77+'Chi phí'!$D$77*B854+'Chi phí'!$E$77*A854+'Giả định'!$B$15*('Chi phí'!$F$77+'Chi phí'!$G$77*B854+'Chi phí'!$H$77*A854))*(1+'Giả định'!$B$16)</f>
        <v>1022446260</v>
      </c>
      <c r="E854" s="25" t="n">
        <f aca="false">A854/'Giả định'!$B$19*'Giả định'!$B$20+A854*'Giả định'!$B$23+'Giả định'!$B$24</f>
        <v>316056302.521008</v>
      </c>
      <c r="F854" s="25" t="n">
        <f aca="false">E854-D854</f>
        <v>-706389957.478992</v>
      </c>
      <c r="G854" s="25" t="n">
        <f aca="false">E854-C854</f>
        <v>-562784957.478992</v>
      </c>
      <c r="H854" s="7" t="str">
        <f aca="false">IF(F854&gt;=0,A854,"")</f>
        <v/>
      </c>
      <c r="I854" s="7" t="n">
        <f aca="false">IF(F854&lt;0,A854,0)</f>
        <v>849</v>
      </c>
      <c r="J854" s="7" t="str">
        <f aca="false">IF(G854&gt;=0,A854,"")</f>
        <v/>
      </c>
      <c r="K854" s="7" t="n">
        <f aca="false">IF(G854&lt;0,A854,0)</f>
        <v>849</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878878000</v>
      </c>
      <c r="D855" s="25" t="n">
        <f aca="false">('Chi phí'!$C$77+'Chi phí'!$D$77*B855+'Chi phí'!$E$77*A855+'Giả định'!$B$15*('Chi phí'!$F$77+'Chi phí'!$G$77*B855+'Chi phí'!$H$77*A855))*(1+'Giả định'!$B$16)</f>
        <v>1022483000</v>
      </c>
      <c r="E855" s="25" t="n">
        <f aca="false">A855/'Giả định'!$B$19*'Giả định'!$B$20+A855*'Giả định'!$B$23+'Giả định'!$B$24</f>
        <v>316428571.428571</v>
      </c>
      <c r="F855" s="25" t="n">
        <f aca="false">E855-D855</f>
        <v>-706054428.571429</v>
      </c>
      <c r="G855" s="25" t="n">
        <f aca="false">E855-C855</f>
        <v>-562449428.571429</v>
      </c>
      <c r="H855" s="7" t="str">
        <f aca="false">IF(F855&gt;=0,A855,"")</f>
        <v/>
      </c>
      <c r="I855" s="7" t="n">
        <f aca="false">IF(F855&lt;0,A855,0)</f>
        <v>850</v>
      </c>
      <c r="J855" s="7" t="str">
        <f aca="false">IF(G855&gt;=0,A855,"")</f>
        <v/>
      </c>
      <c r="K855" s="7" t="n">
        <f aca="false">IF(G855&lt;0,A855,0)</f>
        <v>850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888088740</v>
      </c>
      <c r="D856" s="25" t="n">
        <f aca="false">('Chi phí'!$C$77+'Chi phí'!$D$77*B856+'Chi phí'!$E$77*A856+'Giả định'!$B$15*('Chi phí'!$F$77+'Chi phí'!$G$77*B856+'Chi phí'!$H$77*A856))*(1+'Giả định'!$B$16)</f>
        <v>1031693740</v>
      </c>
      <c r="E856" s="25" t="n">
        <f aca="false">A856/'Giả định'!$B$19*'Giả định'!$B$20+A856*'Giả định'!$B$23+'Giả định'!$B$24</f>
        <v>316800840.336135</v>
      </c>
      <c r="F856" s="25" t="n">
        <f aca="false">E856-D856</f>
        <v>-714892899.663866</v>
      </c>
      <c r="G856" s="25" t="n">
        <f aca="false">E856-C856</f>
        <v>-571287899.663866</v>
      </c>
      <c r="H856" s="7" t="str">
        <f aca="false">IF(F856&gt;=0,A856,"")</f>
        <v/>
      </c>
      <c r="I856" s="7" t="n">
        <f aca="false">IF(F856&lt;0,A856,0)</f>
        <v>851</v>
      </c>
      <c r="J856" s="7" t="str">
        <f aca="false">IF(G856&gt;=0,A856,"")</f>
        <v/>
      </c>
      <c r="K856" s="7" t="n">
        <f aca="false">IF(G856&lt;0,A856,0)</f>
        <v>851</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888125480</v>
      </c>
      <c r="D857" s="25" t="n">
        <f aca="false">('Chi phí'!$C$77+'Chi phí'!$D$77*B857+'Chi phí'!$E$77*A857+'Giả định'!$B$15*('Chi phí'!$F$77+'Chi phí'!$G$77*B857+'Chi phí'!$H$77*A857))*(1+'Giả định'!$B$16)</f>
        <v>1031730480</v>
      </c>
      <c r="E857" s="25" t="n">
        <f aca="false">A857/'Giả định'!$B$19*'Giả định'!$B$20+A857*'Giả định'!$B$23+'Giả định'!$B$24</f>
        <v>317173109.243697</v>
      </c>
      <c r="F857" s="25" t="n">
        <f aca="false">E857-D857</f>
        <v>-714557370.756303</v>
      </c>
      <c r="G857" s="25" t="n">
        <f aca="false">E857-C857</f>
        <v>-570952370.756303</v>
      </c>
      <c r="H857" s="7" t="str">
        <f aca="false">IF(F857&gt;=0,A857,"")</f>
        <v/>
      </c>
      <c r="I857" s="7" t="n">
        <f aca="false">IF(F857&lt;0,A857,0)</f>
        <v>852</v>
      </c>
      <c r="J857" s="7" t="str">
        <f aca="false">IF(G857&gt;=0,A857,"")</f>
        <v/>
      </c>
      <c r="K857" s="7" t="n">
        <f aca="false">IF(G857&lt;0,A857,0)</f>
        <v>852</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888162220</v>
      </c>
      <c r="D858" s="25" t="n">
        <f aca="false">('Chi phí'!$C$77+'Chi phí'!$D$77*B858+'Chi phí'!$E$77*A858+'Giả định'!$B$15*('Chi phí'!$F$77+'Chi phí'!$G$77*B858+'Chi phí'!$H$77*A858))*(1+'Giả định'!$B$16)</f>
        <v>1031767220</v>
      </c>
      <c r="E858" s="25" t="n">
        <f aca="false">A858/'Giả định'!$B$19*'Giả định'!$B$20+A858*'Giả định'!$B$23+'Giả định'!$B$24</f>
        <v>317545378.151261</v>
      </c>
      <c r="F858" s="25" t="n">
        <f aca="false">E858-D858</f>
        <v>-714221841.84874</v>
      </c>
      <c r="G858" s="25" t="n">
        <f aca="false">E858-C858</f>
        <v>-570616841.84874</v>
      </c>
      <c r="H858" s="7" t="str">
        <f aca="false">IF(F858&gt;=0,A858,"")</f>
        <v/>
      </c>
      <c r="I858" s="7" t="n">
        <f aca="false">IF(F858&lt;0,A858,0)</f>
        <v>853</v>
      </c>
      <c r="J858" s="7" t="str">
        <f aca="false">IF(G858&gt;=0,A858,"")</f>
        <v/>
      </c>
      <c r="K858" s="7" t="n">
        <f aca="false">IF(G858&lt;0,A858,0)</f>
        <v>853</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888198960</v>
      </c>
      <c r="D859" s="25" t="n">
        <f aca="false">('Chi phí'!$C$77+'Chi phí'!$D$77*B859+'Chi phí'!$E$77*A859+'Giả định'!$B$15*('Chi phí'!$F$77+'Chi phí'!$G$77*B859+'Chi phí'!$H$77*A859))*(1+'Giả định'!$B$16)</f>
        <v>1031803960</v>
      </c>
      <c r="E859" s="25" t="n">
        <f aca="false">A859/'Giả định'!$B$19*'Giả định'!$B$20+A859*'Giả định'!$B$23+'Giả định'!$B$24</f>
        <v>317917647.058824</v>
      </c>
      <c r="F859" s="25" t="n">
        <f aca="false">E859-D859</f>
        <v>-713886312.941177</v>
      </c>
      <c r="G859" s="25" t="n">
        <f aca="false">E859-C859</f>
        <v>-570281312.941177</v>
      </c>
      <c r="H859" s="7" t="str">
        <f aca="false">IF(F859&gt;=0,A859,"")</f>
        <v/>
      </c>
      <c r="I859" s="7" t="n">
        <f aca="false">IF(F859&lt;0,A859,0)</f>
        <v>854</v>
      </c>
      <c r="J859" s="7" t="str">
        <f aca="false">IF(G859&gt;=0,A859,"")</f>
        <v/>
      </c>
      <c r="K859" s="7" t="n">
        <f aca="false">IF(G859&lt;0,A859,0)</f>
        <v>854</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888235700</v>
      </c>
      <c r="D860" s="25" t="n">
        <f aca="false">('Chi phí'!$C$77+'Chi phí'!$D$77*B860+'Chi phí'!$E$77*A860+'Giả định'!$B$15*('Chi phí'!$F$77+'Chi phí'!$G$77*B860+'Chi phí'!$H$77*A860))*(1+'Giả định'!$B$16)</f>
        <v>1031840700</v>
      </c>
      <c r="E860" s="25" t="n">
        <f aca="false">A860/'Giả định'!$B$19*'Giả định'!$B$20+A860*'Giả định'!$B$23+'Giả định'!$B$24</f>
        <v>318289915.966387</v>
      </c>
      <c r="F860" s="25" t="n">
        <f aca="false">E860-D860</f>
        <v>-713550784.033614</v>
      </c>
      <c r="G860" s="25" t="n">
        <f aca="false">E860-C860</f>
        <v>-569945784.033614</v>
      </c>
      <c r="H860" s="7" t="str">
        <f aca="false">IF(F860&gt;=0,A860,"")</f>
        <v/>
      </c>
      <c r="I860" s="7" t="n">
        <f aca="false">IF(F860&lt;0,A860,0)</f>
        <v>855</v>
      </c>
      <c r="J860" s="7" t="str">
        <f aca="false">IF(G860&gt;=0,A860,"")</f>
        <v/>
      </c>
      <c r="K860" s="7" t="n">
        <f aca="false">IF(G860&lt;0,A860,0)</f>
        <v>855</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888272440</v>
      </c>
      <c r="D861" s="25" t="n">
        <f aca="false">('Chi phí'!$C$77+'Chi phí'!$D$77*B861+'Chi phí'!$E$77*A861+'Giả định'!$B$15*('Chi phí'!$F$77+'Chi phí'!$G$77*B861+'Chi phí'!$H$77*A861))*(1+'Giả định'!$B$16)</f>
        <v>1031877440</v>
      </c>
      <c r="E861" s="25" t="n">
        <f aca="false">A861/'Giả định'!$B$19*'Giả định'!$B$20+A861*'Giả định'!$B$23+'Giả định'!$B$24</f>
        <v>318662184.87395</v>
      </c>
      <c r="F861" s="25" t="n">
        <f aca="false">E861-D861</f>
        <v>-713215255.126051</v>
      </c>
      <c r="G861" s="25" t="n">
        <f aca="false">E861-C861</f>
        <v>-569610255.126051</v>
      </c>
      <c r="H861" s="7" t="str">
        <f aca="false">IF(F861&gt;=0,A861,"")</f>
        <v/>
      </c>
      <c r="I861" s="7" t="n">
        <f aca="false">IF(F861&lt;0,A861,0)</f>
        <v>856</v>
      </c>
      <c r="J861" s="7" t="str">
        <f aca="false">IF(G861&gt;=0,A861,"")</f>
        <v/>
      </c>
      <c r="K861" s="7" t="n">
        <f aca="false">IF(G861&lt;0,A861,0)</f>
        <v>856</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888309180</v>
      </c>
      <c r="D862" s="25" t="n">
        <f aca="false">('Chi phí'!$C$77+'Chi phí'!$D$77*B862+'Chi phí'!$E$77*A862+'Giả định'!$B$15*('Chi phí'!$F$77+'Chi phí'!$G$77*B862+'Chi phí'!$H$77*A862))*(1+'Giả định'!$B$16)</f>
        <v>1031914180</v>
      </c>
      <c r="E862" s="25" t="n">
        <f aca="false">A862/'Giả định'!$B$19*'Giả định'!$B$20+A862*'Giả định'!$B$23+'Giả định'!$B$24</f>
        <v>319034453.781513</v>
      </c>
      <c r="F862" s="25" t="n">
        <f aca="false">E862-D862</f>
        <v>-712879726.218488</v>
      </c>
      <c r="G862" s="25" t="n">
        <f aca="false">E862-C862</f>
        <v>-569274726.218488</v>
      </c>
      <c r="H862" s="7" t="str">
        <f aca="false">IF(F862&gt;=0,A862,"")</f>
        <v/>
      </c>
      <c r="I862" s="7" t="n">
        <f aca="false">IF(F862&lt;0,A862,0)</f>
        <v>857</v>
      </c>
      <c r="J862" s="7" t="str">
        <f aca="false">IF(G862&gt;=0,A862,"")</f>
        <v/>
      </c>
      <c r="K862" s="7" t="n">
        <f aca="false">IF(G862&lt;0,A862,0)</f>
        <v>857</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888345920</v>
      </c>
      <c r="D863" s="25" t="n">
        <f aca="false">('Chi phí'!$C$77+'Chi phí'!$D$77*B863+'Chi phí'!$E$77*A863+'Giả định'!$B$15*('Chi phí'!$F$77+'Chi phí'!$G$77*B863+'Chi phí'!$H$77*A863))*(1+'Giả định'!$B$16)</f>
        <v>1031950920</v>
      </c>
      <c r="E863" s="25" t="n">
        <f aca="false">A863/'Giả định'!$B$19*'Giả định'!$B$20+A863*'Giả định'!$B$23+'Giả định'!$B$24</f>
        <v>319406722.689076</v>
      </c>
      <c r="F863" s="25" t="n">
        <f aca="false">E863-D863</f>
        <v>-712544197.310925</v>
      </c>
      <c r="G863" s="25" t="n">
        <f aca="false">E863-C863</f>
        <v>-568939197.310925</v>
      </c>
      <c r="H863" s="7" t="str">
        <f aca="false">IF(F863&gt;=0,A863,"")</f>
        <v/>
      </c>
      <c r="I863" s="7" t="n">
        <f aca="false">IF(F863&lt;0,A863,0)</f>
        <v>858</v>
      </c>
      <c r="J863" s="7" t="str">
        <f aca="false">IF(G863&gt;=0,A863,"")</f>
        <v/>
      </c>
      <c r="K863" s="7" t="n">
        <f aca="false">IF(G863&lt;0,A863,0)</f>
        <v>858</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888382660</v>
      </c>
      <c r="D864" s="25" t="n">
        <f aca="false">('Chi phí'!$C$77+'Chi phí'!$D$77*B864+'Chi phí'!$E$77*A864+'Giả định'!$B$15*('Chi phí'!$F$77+'Chi phí'!$G$77*B864+'Chi phí'!$H$77*A864))*(1+'Giả định'!$B$16)</f>
        <v>1031987660</v>
      </c>
      <c r="E864" s="25" t="n">
        <f aca="false">A864/'Giả định'!$B$19*'Giả định'!$B$20+A864*'Giả định'!$B$23+'Giả định'!$B$24</f>
        <v>319778991.596639</v>
      </c>
      <c r="F864" s="25" t="n">
        <f aca="false">E864-D864</f>
        <v>-712208668.403362</v>
      </c>
      <c r="G864" s="25" t="n">
        <f aca="false">E864-C864</f>
        <v>-568603668.403362</v>
      </c>
      <c r="H864" s="7" t="str">
        <f aca="false">IF(F864&gt;=0,A864,"")</f>
        <v/>
      </c>
      <c r="I864" s="7" t="n">
        <f aca="false">IF(F864&lt;0,A864,0)</f>
        <v>859</v>
      </c>
      <c r="J864" s="7" t="str">
        <f aca="false">IF(G864&gt;=0,A864,"")</f>
        <v/>
      </c>
      <c r="K864" s="7" t="n">
        <f aca="false">IF(G864&lt;0,A864,0)</f>
        <v>859</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888419400</v>
      </c>
      <c r="D865" s="25" t="n">
        <f aca="false">('Chi phí'!$C$77+'Chi phí'!$D$77*B865+'Chi phí'!$E$77*A865+'Giả định'!$B$15*('Chi phí'!$F$77+'Chi phí'!$G$77*B865+'Chi phí'!$H$77*A865))*(1+'Giả định'!$B$16)</f>
        <v>1032024400</v>
      </c>
      <c r="E865" s="25" t="n">
        <f aca="false">A865/'Giả định'!$B$19*'Giả định'!$B$20+A865*'Giả định'!$B$23+'Giả định'!$B$24</f>
        <v>320151260.504202</v>
      </c>
      <c r="F865" s="25" t="n">
        <f aca="false">E865-D865</f>
        <v>-711873139.495798</v>
      </c>
      <c r="G865" s="25" t="n">
        <f aca="false">E865-C865</f>
        <v>-568268139.495798</v>
      </c>
      <c r="H865" s="7" t="str">
        <f aca="false">IF(F865&gt;=0,A865,"")</f>
        <v/>
      </c>
      <c r="I865" s="7" t="n">
        <f aca="false">IF(F865&lt;0,A865,0)</f>
        <v>860</v>
      </c>
      <c r="J865" s="7" t="str">
        <f aca="false">IF(G865&gt;=0,A865,"")</f>
        <v/>
      </c>
      <c r="K865" s="7" t="n">
        <f aca="false">IF(G865&lt;0,A865,0)</f>
        <v>860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897630140</v>
      </c>
      <c r="D866" s="25" t="n">
        <f aca="false">('Chi phí'!$C$77+'Chi phí'!$D$77*B866+'Chi phí'!$E$77*A866+'Giả định'!$B$15*('Chi phí'!$F$77+'Chi phí'!$G$77*B866+'Chi phí'!$H$77*A866))*(1+'Giả định'!$B$16)</f>
        <v>1041235140</v>
      </c>
      <c r="E866" s="25" t="n">
        <f aca="false">A866/'Giả định'!$B$19*'Giả định'!$B$20+A866*'Giả định'!$B$23+'Giả định'!$B$24</f>
        <v>320523529.411765</v>
      </c>
      <c r="F866" s="25" t="n">
        <f aca="false">E866-D866</f>
        <v>-720711610.588235</v>
      </c>
      <c r="G866" s="25" t="n">
        <f aca="false">E866-C866</f>
        <v>-577106610.588235</v>
      </c>
      <c r="H866" s="7" t="str">
        <f aca="false">IF(F866&gt;=0,A866,"")</f>
        <v/>
      </c>
      <c r="I866" s="7" t="n">
        <f aca="false">IF(F866&lt;0,A866,0)</f>
        <v>861</v>
      </c>
      <c r="J866" s="7" t="str">
        <f aca="false">IF(G866&gt;=0,A866,"")</f>
        <v/>
      </c>
      <c r="K866" s="7" t="n">
        <f aca="false">IF(G866&lt;0,A866,0)</f>
        <v>861</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897666880</v>
      </c>
      <c r="D867" s="25" t="n">
        <f aca="false">('Chi phí'!$C$77+'Chi phí'!$D$77*B867+'Chi phí'!$E$77*A867+'Giả định'!$B$15*('Chi phí'!$F$77+'Chi phí'!$G$77*B867+'Chi phí'!$H$77*A867))*(1+'Giả định'!$B$16)</f>
        <v>1041271880</v>
      </c>
      <c r="E867" s="25" t="n">
        <f aca="false">A867/'Giả định'!$B$19*'Giả định'!$B$20+A867*'Giả định'!$B$23+'Giả định'!$B$24</f>
        <v>320895798.319328</v>
      </c>
      <c r="F867" s="25" t="n">
        <f aca="false">E867-D867</f>
        <v>-720376081.680672</v>
      </c>
      <c r="G867" s="25" t="n">
        <f aca="false">E867-C867</f>
        <v>-576771081.680672</v>
      </c>
      <c r="H867" s="7" t="str">
        <f aca="false">IF(F867&gt;=0,A867,"")</f>
        <v/>
      </c>
      <c r="I867" s="7" t="n">
        <f aca="false">IF(F867&lt;0,A867,0)</f>
        <v>862</v>
      </c>
      <c r="J867" s="7" t="str">
        <f aca="false">IF(G867&gt;=0,A867,"")</f>
        <v/>
      </c>
      <c r="K867" s="7" t="n">
        <f aca="false">IF(G867&lt;0,A867,0)</f>
        <v>862</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897703620</v>
      </c>
      <c r="D868" s="25" t="n">
        <f aca="false">('Chi phí'!$C$77+'Chi phí'!$D$77*B868+'Chi phí'!$E$77*A868+'Giả định'!$B$15*('Chi phí'!$F$77+'Chi phí'!$G$77*B868+'Chi phí'!$H$77*A868))*(1+'Giả định'!$B$16)</f>
        <v>1041308620</v>
      </c>
      <c r="E868" s="25" t="n">
        <f aca="false">A868/'Giả định'!$B$19*'Giả định'!$B$20+A868*'Giả định'!$B$23+'Giả định'!$B$24</f>
        <v>321268067.226891</v>
      </c>
      <c r="F868" s="25" t="n">
        <f aca="false">E868-D868</f>
        <v>-720040552.773109</v>
      </c>
      <c r="G868" s="25" t="n">
        <f aca="false">E868-C868</f>
        <v>-576435552.773109</v>
      </c>
      <c r="H868" s="7" t="str">
        <f aca="false">IF(F868&gt;=0,A868,"")</f>
        <v/>
      </c>
      <c r="I868" s="7" t="n">
        <f aca="false">IF(F868&lt;0,A868,0)</f>
        <v>863</v>
      </c>
      <c r="J868" s="7" t="str">
        <f aca="false">IF(G868&gt;=0,A868,"")</f>
        <v/>
      </c>
      <c r="K868" s="7" t="n">
        <f aca="false">IF(G868&lt;0,A868,0)</f>
        <v>863</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897740360</v>
      </c>
      <c r="D869" s="25" t="n">
        <f aca="false">('Chi phí'!$C$77+'Chi phí'!$D$77*B869+'Chi phí'!$E$77*A869+'Giả định'!$B$15*('Chi phí'!$F$77+'Chi phí'!$G$77*B869+'Chi phí'!$H$77*A869))*(1+'Giả định'!$B$16)</f>
        <v>1041345360</v>
      </c>
      <c r="E869" s="25" t="n">
        <f aca="false">A869/'Giả định'!$B$19*'Giả định'!$B$20+A869*'Giả định'!$B$23+'Giả định'!$B$24</f>
        <v>321640336.134454</v>
      </c>
      <c r="F869" s="25" t="n">
        <f aca="false">E869-D869</f>
        <v>-719705023.865546</v>
      </c>
      <c r="G869" s="25" t="n">
        <f aca="false">E869-C869</f>
        <v>-576100023.865546</v>
      </c>
      <c r="H869" s="7" t="str">
        <f aca="false">IF(F869&gt;=0,A869,"")</f>
        <v/>
      </c>
      <c r="I869" s="7" t="n">
        <f aca="false">IF(F869&lt;0,A869,0)</f>
        <v>864</v>
      </c>
      <c r="J869" s="7" t="str">
        <f aca="false">IF(G869&gt;=0,A869,"")</f>
        <v/>
      </c>
      <c r="K869" s="7" t="n">
        <f aca="false">IF(G869&lt;0,A869,0)</f>
        <v>864</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897777100</v>
      </c>
      <c r="D870" s="25" t="n">
        <f aca="false">('Chi phí'!$C$77+'Chi phí'!$D$77*B870+'Chi phí'!$E$77*A870+'Giả định'!$B$15*('Chi phí'!$F$77+'Chi phí'!$G$77*B870+'Chi phí'!$H$77*A870))*(1+'Giả định'!$B$16)</f>
        <v>1041382100</v>
      </c>
      <c r="E870" s="25" t="n">
        <f aca="false">A870/'Giả định'!$B$19*'Giả định'!$B$20+A870*'Giả định'!$B$23+'Giả định'!$B$24</f>
        <v>322012605.042017</v>
      </c>
      <c r="F870" s="25" t="n">
        <f aca="false">E870-D870</f>
        <v>-719369494.957983</v>
      </c>
      <c r="G870" s="25" t="n">
        <f aca="false">E870-C870</f>
        <v>-575764494.957983</v>
      </c>
      <c r="H870" s="7" t="str">
        <f aca="false">IF(F870&gt;=0,A870,"")</f>
        <v/>
      </c>
      <c r="I870" s="7" t="n">
        <f aca="false">IF(F870&lt;0,A870,0)</f>
        <v>865</v>
      </c>
      <c r="J870" s="7" t="str">
        <f aca="false">IF(G870&gt;=0,A870,"")</f>
        <v/>
      </c>
      <c r="K870" s="7" t="n">
        <f aca="false">IF(G870&lt;0,A870,0)</f>
        <v>865</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897813840</v>
      </c>
      <c r="D871" s="25" t="n">
        <f aca="false">('Chi phí'!$C$77+'Chi phí'!$D$77*B871+'Chi phí'!$E$77*A871+'Giả định'!$B$15*('Chi phí'!$F$77+'Chi phí'!$G$77*B871+'Chi phí'!$H$77*A871))*(1+'Giả định'!$B$16)</f>
        <v>1041418840</v>
      </c>
      <c r="E871" s="25" t="n">
        <f aca="false">A871/'Giả định'!$B$19*'Giả định'!$B$20+A871*'Giả định'!$B$23+'Giả định'!$B$24</f>
        <v>322384873.94958</v>
      </c>
      <c r="F871" s="25" t="n">
        <f aca="false">E871-D871</f>
        <v>-719033966.05042</v>
      </c>
      <c r="G871" s="25" t="n">
        <f aca="false">E871-C871</f>
        <v>-575428966.05042</v>
      </c>
      <c r="H871" s="7" t="str">
        <f aca="false">IF(F871&gt;=0,A871,"")</f>
        <v/>
      </c>
      <c r="I871" s="7" t="n">
        <f aca="false">IF(F871&lt;0,A871,0)</f>
        <v>866</v>
      </c>
      <c r="J871" s="7" t="str">
        <f aca="false">IF(G871&gt;=0,A871,"")</f>
        <v/>
      </c>
      <c r="K871" s="7" t="n">
        <f aca="false">IF(G871&lt;0,A871,0)</f>
        <v>866</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897850580</v>
      </c>
      <c r="D872" s="25" t="n">
        <f aca="false">('Chi phí'!$C$77+'Chi phí'!$D$77*B872+'Chi phí'!$E$77*A872+'Giả định'!$B$15*('Chi phí'!$F$77+'Chi phí'!$G$77*B872+'Chi phí'!$H$77*A872))*(1+'Giả định'!$B$16)</f>
        <v>1041455580</v>
      </c>
      <c r="E872" s="25" t="n">
        <f aca="false">A872/'Giả định'!$B$19*'Giả định'!$B$20+A872*'Giả định'!$B$23+'Giả định'!$B$24</f>
        <v>322757142.857143</v>
      </c>
      <c r="F872" s="25" t="n">
        <f aca="false">E872-D872</f>
        <v>-718698437.142857</v>
      </c>
      <c r="G872" s="25" t="n">
        <f aca="false">E872-C872</f>
        <v>-575093437.142857</v>
      </c>
      <c r="H872" s="7" t="str">
        <f aca="false">IF(F872&gt;=0,A872,"")</f>
        <v/>
      </c>
      <c r="I872" s="7" t="n">
        <f aca="false">IF(F872&lt;0,A872,0)</f>
        <v>867</v>
      </c>
      <c r="J872" s="7" t="str">
        <f aca="false">IF(G872&gt;=0,A872,"")</f>
        <v/>
      </c>
      <c r="K872" s="7" t="n">
        <f aca="false">IF(G872&lt;0,A872,0)</f>
        <v>867</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897887320</v>
      </c>
      <c r="D873" s="25" t="n">
        <f aca="false">('Chi phí'!$C$77+'Chi phí'!$D$77*B873+'Chi phí'!$E$77*A873+'Giả định'!$B$15*('Chi phí'!$F$77+'Chi phí'!$G$77*B873+'Chi phí'!$H$77*A873))*(1+'Giả định'!$B$16)</f>
        <v>1041492320</v>
      </c>
      <c r="E873" s="25" t="n">
        <f aca="false">A873/'Giả định'!$B$19*'Giả định'!$B$20+A873*'Giả định'!$B$23+'Giả định'!$B$24</f>
        <v>323129411.764706</v>
      </c>
      <c r="F873" s="25" t="n">
        <f aca="false">E873-D873</f>
        <v>-718362908.235294</v>
      </c>
      <c r="G873" s="25" t="n">
        <f aca="false">E873-C873</f>
        <v>-574757908.235294</v>
      </c>
      <c r="H873" s="7" t="str">
        <f aca="false">IF(F873&gt;=0,A873,"")</f>
        <v/>
      </c>
      <c r="I873" s="7" t="n">
        <f aca="false">IF(F873&lt;0,A873,0)</f>
        <v>868</v>
      </c>
      <c r="J873" s="7" t="str">
        <f aca="false">IF(G873&gt;=0,A873,"")</f>
        <v/>
      </c>
      <c r="K873" s="7" t="n">
        <f aca="false">IF(G873&lt;0,A873,0)</f>
        <v>868</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897924060</v>
      </c>
      <c r="D874" s="25" t="n">
        <f aca="false">('Chi phí'!$C$77+'Chi phí'!$D$77*B874+'Chi phí'!$E$77*A874+'Giả định'!$B$15*('Chi phí'!$F$77+'Chi phí'!$G$77*B874+'Chi phí'!$H$77*A874))*(1+'Giả định'!$B$16)</f>
        <v>1041529060</v>
      </c>
      <c r="E874" s="25" t="n">
        <f aca="false">A874/'Giả định'!$B$19*'Giả định'!$B$20+A874*'Giả định'!$B$23+'Giả định'!$B$24</f>
        <v>323501680.672269</v>
      </c>
      <c r="F874" s="25" t="n">
        <f aca="false">E874-D874</f>
        <v>-718027379.327731</v>
      </c>
      <c r="G874" s="25" t="n">
        <f aca="false">E874-C874</f>
        <v>-574422379.327731</v>
      </c>
      <c r="H874" s="7" t="str">
        <f aca="false">IF(F874&gt;=0,A874,"")</f>
        <v/>
      </c>
      <c r="I874" s="7" t="n">
        <f aca="false">IF(F874&lt;0,A874,0)</f>
        <v>869</v>
      </c>
      <c r="J874" s="7" t="str">
        <f aca="false">IF(G874&gt;=0,A874,"")</f>
        <v/>
      </c>
      <c r="K874" s="7" t="n">
        <f aca="false">IF(G874&lt;0,A874,0)</f>
        <v>869</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897960800</v>
      </c>
      <c r="D875" s="25" t="n">
        <f aca="false">('Chi phí'!$C$77+'Chi phí'!$D$77*B875+'Chi phí'!$E$77*A875+'Giả định'!$B$15*('Chi phí'!$F$77+'Chi phí'!$G$77*B875+'Chi phí'!$H$77*A875))*(1+'Giả định'!$B$16)</f>
        <v>1041565800</v>
      </c>
      <c r="E875" s="25" t="n">
        <f aca="false">A875/'Giả định'!$B$19*'Giả định'!$B$20+A875*'Giả định'!$B$23+'Giả định'!$B$24</f>
        <v>323873949.579832</v>
      </c>
      <c r="F875" s="25" t="n">
        <f aca="false">E875-D875</f>
        <v>-717691850.420168</v>
      </c>
      <c r="G875" s="25" t="n">
        <f aca="false">E875-C875</f>
        <v>-574086850.420168</v>
      </c>
      <c r="H875" s="7" t="str">
        <f aca="false">IF(F875&gt;=0,A875,"")</f>
        <v/>
      </c>
      <c r="I875" s="7" t="n">
        <f aca="false">IF(F875&lt;0,A875,0)</f>
        <v>870</v>
      </c>
      <c r="J875" s="7" t="str">
        <f aca="false">IF(G875&gt;=0,A875,"")</f>
        <v/>
      </c>
      <c r="K875" s="7" t="n">
        <f aca="false">IF(G875&lt;0,A875,0)</f>
        <v>870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907171540</v>
      </c>
      <c r="D876" s="25" t="n">
        <f aca="false">('Chi phí'!$C$77+'Chi phí'!$D$77*B876+'Chi phí'!$E$77*A876+'Giả định'!$B$15*('Chi phí'!$F$77+'Chi phí'!$G$77*B876+'Chi phí'!$H$77*A876))*(1+'Giả định'!$B$16)</f>
        <v>1050776540</v>
      </c>
      <c r="E876" s="25" t="n">
        <f aca="false">A876/'Giả định'!$B$19*'Giả định'!$B$20+A876*'Giả định'!$B$23+'Giả định'!$B$24</f>
        <v>324246218.487395</v>
      </c>
      <c r="F876" s="25" t="n">
        <f aca="false">E876-D876</f>
        <v>-726530321.512605</v>
      </c>
      <c r="G876" s="25" t="n">
        <f aca="false">E876-C876</f>
        <v>-582925321.512605</v>
      </c>
      <c r="H876" s="7" t="str">
        <f aca="false">IF(F876&gt;=0,A876,"")</f>
        <v/>
      </c>
      <c r="I876" s="7" t="n">
        <f aca="false">IF(F876&lt;0,A876,0)</f>
        <v>871</v>
      </c>
      <c r="J876" s="7" t="str">
        <f aca="false">IF(G876&gt;=0,A876,"")</f>
        <v/>
      </c>
      <c r="K876" s="7" t="n">
        <f aca="false">IF(G876&lt;0,A876,0)</f>
        <v>871</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907208280</v>
      </c>
      <c r="D877" s="25" t="n">
        <f aca="false">('Chi phí'!$C$77+'Chi phí'!$D$77*B877+'Chi phí'!$E$77*A877+'Giả định'!$B$15*('Chi phí'!$F$77+'Chi phí'!$G$77*B877+'Chi phí'!$H$77*A877))*(1+'Giả định'!$B$16)</f>
        <v>1050813280</v>
      </c>
      <c r="E877" s="25" t="n">
        <f aca="false">A877/'Giả định'!$B$19*'Giả định'!$B$20+A877*'Giả định'!$B$23+'Giả định'!$B$24</f>
        <v>324618487.394958</v>
      </c>
      <c r="F877" s="25" t="n">
        <f aca="false">E877-D877</f>
        <v>-726194792.605042</v>
      </c>
      <c r="G877" s="25" t="n">
        <f aca="false">E877-C877</f>
        <v>-582589792.605042</v>
      </c>
      <c r="H877" s="7" t="str">
        <f aca="false">IF(F877&gt;=0,A877,"")</f>
        <v/>
      </c>
      <c r="I877" s="7" t="n">
        <f aca="false">IF(F877&lt;0,A877,0)</f>
        <v>872</v>
      </c>
      <c r="J877" s="7" t="str">
        <f aca="false">IF(G877&gt;=0,A877,"")</f>
        <v/>
      </c>
      <c r="K877" s="7" t="n">
        <f aca="false">IF(G877&lt;0,A877,0)</f>
        <v>872</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907245020</v>
      </c>
      <c r="D878" s="25" t="n">
        <f aca="false">('Chi phí'!$C$77+'Chi phí'!$D$77*B878+'Chi phí'!$E$77*A878+'Giả định'!$B$15*('Chi phí'!$F$77+'Chi phí'!$G$77*B878+'Chi phí'!$H$77*A878))*(1+'Giả định'!$B$16)</f>
        <v>1050850020</v>
      </c>
      <c r="E878" s="25" t="n">
        <f aca="false">A878/'Giả định'!$B$19*'Giả định'!$B$20+A878*'Giả định'!$B$23+'Giả định'!$B$24</f>
        <v>324990756.302521</v>
      </c>
      <c r="F878" s="25" t="n">
        <f aca="false">E878-D878</f>
        <v>-725859263.697479</v>
      </c>
      <c r="G878" s="25" t="n">
        <f aca="false">E878-C878</f>
        <v>-582254263.697479</v>
      </c>
      <c r="H878" s="7" t="str">
        <f aca="false">IF(F878&gt;=0,A878,"")</f>
        <v/>
      </c>
      <c r="I878" s="7" t="n">
        <f aca="false">IF(F878&lt;0,A878,0)</f>
        <v>873</v>
      </c>
      <c r="J878" s="7" t="str">
        <f aca="false">IF(G878&gt;=0,A878,"")</f>
        <v/>
      </c>
      <c r="K878" s="7" t="n">
        <f aca="false">IF(G878&lt;0,A878,0)</f>
        <v>873</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907281760</v>
      </c>
      <c r="D879" s="25" t="n">
        <f aca="false">('Chi phí'!$C$77+'Chi phí'!$D$77*B879+'Chi phí'!$E$77*A879+'Giả định'!$B$15*('Chi phí'!$F$77+'Chi phí'!$G$77*B879+'Chi phí'!$H$77*A879))*(1+'Giả định'!$B$16)</f>
        <v>1050886760</v>
      </c>
      <c r="E879" s="25" t="n">
        <f aca="false">A879/'Giả định'!$B$19*'Giả định'!$B$20+A879*'Giả định'!$B$23+'Giả định'!$B$24</f>
        <v>325363025.210084</v>
      </c>
      <c r="F879" s="25" t="n">
        <f aca="false">E879-D879</f>
        <v>-725523734.789916</v>
      </c>
      <c r="G879" s="25" t="n">
        <f aca="false">E879-C879</f>
        <v>-581918734.789916</v>
      </c>
      <c r="H879" s="7" t="str">
        <f aca="false">IF(F879&gt;=0,A879,"")</f>
        <v/>
      </c>
      <c r="I879" s="7" t="n">
        <f aca="false">IF(F879&lt;0,A879,0)</f>
        <v>874</v>
      </c>
      <c r="J879" s="7" t="str">
        <f aca="false">IF(G879&gt;=0,A879,"")</f>
        <v/>
      </c>
      <c r="K879" s="7" t="n">
        <f aca="false">IF(G879&lt;0,A879,0)</f>
        <v>874</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907318500</v>
      </c>
      <c r="D880" s="25" t="n">
        <f aca="false">('Chi phí'!$C$77+'Chi phí'!$D$77*B880+'Chi phí'!$E$77*A880+'Giả định'!$B$15*('Chi phí'!$F$77+'Chi phí'!$G$77*B880+'Chi phí'!$H$77*A880))*(1+'Giả định'!$B$16)</f>
        <v>1050923500</v>
      </c>
      <c r="E880" s="25" t="n">
        <f aca="false">A880/'Giả định'!$B$19*'Giả định'!$B$20+A880*'Giả định'!$B$23+'Giả định'!$B$24</f>
        <v>325735294.117647</v>
      </c>
      <c r="F880" s="25" t="n">
        <f aca="false">E880-D880</f>
        <v>-725188205.882353</v>
      </c>
      <c r="G880" s="25" t="n">
        <f aca="false">E880-C880</f>
        <v>-581583205.882353</v>
      </c>
      <c r="H880" s="7" t="str">
        <f aca="false">IF(F880&gt;=0,A880,"")</f>
        <v/>
      </c>
      <c r="I880" s="7" t="n">
        <f aca="false">IF(F880&lt;0,A880,0)</f>
        <v>875</v>
      </c>
      <c r="J880" s="7" t="str">
        <f aca="false">IF(G880&gt;=0,A880,"")</f>
        <v/>
      </c>
      <c r="K880" s="7" t="n">
        <f aca="false">IF(G880&lt;0,A880,0)</f>
        <v>875</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907355240</v>
      </c>
      <c r="D881" s="25" t="n">
        <f aca="false">('Chi phí'!$C$77+'Chi phí'!$D$77*B881+'Chi phí'!$E$77*A881+'Giả định'!$B$15*('Chi phí'!$F$77+'Chi phí'!$G$77*B881+'Chi phí'!$H$77*A881))*(1+'Giả định'!$B$16)</f>
        <v>1050960240</v>
      </c>
      <c r="E881" s="25" t="n">
        <f aca="false">A881/'Giả định'!$B$19*'Giả định'!$B$20+A881*'Giả định'!$B$23+'Giả định'!$B$24</f>
        <v>326107563.02521</v>
      </c>
      <c r="F881" s="25" t="n">
        <f aca="false">E881-D881</f>
        <v>-724852676.97479</v>
      </c>
      <c r="G881" s="25" t="n">
        <f aca="false">E881-C881</f>
        <v>-581247676.97479</v>
      </c>
      <c r="H881" s="7" t="str">
        <f aca="false">IF(F881&gt;=0,A881,"")</f>
        <v/>
      </c>
      <c r="I881" s="7" t="n">
        <f aca="false">IF(F881&lt;0,A881,0)</f>
        <v>876</v>
      </c>
      <c r="J881" s="7" t="str">
        <f aca="false">IF(G881&gt;=0,A881,"")</f>
        <v/>
      </c>
      <c r="K881" s="7" t="n">
        <f aca="false">IF(G881&lt;0,A881,0)</f>
        <v>876</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907391980</v>
      </c>
      <c r="D882" s="25" t="n">
        <f aca="false">('Chi phí'!$C$77+'Chi phí'!$D$77*B882+'Chi phí'!$E$77*A882+'Giả định'!$B$15*('Chi phí'!$F$77+'Chi phí'!$G$77*B882+'Chi phí'!$H$77*A882))*(1+'Giả định'!$B$16)</f>
        <v>1050996980</v>
      </c>
      <c r="E882" s="25" t="n">
        <f aca="false">A882/'Giả định'!$B$19*'Giả định'!$B$20+A882*'Giả định'!$B$23+'Giả định'!$B$24</f>
        <v>326479831.932773</v>
      </c>
      <c r="F882" s="25" t="n">
        <f aca="false">E882-D882</f>
        <v>-724517148.067227</v>
      </c>
      <c r="G882" s="25" t="n">
        <f aca="false">E882-C882</f>
        <v>-580912148.067227</v>
      </c>
      <c r="H882" s="7" t="str">
        <f aca="false">IF(F882&gt;=0,A882,"")</f>
        <v/>
      </c>
      <c r="I882" s="7" t="n">
        <f aca="false">IF(F882&lt;0,A882,0)</f>
        <v>877</v>
      </c>
      <c r="J882" s="7" t="str">
        <f aca="false">IF(G882&gt;=0,A882,"")</f>
        <v/>
      </c>
      <c r="K882" s="7" t="n">
        <f aca="false">IF(G882&lt;0,A882,0)</f>
        <v>877</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907428720</v>
      </c>
      <c r="D883" s="25" t="n">
        <f aca="false">('Chi phí'!$C$77+'Chi phí'!$D$77*B883+'Chi phí'!$E$77*A883+'Giả định'!$B$15*('Chi phí'!$F$77+'Chi phí'!$G$77*B883+'Chi phí'!$H$77*A883))*(1+'Giả định'!$B$16)</f>
        <v>1051033720</v>
      </c>
      <c r="E883" s="25" t="n">
        <f aca="false">A883/'Giả định'!$B$19*'Giả định'!$B$20+A883*'Giả định'!$B$23+'Giả định'!$B$24</f>
        <v>326852100.840336</v>
      </c>
      <c r="F883" s="25" t="n">
        <f aca="false">E883-D883</f>
        <v>-724181619.159664</v>
      </c>
      <c r="G883" s="25" t="n">
        <f aca="false">E883-C883</f>
        <v>-580576619.159664</v>
      </c>
      <c r="H883" s="7" t="str">
        <f aca="false">IF(F883&gt;=0,A883,"")</f>
        <v/>
      </c>
      <c r="I883" s="7" t="n">
        <f aca="false">IF(F883&lt;0,A883,0)</f>
        <v>878</v>
      </c>
      <c r="J883" s="7" t="str">
        <f aca="false">IF(G883&gt;=0,A883,"")</f>
        <v/>
      </c>
      <c r="K883" s="7" t="n">
        <f aca="false">IF(G883&lt;0,A883,0)</f>
        <v>878</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907465460</v>
      </c>
      <c r="D884" s="25" t="n">
        <f aca="false">('Chi phí'!$C$77+'Chi phí'!$D$77*B884+'Chi phí'!$E$77*A884+'Giả định'!$B$15*('Chi phí'!$F$77+'Chi phí'!$G$77*B884+'Chi phí'!$H$77*A884))*(1+'Giả định'!$B$16)</f>
        <v>1051070460</v>
      </c>
      <c r="E884" s="25" t="n">
        <f aca="false">A884/'Giả định'!$B$19*'Giả định'!$B$20+A884*'Giả định'!$B$23+'Giả định'!$B$24</f>
        <v>327224369.747899</v>
      </c>
      <c r="F884" s="25" t="n">
        <f aca="false">E884-D884</f>
        <v>-723846090.252101</v>
      </c>
      <c r="G884" s="25" t="n">
        <f aca="false">E884-C884</f>
        <v>-580241090.252101</v>
      </c>
      <c r="H884" s="7" t="str">
        <f aca="false">IF(F884&gt;=0,A884,"")</f>
        <v/>
      </c>
      <c r="I884" s="7" t="n">
        <f aca="false">IF(F884&lt;0,A884,0)</f>
        <v>879</v>
      </c>
      <c r="J884" s="7" t="str">
        <f aca="false">IF(G884&gt;=0,A884,"")</f>
        <v/>
      </c>
      <c r="K884" s="7" t="n">
        <f aca="false">IF(G884&lt;0,A884,0)</f>
        <v>879</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907502200</v>
      </c>
      <c r="D885" s="25" t="n">
        <f aca="false">('Chi phí'!$C$77+'Chi phí'!$D$77*B885+'Chi phí'!$E$77*A885+'Giả định'!$B$15*('Chi phí'!$F$77+'Chi phí'!$G$77*B885+'Chi phí'!$H$77*A885))*(1+'Giả định'!$B$16)</f>
        <v>1051107200</v>
      </c>
      <c r="E885" s="25" t="n">
        <f aca="false">A885/'Giả định'!$B$19*'Giả định'!$B$20+A885*'Giả định'!$B$23+'Giả định'!$B$24</f>
        <v>327596638.655462</v>
      </c>
      <c r="F885" s="25" t="n">
        <f aca="false">E885-D885</f>
        <v>-723510561.344538</v>
      </c>
      <c r="G885" s="25" t="n">
        <f aca="false">E885-C885</f>
        <v>-579905561.344538</v>
      </c>
      <c r="H885" s="7" t="str">
        <f aca="false">IF(F885&gt;=0,A885,"")</f>
        <v/>
      </c>
      <c r="I885" s="7" t="n">
        <f aca="false">IF(F885&lt;0,A885,0)</f>
        <v>880</v>
      </c>
      <c r="J885" s="7" t="str">
        <f aca="false">IF(G885&gt;=0,A885,"")</f>
        <v/>
      </c>
      <c r="K885" s="7" t="n">
        <f aca="false">IF(G885&lt;0,A885,0)</f>
        <v>880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916712940</v>
      </c>
      <c r="D886" s="25" t="n">
        <f aca="false">('Chi phí'!$C$77+'Chi phí'!$D$77*B886+'Chi phí'!$E$77*A886+'Giả định'!$B$15*('Chi phí'!$F$77+'Chi phí'!$G$77*B886+'Chi phí'!$H$77*A886))*(1+'Giả định'!$B$16)</f>
        <v>1060317940</v>
      </c>
      <c r="E886" s="25" t="n">
        <f aca="false">A886/'Giả định'!$B$19*'Giả định'!$B$20+A886*'Giả định'!$B$23+'Giả định'!$B$24</f>
        <v>327968907.563025</v>
      </c>
      <c r="F886" s="25" t="n">
        <f aca="false">E886-D886</f>
        <v>-732349032.436975</v>
      </c>
      <c r="G886" s="25" t="n">
        <f aca="false">E886-C886</f>
        <v>-588744032.436975</v>
      </c>
      <c r="H886" s="7" t="str">
        <f aca="false">IF(F886&gt;=0,A886,"")</f>
        <v/>
      </c>
      <c r="I886" s="7" t="n">
        <f aca="false">IF(F886&lt;0,A886,0)</f>
        <v>881</v>
      </c>
      <c r="J886" s="7" t="str">
        <f aca="false">IF(G886&gt;=0,A886,"")</f>
        <v/>
      </c>
      <c r="K886" s="7" t="n">
        <f aca="false">IF(G886&lt;0,A886,0)</f>
        <v>881</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916749680</v>
      </c>
      <c r="D887" s="25" t="n">
        <f aca="false">('Chi phí'!$C$77+'Chi phí'!$D$77*B887+'Chi phí'!$E$77*A887+'Giả định'!$B$15*('Chi phí'!$F$77+'Chi phí'!$G$77*B887+'Chi phí'!$H$77*A887))*(1+'Giả định'!$B$16)</f>
        <v>1060354680</v>
      </c>
      <c r="E887" s="25" t="n">
        <f aca="false">A887/'Giả định'!$B$19*'Giả định'!$B$20+A887*'Giả định'!$B$23+'Giả định'!$B$24</f>
        <v>328341176.470588</v>
      </c>
      <c r="F887" s="25" t="n">
        <f aca="false">E887-D887</f>
        <v>-732013503.529412</v>
      </c>
      <c r="G887" s="25" t="n">
        <f aca="false">E887-C887</f>
        <v>-588408503.529412</v>
      </c>
      <c r="H887" s="7" t="str">
        <f aca="false">IF(F887&gt;=0,A887,"")</f>
        <v/>
      </c>
      <c r="I887" s="7" t="n">
        <f aca="false">IF(F887&lt;0,A887,0)</f>
        <v>882</v>
      </c>
      <c r="J887" s="7" t="str">
        <f aca="false">IF(G887&gt;=0,A887,"")</f>
        <v/>
      </c>
      <c r="K887" s="7" t="n">
        <f aca="false">IF(G887&lt;0,A887,0)</f>
        <v>882</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916786420</v>
      </c>
      <c r="D888" s="25" t="n">
        <f aca="false">('Chi phí'!$C$77+'Chi phí'!$D$77*B888+'Chi phí'!$E$77*A888+'Giả định'!$B$15*('Chi phí'!$F$77+'Chi phí'!$G$77*B888+'Chi phí'!$H$77*A888))*(1+'Giả định'!$B$16)</f>
        <v>1060391420</v>
      </c>
      <c r="E888" s="25" t="n">
        <f aca="false">A888/'Giả định'!$B$19*'Giả định'!$B$20+A888*'Giả định'!$B$23+'Giả định'!$B$24</f>
        <v>328713445.378151</v>
      </c>
      <c r="F888" s="25" t="n">
        <f aca="false">E888-D888</f>
        <v>-731677974.621849</v>
      </c>
      <c r="G888" s="25" t="n">
        <f aca="false">E888-C888</f>
        <v>-588072974.621849</v>
      </c>
      <c r="H888" s="7" t="str">
        <f aca="false">IF(F888&gt;=0,A888,"")</f>
        <v/>
      </c>
      <c r="I888" s="7" t="n">
        <f aca="false">IF(F888&lt;0,A888,0)</f>
        <v>883</v>
      </c>
      <c r="J888" s="7" t="str">
        <f aca="false">IF(G888&gt;=0,A888,"")</f>
        <v/>
      </c>
      <c r="K888" s="7" t="n">
        <f aca="false">IF(G888&lt;0,A888,0)</f>
        <v>883</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916823160</v>
      </c>
      <c r="D889" s="25" t="n">
        <f aca="false">('Chi phí'!$C$77+'Chi phí'!$D$77*B889+'Chi phí'!$E$77*A889+'Giả định'!$B$15*('Chi phí'!$F$77+'Chi phí'!$G$77*B889+'Chi phí'!$H$77*A889))*(1+'Giả định'!$B$16)</f>
        <v>1060428160</v>
      </c>
      <c r="E889" s="25" t="n">
        <f aca="false">A889/'Giả định'!$B$19*'Giả định'!$B$20+A889*'Giả định'!$B$23+'Giả định'!$B$24</f>
        <v>329085714.285714</v>
      </c>
      <c r="F889" s="25" t="n">
        <f aca="false">E889-D889</f>
        <v>-731342445.714286</v>
      </c>
      <c r="G889" s="25" t="n">
        <f aca="false">E889-C889</f>
        <v>-587737445.714286</v>
      </c>
      <c r="H889" s="7" t="str">
        <f aca="false">IF(F889&gt;=0,A889,"")</f>
        <v/>
      </c>
      <c r="I889" s="7" t="n">
        <f aca="false">IF(F889&lt;0,A889,0)</f>
        <v>884</v>
      </c>
      <c r="J889" s="7" t="str">
        <f aca="false">IF(G889&gt;=0,A889,"")</f>
        <v/>
      </c>
      <c r="K889" s="7" t="n">
        <f aca="false">IF(G889&lt;0,A889,0)</f>
        <v>884</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916859900</v>
      </c>
      <c r="D890" s="25" t="n">
        <f aca="false">('Chi phí'!$C$77+'Chi phí'!$D$77*B890+'Chi phí'!$E$77*A890+'Giả định'!$B$15*('Chi phí'!$F$77+'Chi phí'!$G$77*B890+'Chi phí'!$H$77*A890))*(1+'Giả định'!$B$16)</f>
        <v>1060464900</v>
      </c>
      <c r="E890" s="25" t="n">
        <f aca="false">A890/'Giả định'!$B$19*'Giả định'!$B$20+A890*'Giả định'!$B$23+'Giả định'!$B$24</f>
        <v>329457983.193277</v>
      </c>
      <c r="F890" s="25" t="n">
        <f aca="false">E890-D890</f>
        <v>-731006916.806723</v>
      </c>
      <c r="G890" s="25" t="n">
        <f aca="false">E890-C890</f>
        <v>-587401916.806723</v>
      </c>
      <c r="H890" s="7" t="str">
        <f aca="false">IF(F890&gt;=0,A890,"")</f>
        <v/>
      </c>
      <c r="I890" s="7" t="n">
        <f aca="false">IF(F890&lt;0,A890,0)</f>
        <v>885</v>
      </c>
      <c r="J890" s="7" t="str">
        <f aca="false">IF(G890&gt;=0,A890,"")</f>
        <v/>
      </c>
      <c r="K890" s="7" t="n">
        <f aca="false">IF(G890&lt;0,A890,0)</f>
        <v>885</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916896640</v>
      </c>
      <c r="D891" s="25" t="n">
        <f aca="false">('Chi phí'!$C$77+'Chi phí'!$D$77*B891+'Chi phí'!$E$77*A891+'Giả định'!$B$15*('Chi phí'!$F$77+'Chi phí'!$G$77*B891+'Chi phí'!$H$77*A891))*(1+'Giả định'!$B$16)</f>
        <v>1060501640</v>
      </c>
      <c r="E891" s="25" t="n">
        <f aca="false">A891/'Giả định'!$B$19*'Giả định'!$B$20+A891*'Giả định'!$B$23+'Giả định'!$B$24</f>
        <v>329830252.10084</v>
      </c>
      <c r="F891" s="25" t="n">
        <f aca="false">E891-D891</f>
        <v>-730671387.89916</v>
      </c>
      <c r="G891" s="25" t="n">
        <f aca="false">E891-C891</f>
        <v>-587066387.89916</v>
      </c>
      <c r="H891" s="7" t="str">
        <f aca="false">IF(F891&gt;=0,A891,"")</f>
        <v/>
      </c>
      <c r="I891" s="7" t="n">
        <f aca="false">IF(F891&lt;0,A891,0)</f>
        <v>886</v>
      </c>
      <c r="J891" s="7" t="str">
        <f aca="false">IF(G891&gt;=0,A891,"")</f>
        <v/>
      </c>
      <c r="K891" s="7" t="n">
        <f aca="false">IF(G891&lt;0,A891,0)</f>
        <v>886</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916933380</v>
      </c>
      <c r="D892" s="25" t="n">
        <f aca="false">('Chi phí'!$C$77+'Chi phí'!$D$77*B892+'Chi phí'!$E$77*A892+'Giả định'!$B$15*('Chi phí'!$F$77+'Chi phí'!$G$77*B892+'Chi phí'!$H$77*A892))*(1+'Giả định'!$B$16)</f>
        <v>1060538380</v>
      </c>
      <c r="E892" s="25" t="n">
        <f aca="false">A892/'Giả định'!$B$19*'Giả định'!$B$20+A892*'Giả định'!$B$23+'Giả định'!$B$24</f>
        <v>330202521.008403</v>
      </c>
      <c r="F892" s="25" t="n">
        <f aca="false">E892-D892</f>
        <v>-730335858.991597</v>
      </c>
      <c r="G892" s="25" t="n">
        <f aca="false">E892-C892</f>
        <v>-586730858.991597</v>
      </c>
      <c r="H892" s="7" t="str">
        <f aca="false">IF(F892&gt;=0,A892,"")</f>
        <v/>
      </c>
      <c r="I892" s="7" t="n">
        <f aca="false">IF(F892&lt;0,A892,0)</f>
        <v>887</v>
      </c>
      <c r="J892" s="7" t="str">
        <f aca="false">IF(G892&gt;=0,A892,"")</f>
        <v/>
      </c>
      <c r="K892" s="7" t="n">
        <f aca="false">IF(G892&lt;0,A892,0)</f>
        <v>887</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916970120</v>
      </c>
      <c r="D893" s="25" t="n">
        <f aca="false">('Chi phí'!$C$77+'Chi phí'!$D$77*B893+'Chi phí'!$E$77*A893+'Giả định'!$B$15*('Chi phí'!$F$77+'Chi phí'!$G$77*B893+'Chi phí'!$H$77*A893))*(1+'Giả định'!$B$16)</f>
        <v>1060575120</v>
      </c>
      <c r="E893" s="25" t="n">
        <f aca="false">A893/'Giả định'!$B$19*'Giả định'!$B$20+A893*'Giả định'!$B$23+'Giả định'!$B$24</f>
        <v>330574789.915966</v>
      </c>
      <c r="F893" s="25" t="n">
        <f aca="false">E893-D893</f>
        <v>-730000330.084034</v>
      </c>
      <c r="G893" s="25" t="n">
        <f aca="false">E893-C893</f>
        <v>-586395330.084034</v>
      </c>
      <c r="H893" s="7" t="str">
        <f aca="false">IF(F893&gt;=0,A893,"")</f>
        <v/>
      </c>
      <c r="I893" s="7" t="n">
        <f aca="false">IF(F893&lt;0,A893,0)</f>
        <v>888</v>
      </c>
      <c r="J893" s="7" t="str">
        <f aca="false">IF(G893&gt;=0,A893,"")</f>
        <v/>
      </c>
      <c r="K893" s="7" t="n">
        <f aca="false">IF(G893&lt;0,A893,0)</f>
        <v>888</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917006860</v>
      </c>
      <c r="D894" s="25" t="n">
        <f aca="false">('Chi phí'!$C$77+'Chi phí'!$D$77*B894+'Chi phí'!$E$77*A894+'Giả định'!$B$15*('Chi phí'!$F$77+'Chi phí'!$G$77*B894+'Chi phí'!$H$77*A894))*(1+'Giả định'!$B$16)</f>
        <v>1060611860</v>
      </c>
      <c r="E894" s="25" t="n">
        <f aca="false">A894/'Giả định'!$B$19*'Giả định'!$B$20+A894*'Giả định'!$B$23+'Giả định'!$B$24</f>
        <v>330947058.823529</v>
      </c>
      <c r="F894" s="25" t="n">
        <f aca="false">E894-D894</f>
        <v>-729664801.176471</v>
      </c>
      <c r="G894" s="25" t="n">
        <f aca="false">E894-C894</f>
        <v>-586059801.176471</v>
      </c>
      <c r="H894" s="7" t="str">
        <f aca="false">IF(F894&gt;=0,A894,"")</f>
        <v/>
      </c>
      <c r="I894" s="7" t="n">
        <f aca="false">IF(F894&lt;0,A894,0)</f>
        <v>889</v>
      </c>
      <c r="J894" s="7" t="str">
        <f aca="false">IF(G894&gt;=0,A894,"")</f>
        <v/>
      </c>
      <c r="K894" s="7" t="n">
        <f aca="false">IF(G894&lt;0,A894,0)</f>
        <v>889</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917043600</v>
      </c>
      <c r="D895" s="25" t="n">
        <f aca="false">('Chi phí'!$C$77+'Chi phí'!$D$77*B895+'Chi phí'!$E$77*A895+'Giả định'!$B$15*('Chi phí'!$F$77+'Chi phí'!$G$77*B895+'Chi phí'!$H$77*A895))*(1+'Giả định'!$B$16)</f>
        <v>1060648600</v>
      </c>
      <c r="E895" s="25" t="n">
        <f aca="false">A895/'Giả định'!$B$19*'Giả định'!$B$20+A895*'Giả định'!$B$23+'Giả định'!$B$24</f>
        <v>331319327.731092</v>
      </c>
      <c r="F895" s="25" t="n">
        <f aca="false">E895-D895</f>
        <v>-729329272.268908</v>
      </c>
      <c r="G895" s="25" t="n">
        <f aca="false">E895-C895</f>
        <v>-585724272.268908</v>
      </c>
      <c r="H895" s="7" t="str">
        <f aca="false">IF(F895&gt;=0,A895,"")</f>
        <v/>
      </c>
      <c r="I895" s="7" t="n">
        <f aca="false">IF(F895&lt;0,A895,0)</f>
        <v>890</v>
      </c>
      <c r="J895" s="7" t="str">
        <f aca="false">IF(G895&gt;=0,A895,"")</f>
        <v/>
      </c>
      <c r="K895" s="7" t="n">
        <f aca="false">IF(G895&lt;0,A895,0)</f>
        <v>890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926254340</v>
      </c>
      <c r="D896" s="25" t="n">
        <f aca="false">('Chi phí'!$C$77+'Chi phí'!$D$77*B896+'Chi phí'!$E$77*A896+'Giả định'!$B$15*('Chi phí'!$F$77+'Chi phí'!$G$77*B896+'Chi phí'!$H$77*A896))*(1+'Giả định'!$B$16)</f>
        <v>1069859340</v>
      </c>
      <c r="E896" s="25" t="n">
        <f aca="false">A896/'Giả định'!$B$19*'Giả định'!$B$20+A896*'Giả định'!$B$23+'Giả định'!$B$24</f>
        <v>331691596.638656</v>
      </c>
      <c r="F896" s="25" t="n">
        <f aca="false">E896-D896</f>
        <v>-738167743.361345</v>
      </c>
      <c r="G896" s="25" t="n">
        <f aca="false">E896-C896</f>
        <v>-594562743.361345</v>
      </c>
      <c r="H896" s="7" t="str">
        <f aca="false">IF(F896&gt;=0,A896,"")</f>
        <v/>
      </c>
      <c r="I896" s="7" t="n">
        <f aca="false">IF(F896&lt;0,A896,0)</f>
        <v>891</v>
      </c>
      <c r="J896" s="7" t="str">
        <f aca="false">IF(G896&gt;=0,A896,"")</f>
        <v/>
      </c>
      <c r="K896" s="7" t="n">
        <f aca="false">IF(G896&lt;0,A896,0)</f>
        <v>891</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926291080</v>
      </c>
      <c r="D897" s="25" t="n">
        <f aca="false">('Chi phí'!$C$77+'Chi phí'!$D$77*B897+'Chi phí'!$E$77*A897+'Giả định'!$B$15*('Chi phí'!$F$77+'Chi phí'!$G$77*B897+'Chi phí'!$H$77*A897))*(1+'Giả định'!$B$16)</f>
        <v>1069896080</v>
      </c>
      <c r="E897" s="25" t="n">
        <f aca="false">A897/'Giả định'!$B$19*'Giả định'!$B$20+A897*'Giả định'!$B$23+'Giả định'!$B$24</f>
        <v>332063865.546219</v>
      </c>
      <c r="F897" s="25" t="n">
        <f aca="false">E897-D897</f>
        <v>-737832214.453782</v>
      </c>
      <c r="G897" s="25" t="n">
        <f aca="false">E897-C897</f>
        <v>-594227214.453782</v>
      </c>
      <c r="H897" s="7" t="str">
        <f aca="false">IF(F897&gt;=0,A897,"")</f>
        <v/>
      </c>
      <c r="I897" s="7" t="n">
        <f aca="false">IF(F897&lt;0,A897,0)</f>
        <v>892</v>
      </c>
      <c r="J897" s="7" t="str">
        <f aca="false">IF(G897&gt;=0,A897,"")</f>
        <v/>
      </c>
      <c r="K897" s="7" t="n">
        <f aca="false">IF(G897&lt;0,A897,0)</f>
        <v>892</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926327820</v>
      </c>
      <c r="D898" s="25" t="n">
        <f aca="false">('Chi phí'!$C$77+'Chi phí'!$D$77*B898+'Chi phí'!$E$77*A898+'Giả định'!$B$15*('Chi phí'!$F$77+'Chi phí'!$G$77*B898+'Chi phí'!$H$77*A898))*(1+'Giả định'!$B$16)</f>
        <v>1069932820</v>
      </c>
      <c r="E898" s="25" t="n">
        <f aca="false">A898/'Giả định'!$B$19*'Giả định'!$B$20+A898*'Giả định'!$B$23+'Giả định'!$B$24</f>
        <v>332436134.453782</v>
      </c>
      <c r="F898" s="25" t="n">
        <f aca="false">E898-D898</f>
        <v>-737496685.546219</v>
      </c>
      <c r="G898" s="25" t="n">
        <f aca="false">E898-C898</f>
        <v>-593891685.546219</v>
      </c>
      <c r="H898" s="7" t="str">
        <f aca="false">IF(F898&gt;=0,A898,"")</f>
        <v/>
      </c>
      <c r="I898" s="7" t="n">
        <f aca="false">IF(F898&lt;0,A898,0)</f>
        <v>893</v>
      </c>
      <c r="J898" s="7" t="str">
        <f aca="false">IF(G898&gt;=0,A898,"")</f>
        <v/>
      </c>
      <c r="K898" s="7" t="n">
        <f aca="false">IF(G898&lt;0,A898,0)</f>
        <v>893</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926364560</v>
      </c>
      <c r="D899" s="25" t="n">
        <f aca="false">('Chi phí'!$C$77+'Chi phí'!$D$77*B899+'Chi phí'!$E$77*A899+'Giả định'!$B$15*('Chi phí'!$F$77+'Chi phí'!$G$77*B899+'Chi phí'!$H$77*A899))*(1+'Giả định'!$B$16)</f>
        <v>1069969560</v>
      </c>
      <c r="E899" s="25" t="n">
        <f aca="false">A899/'Giả định'!$B$19*'Giả định'!$B$20+A899*'Giả định'!$B$23+'Giả định'!$B$24</f>
        <v>332808403.361345</v>
      </c>
      <c r="F899" s="25" t="n">
        <f aca="false">E899-D899</f>
        <v>-737161156.638656</v>
      </c>
      <c r="G899" s="25" t="n">
        <f aca="false">E899-C899</f>
        <v>-593556156.638656</v>
      </c>
      <c r="H899" s="7" t="str">
        <f aca="false">IF(F899&gt;=0,A899,"")</f>
        <v/>
      </c>
      <c r="I899" s="7" t="n">
        <f aca="false">IF(F899&lt;0,A899,0)</f>
        <v>894</v>
      </c>
      <c r="J899" s="7" t="str">
        <f aca="false">IF(G899&gt;=0,A899,"")</f>
        <v/>
      </c>
      <c r="K899" s="7" t="n">
        <f aca="false">IF(G899&lt;0,A899,0)</f>
        <v>894</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926401300</v>
      </c>
      <c r="D900" s="25" t="n">
        <f aca="false">('Chi phí'!$C$77+'Chi phí'!$D$77*B900+'Chi phí'!$E$77*A900+'Giả định'!$B$15*('Chi phí'!$F$77+'Chi phí'!$G$77*B900+'Chi phí'!$H$77*A900))*(1+'Giả định'!$B$16)</f>
        <v>1070006300</v>
      </c>
      <c r="E900" s="25" t="n">
        <f aca="false">A900/'Giả định'!$B$19*'Giả định'!$B$20+A900*'Giả định'!$B$23+'Giả định'!$B$24</f>
        <v>333180672.268908</v>
      </c>
      <c r="F900" s="25" t="n">
        <f aca="false">E900-D900</f>
        <v>-736825627.731093</v>
      </c>
      <c r="G900" s="25" t="n">
        <f aca="false">E900-C900</f>
        <v>-593220627.731093</v>
      </c>
      <c r="H900" s="7" t="str">
        <f aca="false">IF(F900&gt;=0,A900,"")</f>
        <v/>
      </c>
      <c r="I900" s="7" t="n">
        <f aca="false">IF(F900&lt;0,A900,0)</f>
        <v>895</v>
      </c>
      <c r="J900" s="7" t="str">
        <f aca="false">IF(G900&gt;=0,A900,"")</f>
        <v/>
      </c>
      <c r="K900" s="7" t="n">
        <f aca="false">IF(G900&lt;0,A900,0)</f>
        <v>895</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926438040</v>
      </c>
      <c r="D901" s="25" t="n">
        <f aca="false">('Chi phí'!$C$77+'Chi phí'!$D$77*B901+'Chi phí'!$E$77*A901+'Giả định'!$B$15*('Chi phí'!$F$77+'Chi phí'!$G$77*B901+'Chi phí'!$H$77*A901))*(1+'Giả định'!$B$16)</f>
        <v>1070043040</v>
      </c>
      <c r="E901" s="25" t="n">
        <f aca="false">A901/'Giả định'!$B$19*'Giả định'!$B$20+A901*'Giả định'!$B$23+'Giả định'!$B$24</f>
        <v>333552941.176471</v>
      </c>
      <c r="F901" s="25" t="n">
        <f aca="false">E901-D901</f>
        <v>-736490098.82353</v>
      </c>
      <c r="G901" s="25" t="n">
        <f aca="false">E901-C901</f>
        <v>-592885098.82353</v>
      </c>
      <c r="H901" s="7" t="str">
        <f aca="false">IF(F901&gt;=0,A901,"")</f>
        <v/>
      </c>
      <c r="I901" s="7" t="n">
        <f aca="false">IF(F901&lt;0,A901,0)</f>
        <v>896</v>
      </c>
      <c r="J901" s="7" t="str">
        <f aca="false">IF(G901&gt;=0,A901,"")</f>
        <v/>
      </c>
      <c r="K901" s="7" t="n">
        <f aca="false">IF(G901&lt;0,A901,0)</f>
        <v>896</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926474780</v>
      </c>
      <c r="D902" s="25" t="n">
        <f aca="false">('Chi phí'!$C$77+'Chi phí'!$D$77*B902+'Chi phí'!$E$77*A902+'Giả định'!$B$15*('Chi phí'!$F$77+'Chi phí'!$G$77*B902+'Chi phí'!$H$77*A902))*(1+'Giả định'!$B$16)</f>
        <v>1070079780</v>
      </c>
      <c r="E902" s="25" t="n">
        <f aca="false">A902/'Giả định'!$B$19*'Giả định'!$B$20+A902*'Giả định'!$B$23+'Giả định'!$B$24</f>
        <v>333925210.084034</v>
      </c>
      <c r="F902" s="25" t="n">
        <f aca="false">E902-D902</f>
        <v>-736154569.915967</v>
      </c>
      <c r="G902" s="25" t="n">
        <f aca="false">E902-C902</f>
        <v>-592549569.915967</v>
      </c>
      <c r="H902" s="7" t="str">
        <f aca="false">IF(F902&gt;=0,A902,"")</f>
        <v/>
      </c>
      <c r="I902" s="7" t="n">
        <f aca="false">IF(F902&lt;0,A902,0)</f>
        <v>897</v>
      </c>
      <c r="J902" s="7" t="str">
        <f aca="false">IF(G902&gt;=0,A902,"")</f>
        <v/>
      </c>
      <c r="K902" s="7" t="n">
        <f aca="false">IF(G902&lt;0,A902,0)</f>
        <v>897</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926511520</v>
      </c>
      <c r="D903" s="25" t="n">
        <f aca="false">('Chi phí'!$C$77+'Chi phí'!$D$77*B903+'Chi phí'!$E$77*A903+'Giả định'!$B$15*('Chi phí'!$F$77+'Chi phí'!$G$77*B903+'Chi phí'!$H$77*A903))*(1+'Giả định'!$B$16)</f>
        <v>1070116520</v>
      </c>
      <c r="E903" s="25" t="n">
        <f aca="false">A903/'Giả định'!$B$19*'Giả định'!$B$20+A903*'Giả định'!$B$23+'Giả định'!$B$24</f>
        <v>334297478.991597</v>
      </c>
      <c r="F903" s="25" t="n">
        <f aca="false">E903-D903</f>
        <v>-735819041.008404</v>
      </c>
      <c r="G903" s="25" t="n">
        <f aca="false">E903-C903</f>
        <v>-592214041.008404</v>
      </c>
      <c r="H903" s="7" t="str">
        <f aca="false">IF(F903&gt;=0,A903,"")</f>
        <v/>
      </c>
      <c r="I903" s="7" t="n">
        <f aca="false">IF(F903&lt;0,A903,0)</f>
        <v>898</v>
      </c>
      <c r="J903" s="7" t="str">
        <f aca="false">IF(G903&gt;=0,A903,"")</f>
        <v/>
      </c>
      <c r="K903" s="7" t="n">
        <f aca="false">IF(G903&lt;0,A903,0)</f>
        <v>898</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926548260</v>
      </c>
      <c r="D904" s="25" t="n">
        <f aca="false">('Chi phí'!$C$77+'Chi phí'!$D$77*B904+'Chi phí'!$E$77*A904+'Giả định'!$B$15*('Chi phí'!$F$77+'Chi phí'!$G$77*B904+'Chi phí'!$H$77*A904))*(1+'Giả định'!$B$16)</f>
        <v>1070153260</v>
      </c>
      <c r="E904" s="25" t="n">
        <f aca="false">A904/'Giả định'!$B$19*'Giả định'!$B$20+A904*'Giả định'!$B$23+'Giả định'!$B$24</f>
        <v>334669747.89916</v>
      </c>
      <c r="F904" s="25" t="n">
        <f aca="false">E904-D904</f>
        <v>-735483512.10084</v>
      </c>
      <c r="G904" s="25" t="n">
        <f aca="false">E904-C904</f>
        <v>-591878512.10084</v>
      </c>
      <c r="H904" s="7" t="str">
        <f aca="false">IF(F904&gt;=0,A904,"")</f>
        <v/>
      </c>
      <c r="I904" s="7" t="n">
        <f aca="false">IF(F904&lt;0,A904,0)</f>
        <v>899</v>
      </c>
      <c r="J904" s="7" t="str">
        <f aca="false">IF(G904&gt;=0,A904,"")</f>
        <v/>
      </c>
      <c r="K904" s="7" t="n">
        <f aca="false">IF(G904&lt;0,A904,0)</f>
        <v>899</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926585000</v>
      </c>
      <c r="D905" s="25" t="n">
        <f aca="false">('Chi phí'!$C$77+'Chi phí'!$D$77*B905+'Chi phí'!$E$77*A905+'Giả định'!$B$15*('Chi phí'!$F$77+'Chi phí'!$G$77*B905+'Chi phí'!$H$77*A905))*(1+'Giả định'!$B$16)</f>
        <v>1070190000</v>
      </c>
      <c r="E905" s="25" t="n">
        <f aca="false">A905/'Giả định'!$B$19*'Giả định'!$B$20+A905*'Giả định'!$B$23+'Giả định'!$B$24</f>
        <v>335042016.806723</v>
      </c>
      <c r="F905" s="25" t="n">
        <f aca="false">E905-D905</f>
        <v>-735147983.193277</v>
      </c>
      <c r="G905" s="25" t="n">
        <f aca="false">E905-C905</f>
        <v>-591542983.193277</v>
      </c>
      <c r="H905" s="7" t="str">
        <f aca="false">IF(F905&gt;=0,A905,"")</f>
        <v/>
      </c>
      <c r="I905" s="7" t="n">
        <f aca="false">IF(F905&lt;0,A905,0)</f>
        <v>900</v>
      </c>
      <c r="J905" s="7" t="str">
        <f aca="false">IF(G905&gt;=0,A905,"")</f>
        <v/>
      </c>
      <c r="K905" s="7" t="n">
        <f aca="false">IF(G905&lt;0,A905,0)</f>
        <v>900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935795740</v>
      </c>
      <c r="D906" s="25" t="n">
        <f aca="false">('Chi phí'!$C$77+'Chi phí'!$D$77*B906+'Chi phí'!$E$77*A906+'Giả định'!$B$15*('Chi phí'!$F$77+'Chi phí'!$G$77*B906+'Chi phí'!$H$77*A906))*(1+'Giả định'!$B$16)</f>
        <v>1079400740</v>
      </c>
      <c r="E906" s="25" t="n">
        <f aca="false">A906/'Giả định'!$B$19*'Giả định'!$B$20+A906*'Giả định'!$B$23+'Giả định'!$B$24</f>
        <v>335414285.714286</v>
      </c>
      <c r="F906" s="25" t="n">
        <f aca="false">E906-D906</f>
        <v>-743986454.285714</v>
      </c>
      <c r="G906" s="25" t="n">
        <f aca="false">E906-C906</f>
        <v>-600381454.285714</v>
      </c>
      <c r="H906" s="7" t="str">
        <f aca="false">IF(F906&gt;=0,A906,"")</f>
        <v/>
      </c>
      <c r="I906" s="7" t="n">
        <f aca="false">IF(F906&lt;0,A906,0)</f>
        <v>901</v>
      </c>
      <c r="J906" s="7" t="str">
        <f aca="false">IF(G906&gt;=0,A906,"")</f>
        <v/>
      </c>
      <c r="K906" s="7" t="n">
        <f aca="false">IF(G906&lt;0,A906,0)</f>
        <v>901</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935832480</v>
      </c>
      <c r="D907" s="25" t="n">
        <f aca="false">('Chi phí'!$C$77+'Chi phí'!$D$77*B907+'Chi phí'!$E$77*A907+'Giả định'!$B$15*('Chi phí'!$F$77+'Chi phí'!$G$77*B907+'Chi phí'!$H$77*A907))*(1+'Giả định'!$B$16)</f>
        <v>1079437480</v>
      </c>
      <c r="E907" s="25" t="n">
        <f aca="false">A907/'Giả định'!$B$19*'Giả định'!$B$20+A907*'Giả định'!$B$23+'Giả định'!$B$24</f>
        <v>335786554.621849</v>
      </c>
      <c r="F907" s="25" t="n">
        <f aca="false">E907-D907</f>
        <v>-743650925.378151</v>
      </c>
      <c r="G907" s="25" t="n">
        <f aca="false">E907-C907</f>
        <v>-600045925.378151</v>
      </c>
      <c r="H907" s="7" t="str">
        <f aca="false">IF(F907&gt;=0,A907,"")</f>
        <v/>
      </c>
      <c r="I907" s="7" t="n">
        <f aca="false">IF(F907&lt;0,A907,0)</f>
        <v>902</v>
      </c>
      <c r="J907" s="7" t="str">
        <f aca="false">IF(G907&gt;=0,A907,"")</f>
        <v/>
      </c>
      <c r="K907" s="7" t="n">
        <f aca="false">IF(G907&lt;0,A907,0)</f>
        <v>902</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935869220</v>
      </c>
      <c r="D908" s="25" t="n">
        <f aca="false">('Chi phí'!$C$77+'Chi phí'!$D$77*B908+'Chi phí'!$E$77*A908+'Giả định'!$B$15*('Chi phí'!$F$77+'Chi phí'!$G$77*B908+'Chi phí'!$H$77*A908))*(1+'Giả định'!$B$16)</f>
        <v>1079474220</v>
      </c>
      <c r="E908" s="25" t="n">
        <f aca="false">A908/'Giả định'!$B$19*'Giả định'!$B$20+A908*'Giả định'!$B$23+'Giả định'!$B$24</f>
        <v>336158823.529412</v>
      </c>
      <c r="F908" s="25" t="n">
        <f aca="false">E908-D908</f>
        <v>-743315396.470588</v>
      </c>
      <c r="G908" s="25" t="n">
        <f aca="false">E908-C908</f>
        <v>-599710396.470588</v>
      </c>
      <c r="H908" s="7" t="str">
        <f aca="false">IF(F908&gt;=0,A908,"")</f>
        <v/>
      </c>
      <c r="I908" s="7" t="n">
        <f aca="false">IF(F908&lt;0,A908,0)</f>
        <v>903</v>
      </c>
      <c r="J908" s="7" t="str">
        <f aca="false">IF(G908&gt;=0,A908,"")</f>
        <v/>
      </c>
      <c r="K908" s="7" t="n">
        <f aca="false">IF(G908&lt;0,A908,0)</f>
        <v>903</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935905960</v>
      </c>
      <c r="D909" s="25" t="n">
        <f aca="false">('Chi phí'!$C$77+'Chi phí'!$D$77*B909+'Chi phí'!$E$77*A909+'Giả định'!$B$15*('Chi phí'!$F$77+'Chi phí'!$G$77*B909+'Chi phí'!$H$77*A909))*(1+'Giả định'!$B$16)</f>
        <v>1079510960</v>
      </c>
      <c r="E909" s="25" t="n">
        <f aca="false">A909/'Giả định'!$B$19*'Giả định'!$B$20+A909*'Giả định'!$B$23+'Giả định'!$B$24</f>
        <v>336531092.436975</v>
      </c>
      <c r="F909" s="25" t="n">
        <f aca="false">E909-D909</f>
        <v>-742979867.563025</v>
      </c>
      <c r="G909" s="25" t="n">
        <f aca="false">E909-C909</f>
        <v>-599374867.563025</v>
      </c>
      <c r="H909" s="7" t="str">
        <f aca="false">IF(F909&gt;=0,A909,"")</f>
        <v/>
      </c>
      <c r="I909" s="7" t="n">
        <f aca="false">IF(F909&lt;0,A909,0)</f>
        <v>904</v>
      </c>
      <c r="J909" s="7" t="str">
        <f aca="false">IF(G909&gt;=0,A909,"")</f>
        <v/>
      </c>
      <c r="K909" s="7" t="n">
        <f aca="false">IF(G909&lt;0,A909,0)</f>
        <v>904</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935942700</v>
      </c>
      <c r="D910" s="25" t="n">
        <f aca="false">('Chi phí'!$C$77+'Chi phí'!$D$77*B910+'Chi phí'!$E$77*A910+'Giả định'!$B$15*('Chi phí'!$F$77+'Chi phí'!$G$77*B910+'Chi phí'!$H$77*A910))*(1+'Giả định'!$B$16)</f>
        <v>1079547700</v>
      </c>
      <c r="E910" s="25" t="n">
        <f aca="false">A910/'Giả định'!$B$19*'Giả định'!$B$20+A910*'Giả định'!$B$23+'Giả định'!$B$24</f>
        <v>336903361.344538</v>
      </c>
      <c r="F910" s="25" t="n">
        <f aca="false">E910-D910</f>
        <v>-742644338.655462</v>
      </c>
      <c r="G910" s="25" t="n">
        <f aca="false">E910-C910</f>
        <v>-599039338.655462</v>
      </c>
      <c r="H910" s="7" t="str">
        <f aca="false">IF(F910&gt;=0,A910,"")</f>
        <v/>
      </c>
      <c r="I910" s="7" t="n">
        <f aca="false">IF(F910&lt;0,A910,0)</f>
        <v>905</v>
      </c>
      <c r="J910" s="7" t="str">
        <f aca="false">IF(G910&gt;=0,A910,"")</f>
        <v/>
      </c>
      <c r="K910" s="7" t="n">
        <f aca="false">IF(G910&lt;0,A910,0)</f>
        <v>905</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935979440</v>
      </c>
      <c r="D911" s="25" t="n">
        <f aca="false">('Chi phí'!$C$77+'Chi phí'!$D$77*B911+'Chi phí'!$E$77*A911+'Giả định'!$B$15*('Chi phí'!$F$77+'Chi phí'!$G$77*B911+'Chi phí'!$H$77*A911))*(1+'Giả định'!$B$16)</f>
        <v>1079584440</v>
      </c>
      <c r="E911" s="25" t="n">
        <f aca="false">A911/'Giả định'!$B$19*'Giả định'!$B$20+A911*'Giả định'!$B$23+'Giả định'!$B$24</f>
        <v>337275630.252101</v>
      </c>
      <c r="F911" s="25" t="n">
        <f aca="false">E911-D911</f>
        <v>-742308809.747899</v>
      </c>
      <c r="G911" s="25" t="n">
        <f aca="false">E911-C911</f>
        <v>-598703809.747899</v>
      </c>
      <c r="H911" s="7" t="str">
        <f aca="false">IF(F911&gt;=0,A911,"")</f>
        <v/>
      </c>
      <c r="I911" s="7" t="n">
        <f aca="false">IF(F911&lt;0,A911,0)</f>
        <v>906</v>
      </c>
      <c r="J911" s="7" t="str">
        <f aca="false">IF(G911&gt;=0,A911,"")</f>
        <v/>
      </c>
      <c r="K911" s="7" t="n">
        <f aca="false">IF(G911&lt;0,A911,0)</f>
        <v>906</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936016180</v>
      </c>
      <c r="D912" s="25" t="n">
        <f aca="false">('Chi phí'!$C$77+'Chi phí'!$D$77*B912+'Chi phí'!$E$77*A912+'Giả định'!$B$15*('Chi phí'!$F$77+'Chi phí'!$G$77*B912+'Chi phí'!$H$77*A912))*(1+'Giả định'!$B$16)</f>
        <v>1079621180</v>
      </c>
      <c r="E912" s="25" t="n">
        <f aca="false">A912/'Giả định'!$B$19*'Giả định'!$B$20+A912*'Giả định'!$B$23+'Giả định'!$B$24</f>
        <v>337647899.159664</v>
      </c>
      <c r="F912" s="25" t="n">
        <f aca="false">E912-D912</f>
        <v>-741973280.840336</v>
      </c>
      <c r="G912" s="25" t="n">
        <f aca="false">E912-C912</f>
        <v>-598368280.840336</v>
      </c>
      <c r="H912" s="7" t="str">
        <f aca="false">IF(F912&gt;=0,A912,"")</f>
        <v/>
      </c>
      <c r="I912" s="7" t="n">
        <f aca="false">IF(F912&lt;0,A912,0)</f>
        <v>907</v>
      </c>
      <c r="J912" s="7" t="str">
        <f aca="false">IF(G912&gt;=0,A912,"")</f>
        <v/>
      </c>
      <c r="K912" s="7" t="n">
        <f aca="false">IF(G912&lt;0,A912,0)</f>
        <v>907</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936052920</v>
      </c>
      <c r="D913" s="25" t="n">
        <f aca="false">('Chi phí'!$C$77+'Chi phí'!$D$77*B913+'Chi phí'!$E$77*A913+'Giả định'!$B$15*('Chi phí'!$F$77+'Chi phí'!$G$77*B913+'Chi phí'!$H$77*A913))*(1+'Giả định'!$B$16)</f>
        <v>1079657920</v>
      </c>
      <c r="E913" s="25" t="n">
        <f aca="false">A913/'Giả định'!$B$19*'Giả định'!$B$20+A913*'Giả định'!$B$23+'Giả định'!$B$24</f>
        <v>338020168.067227</v>
      </c>
      <c r="F913" s="25" t="n">
        <f aca="false">E913-D913</f>
        <v>-741637751.932773</v>
      </c>
      <c r="G913" s="25" t="n">
        <f aca="false">E913-C913</f>
        <v>-598032751.932773</v>
      </c>
      <c r="H913" s="7" t="str">
        <f aca="false">IF(F913&gt;=0,A913,"")</f>
        <v/>
      </c>
      <c r="I913" s="7" t="n">
        <f aca="false">IF(F913&lt;0,A913,0)</f>
        <v>908</v>
      </c>
      <c r="J913" s="7" t="str">
        <f aca="false">IF(G913&gt;=0,A913,"")</f>
        <v/>
      </c>
      <c r="K913" s="7" t="n">
        <f aca="false">IF(G913&lt;0,A913,0)</f>
        <v>908</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936089660</v>
      </c>
      <c r="D914" s="25" t="n">
        <f aca="false">('Chi phí'!$C$77+'Chi phí'!$D$77*B914+'Chi phí'!$E$77*A914+'Giả định'!$B$15*('Chi phí'!$F$77+'Chi phí'!$G$77*B914+'Chi phí'!$H$77*A914))*(1+'Giả định'!$B$16)</f>
        <v>1079694660</v>
      </c>
      <c r="E914" s="25" t="n">
        <f aca="false">A914/'Giả định'!$B$19*'Giả định'!$B$20+A914*'Giả định'!$B$23+'Giả định'!$B$24</f>
        <v>338392436.97479</v>
      </c>
      <c r="F914" s="25" t="n">
        <f aca="false">E914-D914</f>
        <v>-741302223.02521</v>
      </c>
      <c r="G914" s="25" t="n">
        <f aca="false">E914-C914</f>
        <v>-597697223.02521</v>
      </c>
      <c r="H914" s="7" t="str">
        <f aca="false">IF(F914&gt;=0,A914,"")</f>
        <v/>
      </c>
      <c r="I914" s="7" t="n">
        <f aca="false">IF(F914&lt;0,A914,0)</f>
        <v>909</v>
      </c>
      <c r="J914" s="7" t="str">
        <f aca="false">IF(G914&gt;=0,A914,"")</f>
        <v/>
      </c>
      <c r="K914" s="7" t="n">
        <f aca="false">IF(G914&lt;0,A914,0)</f>
        <v>909</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936126400</v>
      </c>
      <c r="D915" s="25" t="n">
        <f aca="false">('Chi phí'!$C$77+'Chi phí'!$D$77*B915+'Chi phí'!$E$77*A915+'Giả định'!$B$15*('Chi phí'!$F$77+'Chi phí'!$G$77*B915+'Chi phí'!$H$77*A915))*(1+'Giả định'!$B$16)</f>
        <v>1079731400</v>
      </c>
      <c r="E915" s="25" t="n">
        <f aca="false">A915/'Giả định'!$B$19*'Giả định'!$B$20+A915*'Giả định'!$B$23+'Giả định'!$B$24</f>
        <v>338764705.882353</v>
      </c>
      <c r="F915" s="25" t="n">
        <f aca="false">E915-D915</f>
        <v>-740966694.117647</v>
      </c>
      <c r="G915" s="25" t="n">
        <f aca="false">E915-C915</f>
        <v>-597361694.117647</v>
      </c>
      <c r="H915" s="7" t="str">
        <f aca="false">IF(F915&gt;=0,A915,"")</f>
        <v/>
      </c>
      <c r="I915" s="7" t="n">
        <f aca="false">IF(F915&lt;0,A915,0)</f>
        <v>910</v>
      </c>
      <c r="J915" s="7" t="str">
        <f aca="false">IF(G915&gt;=0,A915,"")</f>
        <v/>
      </c>
      <c r="K915" s="7" t="n">
        <f aca="false">IF(G915&lt;0,A915,0)</f>
        <v>910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945337140</v>
      </c>
      <c r="D916" s="25" t="n">
        <f aca="false">('Chi phí'!$C$77+'Chi phí'!$D$77*B916+'Chi phí'!$E$77*A916+'Giả định'!$B$15*('Chi phí'!$F$77+'Chi phí'!$G$77*B916+'Chi phí'!$H$77*A916))*(1+'Giả định'!$B$16)</f>
        <v>1088942140</v>
      </c>
      <c r="E916" s="25" t="n">
        <f aca="false">A916/'Giả định'!$B$19*'Giả định'!$B$20+A916*'Giả định'!$B$23+'Giả định'!$B$24</f>
        <v>339136974.789916</v>
      </c>
      <c r="F916" s="25" t="n">
        <f aca="false">E916-D916</f>
        <v>-749805165.210084</v>
      </c>
      <c r="G916" s="25" t="n">
        <f aca="false">E916-C916</f>
        <v>-606200165.210084</v>
      </c>
      <c r="H916" s="7" t="str">
        <f aca="false">IF(F916&gt;=0,A916,"")</f>
        <v/>
      </c>
      <c r="I916" s="7" t="n">
        <f aca="false">IF(F916&lt;0,A916,0)</f>
        <v>911</v>
      </c>
      <c r="J916" s="7" t="str">
        <f aca="false">IF(G916&gt;=0,A916,"")</f>
        <v/>
      </c>
      <c r="K916" s="7" t="n">
        <f aca="false">IF(G916&lt;0,A916,0)</f>
        <v>911</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945373880</v>
      </c>
      <c r="D917" s="25" t="n">
        <f aca="false">('Chi phí'!$C$77+'Chi phí'!$D$77*B917+'Chi phí'!$E$77*A917+'Giả định'!$B$15*('Chi phí'!$F$77+'Chi phí'!$G$77*B917+'Chi phí'!$H$77*A917))*(1+'Giả định'!$B$16)</f>
        <v>1088978880</v>
      </c>
      <c r="E917" s="25" t="n">
        <f aca="false">A917/'Giả định'!$B$19*'Giả định'!$B$20+A917*'Giả định'!$B$23+'Giả định'!$B$24</f>
        <v>339509243.697479</v>
      </c>
      <c r="F917" s="25" t="n">
        <f aca="false">E917-D917</f>
        <v>-749469636.302521</v>
      </c>
      <c r="G917" s="25" t="n">
        <f aca="false">E917-C917</f>
        <v>-605864636.302521</v>
      </c>
      <c r="H917" s="7" t="str">
        <f aca="false">IF(F917&gt;=0,A917,"")</f>
        <v/>
      </c>
      <c r="I917" s="7" t="n">
        <f aca="false">IF(F917&lt;0,A917,0)</f>
        <v>912</v>
      </c>
      <c r="J917" s="7" t="str">
        <f aca="false">IF(G917&gt;=0,A917,"")</f>
        <v/>
      </c>
      <c r="K917" s="7" t="n">
        <f aca="false">IF(G917&lt;0,A917,0)</f>
        <v>912</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945410620</v>
      </c>
      <c r="D918" s="25" t="n">
        <f aca="false">('Chi phí'!$C$77+'Chi phí'!$D$77*B918+'Chi phí'!$E$77*A918+'Giả định'!$B$15*('Chi phí'!$F$77+'Chi phí'!$G$77*B918+'Chi phí'!$H$77*A918))*(1+'Giả định'!$B$16)</f>
        <v>1089015620</v>
      </c>
      <c r="E918" s="25" t="n">
        <f aca="false">A918/'Giả định'!$B$19*'Giả định'!$B$20+A918*'Giả định'!$B$23+'Giả định'!$B$24</f>
        <v>339881512.605042</v>
      </c>
      <c r="F918" s="25" t="n">
        <f aca="false">E918-D918</f>
        <v>-749134107.394958</v>
      </c>
      <c r="G918" s="25" t="n">
        <f aca="false">E918-C918</f>
        <v>-605529107.394958</v>
      </c>
      <c r="H918" s="7" t="str">
        <f aca="false">IF(F918&gt;=0,A918,"")</f>
        <v/>
      </c>
      <c r="I918" s="7" t="n">
        <f aca="false">IF(F918&lt;0,A918,0)</f>
        <v>913</v>
      </c>
      <c r="J918" s="7" t="str">
        <f aca="false">IF(G918&gt;=0,A918,"")</f>
        <v/>
      </c>
      <c r="K918" s="7" t="n">
        <f aca="false">IF(G918&lt;0,A918,0)</f>
        <v>913</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945447360</v>
      </c>
      <c r="D919" s="25" t="n">
        <f aca="false">('Chi phí'!$C$77+'Chi phí'!$D$77*B919+'Chi phí'!$E$77*A919+'Giả định'!$B$15*('Chi phí'!$F$77+'Chi phí'!$G$77*B919+'Chi phí'!$H$77*A919))*(1+'Giả định'!$B$16)</f>
        <v>1089052360</v>
      </c>
      <c r="E919" s="25" t="n">
        <f aca="false">A919/'Giả định'!$B$19*'Giả định'!$B$20+A919*'Giả định'!$B$23+'Giả định'!$B$24</f>
        <v>340253781.512605</v>
      </c>
      <c r="F919" s="25" t="n">
        <f aca="false">E919-D919</f>
        <v>-748798578.487395</v>
      </c>
      <c r="G919" s="25" t="n">
        <f aca="false">E919-C919</f>
        <v>-605193578.487395</v>
      </c>
      <c r="H919" s="7" t="str">
        <f aca="false">IF(F919&gt;=0,A919,"")</f>
        <v/>
      </c>
      <c r="I919" s="7" t="n">
        <f aca="false">IF(F919&lt;0,A919,0)</f>
        <v>914</v>
      </c>
      <c r="J919" s="7" t="str">
        <f aca="false">IF(G919&gt;=0,A919,"")</f>
        <v/>
      </c>
      <c r="K919" s="7" t="n">
        <f aca="false">IF(G919&lt;0,A919,0)</f>
        <v>914</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945484100</v>
      </c>
      <c r="D920" s="25" t="n">
        <f aca="false">('Chi phí'!$C$77+'Chi phí'!$D$77*B920+'Chi phí'!$E$77*A920+'Giả định'!$B$15*('Chi phí'!$F$77+'Chi phí'!$G$77*B920+'Chi phí'!$H$77*A920))*(1+'Giả định'!$B$16)</f>
        <v>1089089100</v>
      </c>
      <c r="E920" s="25" t="n">
        <f aca="false">A920/'Giả định'!$B$19*'Giả định'!$B$20+A920*'Giả định'!$B$23+'Giả định'!$B$24</f>
        <v>340626050.420168</v>
      </c>
      <c r="F920" s="25" t="n">
        <f aca="false">E920-D920</f>
        <v>-748463049.579832</v>
      </c>
      <c r="G920" s="25" t="n">
        <f aca="false">E920-C920</f>
        <v>-604858049.579832</v>
      </c>
      <c r="H920" s="7" t="str">
        <f aca="false">IF(F920&gt;=0,A920,"")</f>
        <v/>
      </c>
      <c r="I920" s="7" t="n">
        <f aca="false">IF(F920&lt;0,A920,0)</f>
        <v>915</v>
      </c>
      <c r="J920" s="7" t="str">
        <f aca="false">IF(G920&gt;=0,A920,"")</f>
        <v/>
      </c>
      <c r="K920" s="7" t="n">
        <f aca="false">IF(G920&lt;0,A920,0)</f>
        <v>915</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945520840</v>
      </c>
      <c r="D921" s="25" t="n">
        <f aca="false">('Chi phí'!$C$77+'Chi phí'!$D$77*B921+'Chi phí'!$E$77*A921+'Giả định'!$B$15*('Chi phí'!$F$77+'Chi phí'!$G$77*B921+'Chi phí'!$H$77*A921))*(1+'Giả định'!$B$16)</f>
        <v>1089125840</v>
      </c>
      <c r="E921" s="25" t="n">
        <f aca="false">A921/'Giả định'!$B$19*'Giả định'!$B$20+A921*'Giả định'!$B$23+'Giả định'!$B$24</f>
        <v>340998319.327731</v>
      </c>
      <c r="F921" s="25" t="n">
        <f aca="false">E921-D921</f>
        <v>-748127520.672269</v>
      </c>
      <c r="G921" s="25" t="n">
        <f aca="false">E921-C921</f>
        <v>-604522520.672269</v>
      </c>
      <c r="H921" s="7" t="str">
        <f aca="false">IF(F921&gt;=0,A921,"")</f>
        <v/>
      </c>
      <c r="I921" s="7" t="n">
        <f aca="false">IF(F921&lt;0,A921,0)</f>
        <v>916</v>
      </c>
      <c r="J921" s="7" t="str">
        <f aca="false">IF(G921&gt;=0,A921,"")</f>
        <v/>
      </c>
      <c r="K921" s="7" t="n">
        <f aca="false">IF(G921&lt;0,A921,0)</f>
        <v>916</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945557580</v>
      </c>
      <c r="D922" s="25" t="n">
        <f aca="false">('Chi phí'!$C$77+'Chi phí'!$D$77*B922+'Chi phí'!$E$77*A922+'Giả định'!$B$15*('Chi phí'!$F$77+'Chi phí'!$G$77*B922+'Chi phí'!$H$77*A922))*(1+'Giả định'!$B$16)</f>
        <v>1089162580</v>
      </c>
      <c r="E922" s="25" t="n">
        <f aca="false">A922/'Giả định'!$B$19*'Giả định'!$B$20+A922*'Giả định'!$B$23+'Giả định'!$B$24</f>
        <v>341370588.235294</v>
      </c>
      <c r="F922" s="25" t="n">
        <f aca="false">E922-D922</f>
        <v>-747791991.764706</v>
      </c>
      <c r="G922" s="25" t="n">
        <f aca="false">E922-C922</f>
        <v>-604186991.764706</v>
      </c>
      <c r="H922" s="7" t="str">
        <f aca="false">IF(F922&gt;=0,A922,"")</f>
        <v/>
      </c>
      <c r="I922" s="7" t="n">
        <f aca="false">IF(F922&lt;0,A922,0)</f>
        <v>917</v>
      </c>
      <c r="J922" s="7" t="str">
        <f aca="false">IF(G922&gt;=0,A922,"")</f>
        <v/>
      </c>
      <c r="K922" s="7" t="n">
        <f aca="false">IF(G922&lt;0,A922,0)</f>
        <v>917</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945594320</v>
      </c>
      <c r="D923" s="25" t="n">
        <f aca="false">('Chi phí'!$C$77+'Chi phí'!$D$77*B923+'Chi phí'!$E$77*A923+'Giả định'!$B$15*('Chi phí'!$F$77+'Chi phí'!$G$77*B923+'Chi phí'!$H$77*A923))*(1+'Giả định'!$B$16)</f>
        <v>1089199320</v>
      </c>
      <c r="E923" s="25" t="n">
        <f aca="false">A923/'Giả định'!$B$19*'Giả định'!$B$20+A923*'Giả định'!$B$23+'Giả định'!$B$24</f>
        <v>341742857.142857</v>
      </c>
      <c r="F923" s="25" t="n">
        <f aca="false">E923-D923</f>
        <v>-747456462.857143</v>
      </c>
      <c r="G923" s="25" t="n">
        <f aca="false">E923-C923</f>
        <v>-603851462.857143</v>
      </c>
      <c r="H923" s="7" t="str">
        <f aca="false">IF(F923&gt;=0,A923,"")</f>
        <v/>
      </c>
      <c r="I923" s="7" t="n">
        <f aca="false">IF(F923&lt;0,A923,0)</f>
        <v>918</v>
      </c>
      <c r="J923" s="7" t="str">
        <f aca="false">IF(G923&gt;=0,A923,"")</f>
        <v/>
      </c>
      <c r="K923" s="7" t="n">
        <f aca="false">IF(G923&lt;0,A923,0)</f>
        <v>918</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945631060</v>
      </c>
      <c r="D924" s="25" t="n">
        <f aca="false">('Chi phí'!$C$77+'Chi phí'!$D$77*B924+'Chi phí'!$E$77*A924+'Giả định'!$B$15*('Chi phí'!$F$77+'Chi phí'!$G$77*B924+'Chi phí'!$H$77*A924))*(1+'Giả định'!$B$16)</f>
        <v>1089236060</v>
      </c>
      <c r="E924" s="25" t="n">
        <f aca="false">A924/'Giả định'!$B$19*'Giả định'!$B$20+A924*'Giả định'!$B$23+'Giả định'!$B$24</f>
        <v>342115126.05042</v>
      </c>
      <c r="F924" s="25" t="n">
        <f aca="false">E924-D924</f>
        <v>-747120933.94958</v>
      </c>
      <c r="G924" s="25" t="n">
        <f aca="false">E924-C924</f>
        <v>-603515933.94958</v>
      </c>
      <c r="H924" s="7" t="str">
        <f aca="false">IF(F924&gt;=0,A924,"")</f>
        <v/>
      </c>
      <c r="I924" s="7" t="n">
        <f aca="false">IF(F924&lt;0,A924,0)</f>
        <v>919</v>
      </c>
      <c r="J924" s="7" t="str">
        <f aca="false">IF(G924&gt;=0,A924,"")</f>
        <v/>
      </c>
      <c r="K924" s="7" t="n">
        <f aca="false">IF(G924&lt;0,A924,0)</f>
        <v>919</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945667800</v>
      </c>
      <c r="D925" s="25" t="n">
        <f aca="false">('Chi phí'!$C$77+'Chi phí'!$D$77*B925+'Chi phí'!$E$77*A925+'Giả định'!$B$15*('Chi phí'!$F$77+'Chi phí'!$G$77*B925+'Chi phí'!$H$77*A925))*(1+'Giả định'!$B$16)</f>
        <v>1089272800</v>
      </c>
      <c r="E925" s="25" t="n">
        <f aca="false">A925/'Giả định'!$B$19*'Giả định'!$B$20+A925*'Giả định'!$B$23+'Giả định'!$B$24</f>
        <v>342487394.957983</v>
      </c>
      <c r="F925" s="25" t="n">
        <f aca="false">E925-D925</f>
        <v>-746785405.042017</v>
      </c>
      <c r="G925" s="25" t="n">
        <f aca="false">E925-C925</f>
        <v>-603180405.042017</v>
      </c>
      <c r="H925" s="7" t="str">
        <f aca="false">IF(F925&gt;=0,A925,"")</f>
        <v/>
      </c>
      <c r="I925" s="7" t="n">
        <f aca="false">IF(F925&lt;0,A925,0)</f>
        <v>920</v>
      </c>
      <c r="J925" s="7" t="str">
        <f aca="false">IF(G925&gt;=0,A925,"")</f>
        <v/>
      </c>
      <c r="K925" s="7" t="n">
        <f aca="false">IF(G925&lt;0,A925,0)</f>
        <v>920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954878540</v>
      </c>
      <c r="D926" s="25" t="n">
        <f aca="false">('Chi phí'!$C$77+'Chi phí'!$D$77*B926+'Chi phí'!$E$77*A926+'Giả định'!$B$15*('Chi phí'!$F$77+'Chi phí'!$G$77*B926+'Chi phí'!$H$77*A926))*(1+'Giả định'!$B$16)</f>
        <v>1098483540</v>
      </c>
      <c r="E926" s="25" t="n">
        <f aca="false">A926/'Giả định'!$B$19*'Giả định'!$B$20+A926*'Giả định'!$B$23+'Giả định'!$B$24</f>
        <v>342859663.865546</v>
      </c>
      <c r="F926" s="25" t="n">
        <f aca="false">E926-D926</f>
        <v>-755623876.134454</v>
      </c>
      <c r="G926" s="25" t="n">
        <f aca="false">E926-C926</f>
        <v>-612018876.134454</v>
      </c>
      <c r="H926" s="7" t="str">
        <f aca="false">IF(F926&gt;=0,A926,"")</f>
        <v/>
      </c>
      <c r="I926" s="7" t="n">
        <f aca="false">IF(F926&lt;0,A926,0)</f>
        <v>921</v>
      </c>
      <c r="J926" s="7" t="str">
        <f aca="false">IF(G926&gt;=0,A926,"")</f>
        <v/>
      </c>
      <c r="K926" s="7" t="n">
        <f aca="false">IF(G926&lt;0,A926,0)</f>
        <v>921</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954915280</v>
      </c>
      <c r="D927" s="25" t="n">
        <f aca="false">('Chi phí'!$C$77+'Chi phí'!$D$77*B927+'Chi phí'!$E$77*A927+'Giả định'!$B$15*('Chi phí'!$F$77+'Chi phí'!$G$77*B927+'Chi phí'!$H$77*A927))*(1+'Giả định'!$B$16)</f>
        <v>1098520280</v>
      </c>
      <c r="E927" s="25" t="n">
        <f aca="false">A927/'Giả định'!$B$19*'Giả định'!$B$20+A927*'Giả định'!$B$23+'Giả định'!$B$24</f>
        <v>343231932.773109</v>
      </c>
      <c r="F927" s="25" t="n">
        <f aca="false">E927-D927</f>
        <v>-755288347.226891</v>
      </c>
      <c r="G927" s="25" t="n">
        <f aca="false">E927-C927</f>
        <v>-611683347.226891</v>
      </c>
      <c r="H927" s="7" t="str">
        <f aca="false">IF(F927&gt;=0,A927,"")</f>
        <v/>
      </c>
      <c r="I927" s="7" t="n">
        <f aca="false">IF(F927&lt;0,A927,0)</f>
        <v>922</v>
      </c>
      <c r="J927" s="7" t="str">
        <f aca="false">IF(G927&gt;=0,A927,"")</f>
        <v/>
      </c>
      <c r="K927" s="7" t="n">
        <f aca="false">IF(G927&lt;0,A927,0)</f>
        <v>922</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954952020</v>
      </c>
      <c r="D928" s="25" t="n">
        <f aca="false">('Chi phí'!$C$77+'Chi phí'!$D$77*B928+'Chi phí'!$E$77*A928+'Giả định'!$B$15*('Chi phí'!$F$77+'Chi phí'!$G$77*B928+'Chi phí'!$H$77*A928))*(1+'Giả định'!$B$16)</f>
        <v>1098557020</v>
      </c>
      <c r="E928" s="25" t="n">
        <f aca="false">A928/'Giả định'!$B$19*'Giả định'!$B$20+A928*'Giả định'!$B$23+'Giả định'!$B$24</f>
        <v>343604201.680672</v>
      </c>
      <c r="F928" s="25" t="n">
        <f aca="false">E928-D928</f>
        <v>-754952818.319328</v>
      </c>
      <c r="G928" s="25" t="n">
        <f aca="false">E928-C928</f>
        <v>-611347818.319328</v>
      </c>
      <c r="H928" s="7" t="str">
        <f aca="false">IF(F928&gt;=0,A928,"")</f>
        <v/>
      </c>
      <c r="I928" s="7" t="n">
        <f aca="false">IF(F928&lt;0,A928,0)</f>
        <v>923</v>
      </c>
      <c r="J928" s="7" t="str">
        <f aca="false">IF(G928&gt;=0,A928,"")</f>
        <v/>
      </c>
      <c r="K928" s="7" t="n">
        <f aca="false">IF(G928&lt;0,A928,0)</f>
        <v>923</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954988760</v>
      </c>
      <c r="D929" s="25" t="n">
        <f aca="false">('Chi phí'!$C$77+'Chi phí'!$D$77*B929+'Chi phí'!$E$77*A929+'Giả định'!$B$15*('Chi phí'!$F$77+'Chi phí'!$G$77*B929+'Chi phí'!$H$77*A929))*(1+'Giả định'!$B$16)</f>
        <v>1098593760</v>
      </c>
      <c r="E929" s="25" t="n">
        <f aca="false">A929/'Giả định'!$B$19*'Giả định'!$B$20+A929*'Giả định'!$B$23+'Giả định'!$B$24</f>
        <v>343976470.588235</v>
      </c>
      <c r="F929" s="25" t="n">
        <f aca="false">E929-D929</f>
        <v>-754617289.411765</v>
      </c>
      <c r="G929" s="25" t="n">
        <f aca="false">E929-C929</f>
        <v>-611012289.411765</v>
      </c>
      <c r="H929" s="7" t="str">
        <f aca="false">IF(F929&gt;=0,A929,"")</f>
        <v/>
      </c>
      <c r="I929" s="7" t="n">
        <f aca="false">IF(F929&lt;0,A929,0)</f>
        <v>924</v>
      </c>
      <c r="J929" s="7" t="str">
        <f aca="false">IF(G929&gt;=0,A929,"")</f>
        <v/>
      </c>
      <c r="K929" s="7" t="n">
        <f aca="false">IF(G929&lt;0,A929,0)</f>
        <v>924</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955025500</v>
      </c>
      <c r="D930" s="25" t="n">
        <f aca="false">('Chi phí'!$C$77+'Chi phí'!$D$77*B930+'Chi phí'!$E$77*A930+'Giả định'!$B$15*('Chi phí'!$F$77+'Chi phí'!$G$77*B930+'Chi phí'!$H$77*A930))*(1+'Giả định'!$B$16)</f>
        <v>1098630500</v>
      </c>
      <c r="E930" s="25" t="n">
        <f aca="false">A930/'Giả định'!$B$19*'Giả định'!$B$20+A930*'Giả định'!$B$23+'Giả định'!$B$24</f>
        <v>344348739.495798</v>
      </c>
      <c r="F930" s="25" t="n">
        <f aca="false">E930-D930</f>
        <v>-754281760.504202</v>
      </c>
      <c r="G930" s="25" t="n">
        <f aca="false">E930-C930</f>
        <v>-610676760.504202</v>
      </c>
      <c r="H930" s="7" t="str">
        <f aca="false">IF(F930&gt;=0,A930,"")</f>
        <v/>
      </c>
      <c r="I930" s="7" t="n">
        <f aca="false">IF(F930&lt;0,A930,0)</f>
        <v>925</v>
      </c>
      <c r="J930" s="7" t="str">
        <f aca="false">IF(G930&gt;=0,A930,"")</f>
        <v/>
      </c>
      <c r="K930" s="7" t="n">
        <f aca="false">IF(G930&lt;0,A930,0)</f>
        <v>925</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955062240</v>
      </c>
      <c r="D931" s="25" t="n">
        <f aca="false">('Chi phí'!$C$77+'Chi phí'!$D$77*B931+'Chi phí'!$E$77*A931+'Giả định'!$B$15*('Chi phí'!$F$77+'Chi phí'!$G$77*B931+'Chi phí'!$H$77*A931))*(1+'Giả định'!$B$16)</f>
        <v>1098667240</v>
      </c>
      <c r="E931" s="25" t="n">
        <f aca="false">A931/'Giả định'!$B$19*'Giả định'!$B$20+A931*'Giả định'!$B$23+'Giả định'!$B$24</f>
        <v>344721008.403361</v>
      </c>
      <c r="F931" s="25" t="n">
        <f aca="false">E931-D931</f>
        <v>-753946231.596639</v>
      </c>
      <c r="G931" s="25" t="n">
        <f aca="false">E931-C931</f>
        <v>-610341231.596639</v>
      </c>
      <c r="H931" s="7" t="str">
        <f aca="false">IF(F931&gt;=0,A931,"")</f>
        <v/>
      </c>
      <c r="I931" s="7" t="n">
        <f aca="false">IF(F931&lt;0,A931,0)</f>
        <v>926</v>
      </c>
      <c r="J931" s="7" t="str">
        <f aca="false">IF(G931&gt;=0,A931,"")</f>
        <v/>
      </c>
      <c r="K931" s="7" t="n">
        <f aca="false">IF(G931&lt;0,A931,0)</f>
        <v>926</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955098980</v>
      </c>
      <c r="D932" s="25" t="n">
        <f aca="false">('Chi phí'!$C$77+'Chi phí'!$D$77*B932+'Chi phí'!$E$77*A932+'Giả định'!$B$15*('Chi phí'!$F$77+'Chi phí'!$G$77*B932+'Chi phí'!$H$77*A932))*(1+'Giả định'!$B$16)</f>
        <v>1098703980</v>
      </c>
      <c r="E932" s="25" t="n">
        <f aca="false">A932/'Giả định'!$B$19*'Giả định'!$B$20+A932*'Giả định'!$B$23+'Giả định'!$B$24</f>
        <v>345093277.310924</v>
      </c>
      <c r="F932" s="25" t="n">
        <f aca="false">E932-D932</f>
        <v>-753610702.689076</v>
      </c>
      <c r="G932" s="25" t="n">
        <f aca="false">E932-C932</f>
        <v>-610005702.689076</v>
      </c>
      <c r="H932" s="7" t="str">
        <f aca="false">IF(F932&gt;=0,A932,"")</f>
        <v/>
      </c>
      <c r="I932" s="7" t="n">
        <f aca="false">IF(F932&lt;0,A932,0)</f>
        <v>927</v>
      </c>
      <c r="J932" s="7" t="str">
        <f aca="false">IF(G932&gt;=0,A932,"")</f>
        <v/>
      </c>
      <c r="K932" s="7" t="n">
        <f aca="false">IF(G932&lt;0,A932,0)</f>
        <v>927</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955135720</v>
      </c>
      <c r="D933" s="25" t="n">
        <f aca="false">('Chi phí'!$C$77+'Chi phí'!$D$77*B933+'Chi phí'!$E$77*A933+'Giả định'!$B$15*('Chi phí'!$F$77+'Chi phí'!$G$77*B933+'Chi phí'!$H$77*A933))*(1+'Giả định'!$B$16)</f>
        <v>1098740720</v>
      </c>
      <c r="E933" s="25" t="n">
        <f aca="false">A933/'Giả định'!$B$19*'Giả định'!$B$20+A933*'Giả định'!$B$23+'Giả định'!$B$24</f>
        <v>345465546.218487</v>
      </c>
      <c r="F933" s="25" t="n">
        <f aca="false">E933-D933</f>
        <v>-753275173.781513</v>
      </c>
      <c r="G933" s="25" t="n">
        <f aca="false">E933-C933</f>
        <v>-609670173.781513</v>
      </c>
      <c r="H933" s="7" t="str">
        <f aca="false">IF(F933&gt;=0,A933,"")</f>
        <v/>
      </c>
      <c r="I933" s="7" t="n">
        <f aca="false">IF(F933&lt;0,A933,0)</f>
        <v>928</v>
      </c>
      <c r="J933" s="7" t="str">
        <f aca="false">IF(G933&gt;=0,A933,"")</f>
        <v/>
      </c>
      <c r="K933" s="7" t="n">
        <f aca="false">IF(G933&lt;0,A933,0)</f>
        <v>928</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955172460</v>
      </c>
      <c r="D934" s="25" t="n">
        <f aca="false">('Chi phí'!$C$77+'Chi phí'!$D$77*B934+'Chi phí'!$E$77*A934+'Giả định'!$B$15*('Chi phí'!$F$77+'Chi phí'!$G$77*B934+'Chi phí'!$H$77*A934))*(1+'Giả định'!$B$16)</f>
        <v>1098777460</v>
      </c>
      <c r="E934" s="25" t="n">
        <f aca="false">A934/'Giả định'!$B$19*'Giả định'!$B$20+A934*'Giả định'!$B$23+'Giả định'!$B$24</f>
        <v>345837815.126051</v>
      </c>
      <c r="F934" s="25" t="n">
        <f aca="false">E934-D934</f>
        <v>-752939644.87395</v>
      </c>
      <c r="G934" s="25" t="n">
        <f aca="false">E934-C934</f>
        <v>-609334644.87395</v>
      </c>
      <c r="H934" s="7" t="str">
        <f aca="false">IF(F934&gt;=0,A934,"")</f>
        <v/>
      </c>
      <c r="I934" s="7" t="n">
        <f aca="false">IF(F934&lt;0,A934,0)</f>
        <v>929</v>
      </c>
      <c r="J934" s="7" t="str">
        <f aca="false">IF(G934&gt;=0,A934,"")</f>
        <v/>
      </c>
      <c r="K934" s="7" t="n">
        <f aca="false">IF(G934&lt;0,A934,0)</f>
        <v>929</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955209200</v>
      </c>
      <c r="D935" s="25" t="n">
        <f aca="false">('Chi phí'!$C$77+'Chi phí'!$D$77*B935+'Chi phí'!$E$77*A935+'Giả định'!$B$15*('Chi phí'!$F$77+'Chi phí'!$G$77*B935+'Chi phí'!$H$77*A935))*(1+'Giả định'!$B$16)</f>
        <v>1098814200</v>
      </c>
      <c r="E935" s="25" t="n">
        <f aca="false">A935/'Giả định'!$B$19*'Giả định'!$B$20+A935*'Giả định'!$B$23+'Giả định'!$B$24</f>
        <v>346210084.033614</v>
      </c>
      <c r="F935" s="25" t="n">
        <f aca="false">E935-D935</f>
        <v>-752604115.966387</v>
      </c>
      <c r="G935" s="25" t="n">
        <f aca="false">E935-C935</f>
        <v>-608999115.966387</v>
      </c>
      <c r="H935" s="7" t="str">
        <f aca="false">IF(F935&gt;=0,A935,"")</f>
        <v/>
      </c>
      <c r="I935" s="7" t="n">
        <f aca="false">IF(F935&lt;0,A935,0)</f>
        <v>930</v>
      </c>
      <c r="J935" s="7" t="str">
        <f aca="false">IF(G935&gt;=0,A935,"")</f>
        <v/>
      </c>
      <c r="K935" s="7" t="n">
        <f aca="false">IF(G935&lt;0,A935,0)</f>
        <v>930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964419940</v>
      </c>
      <c r="D936" s="25" t="n">
        <f aca="false">('Chi phí'!$C$77+'Chi phí'!$D$77*B936+'Chi phí'!$E$77*A936+'Giả định'!$B$15*('Chi phí'!$F$77+'Chi phí'!$G$77*B936+'Chi phí'!$H$77*A936))*(1+'Giả định'!$B$16)</f>
        <v>1108024940</v>
      </c>
      <c r="E936" s="25" t="n">
        <f aca="false">A936/'Giả định'!$B$19*'Giả định'!$B$20+A936*'Giả định'!$B$23+'Giả định'!$B$24</f>
        <v>346582352.941177</v>
      </c>
      <c r="F936" s="25" t="n">
        <f aca="false">E936-D936</f>
        <v>-761442587.058824</v>
      </c>
      <c r="G936" s="25" t="n">
        <f aca="false">E936-C936</f>
        <v>-617837587.058824</v>
      </c>
      <c r="H936" s="7" t="str">
        <f aca="false">IF(F936&gt;=0,A936,"")</f>
        <v/>
      </c>
      <c r="I936" s="7" t="n">
        <f aca="false">IF(F936&lt;0,A936,0)</f>
        <v>931</v>
      </c>
      <c r="J936" s="7" t="str">
        <f aca="false">IF(G936&gt;=0,A936,"")</f>
        <v/>
      </c>
      <c r="K936" s="7" t="n">
        <f aca="false">IF(G936&lt;0,A936,0)</f>
        <v>931</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964456680</v>
      </c>
      <c r="D937" s="25" t="n">
        <f aca="false">('Chi phí'!$C$77+'Chi phí'!$D$77*B937+'Chi phí'!$E$77*A937+'Giả định'!$B$15*('Chi phí'!$F$77+'Chi phí'!$G$77*B937+'Chi phí'!$H$77*A937))*(1+'Giả định'!$B$16)</f>
        <v>1108061680</v>
      </c>
      <c r="E937" s="25" t="n">
        <f aca="false">A937/'Giả định'!$B$19*'Giả định'!$B$20+A937*'Giả định'!$B$23+'Giả định'!$B$24</f>
        <v>346954621.84874</v>
      </c>
      <c r="F937" s="25" t="n">
        <f aca="false">E937-D937</f>
        <v>-761107058.151261</v>
      </c>
      <c r="G937" s="25" t="n">
        <f aca="false">E937-C937</f>
        <v>-617502058.151261</v>
      </c>
      <c r="H937" s="7" t="str">
        <f aca="false">IF(F937&gt;=0,A937,"")</f>
        <v/>
      </c>
      <c r="I937" s="7" t="n">
        <f aca="false">IF(F937&lt;0,A937,0)</f>
        <v>932</v>
      </c>
      <c r="J937" s="7" t="str">
        <f aca="false">IF(G937&gt;=0,A937,"")</f>
        <v/>
      </c>
      <c r="K937" s="7" t="n">
        <f aca="false">IF(G937&lt;0,A937,0)</f>
        <v>932</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964493420</v>
      </c>
      <c r="D938" s="25" t="n">
        <f aca="false">('Chi phí'!$C$77+'Chi phí'!$D$77*B938+'Chi phí'!$E$77*A938+'Giả định'!$B$15*('Chi phí'!$F$77+'Chi phí'!$G$77*B938+'Chi phí'!$H$77*A938))*(1+'Giả định'!$B$16)</f>
        <v>1108098420</v>
      </c>
      <c r="E938" s="25" t="n">
        <f aca="false">A938/'Giả định'!$B$19*'Giả định'!$B$20+A938*'Giả định'!$B$23+'Giả định'!$B$24</f>
        <v>347326890.756303</v>
      </c>
      <c r="F938" s="25" t="n">
        <f aca="false">E938-D938</f>
        <v>-760771529.243697</v>
      </c>
      <c r="G938" s="25" t="n">
        <f aca="false">E938-C938</f>
        <v>-617166529.243698</v>
      </c>
      <c r="H938" s="7" t="str">
        <f aca="false">IF(F938&gt;=0,A938,"")</f>
        <v/>
      </c>
      <c r="I938" s="7" t="n">
        <f aca="false">IF(F938&lt;0,A938,0)</f>
        <v>933</v>
      </c>
      <c r="J938" s="7" t="str">
        <f aca="false">IF(G938&gt;=0,A938,"")</f>
        <v/>
      </c>
      <c r="K938" s="7" t="n">
        <f aca="false">IF(G938&lt;0,A938,0)</f>
        <v>933</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964530160</v>
      </c>
      <c r="D939" s="25" t="n">
        <f aca="false">('Chi phí'!$C$77+'Chi phí'!$D$77*B939+'Chi phí'!$E$77*A939+'Giả định'!$B$15*('Chi phí'!$F$77+'Chi phí'!$G$77*B939+'Chi phí'!$H$77*A939))*(1+'Giả định'!$B$16)</f>
        <v>1108135160</v>
      </c>
      <c r="E939" s="25" t="n">
        <f aca="false">A939/'Giả định'!$B$19*'Giả định'!$B$20+A939*'Giả định'!$B$23+'Giả định'!$B$24</f>
        <v>347699159.663866</v>
      </c>
      <c r="F939" s="25" t="n">
        <f aca="false">E939-D939</f>
        <v>-760436000.336134</v>
      </c>
      <c r="G939" s="25" t="n">
        <f aca="false">E939-C939</f>
        <v>-616831000.336135</v>
      </c>
      <c r="H939" s="7" t="str">
        <f aca="false">IF(F939&gt;=0,A939,"")</f>
        <v/>
      </c>
      <c r="I939" s="7" t="n">
        <f aca="false">IF(F939&lt;0,A939,0)</f>
        <v>934</v>
      </c>
      <c r="J939" s="7" t="str">
        <f aca="false">IF(G939&gt;=0,A939,"")</f>
        <v/>
      </c>
      <c r="K939" s="7" t="n">
        <f aca="false">IF(G939&lt;0,A939,0)</f>
        <v>934</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964566900</v>
      </c>
      <c r="D940" s="25" t="n">
        <f aca="false">('Chi phí'!$C$77+'Chi phí'!$D$77*B940+'Chi phí'!$E$77*A940+'Giả định'!$B$15*('Chi phí'!$F$77+'Chi phí'!$G$77*B940+'Chi phí'!$H$77*A940))*(1+'Giả định'!$B$16)</f>
        <v>1108171900</v>
      </c>
      <c r="E940" s="25" t="n">
        <f aca="false">A940/'Giả định'!$B$19*'Giả định'!$B$20+A940*'Giả định'!$B$23+'Giả định'!$B$24</f>
        <v>348071428.571429</v>
      </c>
      <c r="F940" s="25" t="n">
        <f aca="false">E940-D940</f>
        <v>-760100471.428572</v>
      </c>
      <c r="G940" s="25" t="n">
        <f aca="false">E940-C940</f>
        <v>-616495471.428572</v>
      </c>
      <c r="H940" s="7" t="str">
        <f aca="false">IF(F940&gt;=0,A940,"")</f>
        <v/>
      </c>
      <c r="I940" s="7" t="n">
        <f aca="false">IF(F940&lt;0,A940,0)</f>
        <v>935</v>
      </c>
      <c r="J940" s="7" t="str">
        <f aca="false">IF(G940&gt;=0,A940,"")</f>
        <v/>
      </c>
      <c r="K940" s="7" t="n">
        <f aca="false">IF(G940&lt;0,A940,0)</f>
        <v>935</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964603640</v>
      </c>
      <c r="D941" s="25" t="n">
        <f aca="false">('Chi phí'!$C$77+'Chi phí'!$D$77*B941+'Chi phí'!$E$77*A941+'Giả định'!$B$15*('Chi phí'!$F$77+'Chi phí'!$G$77*B941+'Chi phí'!$H$77*A941))*(1+'Giả định'!$B$16)</f>
        <v>1108208640</v>
      </c>
      <c r="E941" s="25" t="n">
        <f aca="false">A941/'Giả định'!$B$19*'Giả định'!$B$20+A941*'Giả định'!$B$23+'Giả định'!$B$24</f>
        <v>348443697.478992</v>
      </c>
      <c r="F941" s="25" t="n">
        <f aca="false">E941-D941</f>
        <v>-759764942.521008</v>
      </c>
      <c r="G941" s="25" t="n">
        <f aca="false">E941-C941</f>
        <v>-616159942.521009</v>
      </c>
      <c r="H941" s="7" t="str">
        <f aca="false">IF(F941&gt;=0,A941,"")</f>
        <v/>
      </c>
      <c r="I941" s="7" t="n">
        <f aca="false">IF(F941&lt;0,A941,0)</f>
        <v>936</v>
      </c>
      <c r="J941" s="7" t="str">
        <f aca="false">IF(G941&gt;=0,A941,"")</f>
        <v/>
      </c>
      <c r="K941" s="7" t="n">
        <f aca="false">IF(G941&lt;0,A941,0)</f>
        <v>936</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964640380</v>
      </c>
      <c r="D942" s="25" t="n">
        <f aca="false">('Chi phí'!$C$77+'Chi phí'!$D$77*B942+'Chi phí'!$E$77*A942+'Giả định'!$B$15*('Chi phí'!$F$77+'Chi phí'!$G$77*B942+'Chi phí'!$H$77*A942))*(1+'Giả định'!$B$16)</f>
        <v>1108245380</v>
      </c>
      <c r="E942" s="25" t="n">
        <f aca="false">A942/'Giả định'!$B$19*'Giả định'!$B$20+A942*'Giả định'!$B$23+'Giả định'!$B$24</f>
        <v>348815966.386555</v>
      </c>
      <c r="F942" s="25" t="n">
        <f aca="false">E942-D942</f>
        <v>-759429413.613445</v>
      </c>
      <c r="G942" s="25" t="n">
        <f aca="false">E942-C942</f>
        <v>-615824413.613446</v>
      </c>
      <c r="H942" s="7" t="str">
        <f aca="false">IF(F942&gt;=0,A942,"")</f>
        <v/>
      </c>
      <c r="I942" s="7" t="n">
        <f aca="false">IF(F942&lt;0,A942,0)</f>
        <v>937</v>
      </c>
      <c r="J942" s="7" t="str">
        <f aca="false">IF(G942&gt;=0,A942,"")</f>
        <v/>
      </c>
      <c r="K942" s="7" t="n">
        <f aca="false">IF(G942&lt;0,A942,0)</f>
        <v>937</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964677120</v>
      </c>
      <c r="D943" s="25" t="n">
        <f aca="false">('Chi phí'!$C$77+'Chi phí'!$D$77*B943+'Chi phí'!$E$77*A943+'Giả định'!$B$15*('Chi phí'!$F$77+'Chi phí'!$G$77*B943+'Chi phí'!$H$77*A943))*(1+'Giả định'!$B$16)</f>
        <v>1108282120</v>
      </c>
      <c r="E943" s="25" t="n">
        <f aca="false">A943/'Giả định'!$B$19*'Giả định'!$B$20+A943*'Giả định'!$B$23+'Giả định'!$B$24</f>
        <v>349188235.294118</v>
      </c>
      <c r="F943" s="25" t="n">
        <f aca="false">E943-D943</f>
        <v>-759093884.705882</v>
      </c>
      <c r="G943" s="25" t="n">
        <f aca="false">E943-C943</f>
        <v>-615488884.705883</v>
      </c>
      <c r="H943" s="7" t="str">
        <f aca="false">IF(F943&gt;=0,A943,"")</f>
        <v/>
      </c>
      <c r="I943" s="7" t="n">
        <f aca="false">IF(F943&lt;0,A943,0)</f>
        <v>938</v>
      </c>
      <c r="J943" s="7" t="str">
        <f aca="false">IF(G943&gt;=0,A943,"")</f>
        <v/>
      </c>
      <c r="K943" s="7" t="n">
        <f aca="false">IF(G943&lt;0,A943,0)</f>
        <v>938</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964713860</v>
      </c>
      <c r="D944" s="25" t="n">
        <f aca="false">('Chi phí'!$C$77+'Chi phí'!$D$77*B944+'Chi phí'!$E$77*A944+'Giả định'!$B$15*('Chi phí'!$F$77+'Chi phí'!$G$77*B944+'Chi phí'!$H$77*A944))*(1+'Giả định'!$B$16)</f>
        <v>1108318860</v>
      </c>
      <c r="E944" s="25" t="n">
        <f aca="false">A944/'Giả định'!$B$19*'Giả định'!$B$20+A944*'Giả định'!$B$23+'Giả định'!$B$24</f>
        <v>349560504.201681</v>
      </c>
      <c r="F944" s="25" t="n">
        <f aca="false">E944-D944</f>
        <v>-758758355.798319</v>
      </c>
      <c r="G944" s="25" t="n">
        <f aca="false">E944-C944</f>
        <v>-615153355.79832</v>
      </c>
      <c r="H944" s="7" t="str">
        <f aca="false">IF(F944&gt;=0,A944,"")</f>
        <v/>
      </c>
      <c r="I944" s="7" t="n">
        <f aca="false">IF(F944&lt;0,A944,0)</f>
        <v>939</v>
      </c>
      <c r="J944" s="7" t="str">
        <f aca="false">IF(G944&gt;=0,A944,"")</f>
        <v/>
      </c>
      <c r="K944" s="7" t="n">
        <f aca="false">IF(G944&lt;0,A944,0)</f>
        <v>939</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964750600</v>
      </c>
      <c r="D945" s="25" t="n">
        <f aca="false">('Chi phí'!$C$77+'Chi phí'!$D$77*B945+'Chi phí'!$E$77*A945+'Giả định'!$B$15*('Chi phí'!$F$77+'Chi phí'!$G$77*B945+'Chi phí'!$H$77*A945))*(1+'Giả định'!$B$16)</f>
        <v>1108355600</v>
      </c>
      <c r="E945" s="25" t="n">
        <f aca="false">A945/'Giả định'!$B$19*'Giả định'!$B$20+A945*'Giả định'!$B$23+'Giả định'!$B$24</f>
        <v>349932773.109244</v>
      </c>
      <c r="F945" s="25" t="n">
        <f aca="false">E945-D945</f>
        <v>-758422826.890756</v>
      </c>
      <c r="G945" s="25" t="n">
        <f aca="false">E945-C945</f>
        <v>-614817826.890756</v>
      </c>
      <c r="H945" s="7" t="str">
        <f aca="false">IF(F945&gt;=0,A945,"")</f>
        <v/>
      </c>
      <c r="I945" s="7" t="n">
        <f aca="false">IF(F945&lt;0,A945,0)</f>
        <v>940</v>
      </c>
      <c r="J945" s="7" t="str">
        <f aca="false">IF(G945&gt;=0,A945,"")</f>
        <v/>
      </c>
      <c r="K945" s="7" t="n">
        <f aca="false">IF(G945&lt;0,A945,0)</f>
        <v>940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973961340</v>
      </c>
      <c r="D946" s="25" t="n">
        <f aca="false">('Chi phí'!$C$77+'Chi phí'!$D$77*B946+'Chi phí'!$E$77*A946+'Giả định'!$B$15*('Chi phí'!$F$77+'Chi phí'!$G$77*B946+'Chi phí'!$H$77*A946))*(1+'Giả định'!$B$16)</f>
        <v>1117566340</v>
      </c>
      <c r="E946" s="25" t="n">
        <f aca="false">A946/'Giả định'!$B$19*'Giả định'!$B$20+A946*'Giả định'!$B$23+'Giả định'!$B$24</f>
        <v>350305042.016807</v>
      </c>
      <c r="F946" s="25" t="n">
        <f aca="false">E946-D946</f>
        <v>-767261297.983193</v>
      </c>
      <c r="G946" s="25" t="n">
        <f aca="false">E946-C946</f>
        <v>-623656297.983193</v>
      </c>
      <c r="H946" s="7" t="str">
        <f aca="false">IF(F946&gt;=0,A946,"")</f>
        <v/>
      </c>
      <c r="I946" s="7" t="n">
        <f aca="false">IF(F946&lt;0,A946,0)</f>
        <v>941</v>
      </c>
      <c r="J946" s="7" t="str">
        <f aca="false">IF(G946&gt;=0,A946,"")</f>
        <v/>
      </c>
      <c r="K946" s="7" t="n">
        <f aca="false">IF(G946&lt;0,A946,0)</f>
        <v>941</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973998080</v>
      </c>
      <c r="D947" s="25" t="n">
        <f aca="false">('Chi phí'!$C$77+'Chi phí'!$D$77*B947+'Chi phí'!$E$77*A947+'Giả định'!$B$15*('Chi phí'!$F$77+'Chi phí'!$G$77*B947+'Chi phí'!$H$77*A947))*(1+'Giả định'!$B$16)</f>
        <v>1117603080</v>
      </c>
      <c r="E947" s="25" t="n">
        <f aca="false">A947/'Giả định'!$B$19*'Giả định'!$B$20+A947*'Giả định'!$B$23+'Giả định'!$B$24</f>
        <v>350677310.92437</v>
      </c>
      <c r="F947" s="25" t="n">
        <f aca="false">E947-D947</f>
        <v>-766925769.07563</v>
      </c>
      <c r="G947" s="25" t="n">
        <f aca="false">E947-C947</f>
        <v>-623320769.07563</v>
      </c>
      <c r="H947" s="7" t="str">
        <f aca="false">IF(F947&gt;=0,A947,"")</f>
        <v/>
      </c>
      <c r="I947" s="7" t="n">
        <f aca="false">IF(F947&lt;0,A947,0)</f>
        <v>942</v>
      </c>
      <c r="J947" s="7" t="str">
        <f aca="false">IF(G947&gt;=0,A947,"")</f>
        <v/>
      </c>
      <c r="K947" s="7" t="n">
        <f aca="false">IF(G947&lt;0,A947,0)</f>
        <v>942</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974034820</v>
      </c>
      <c r="D948" s="25" t="n">
        <f aca="false">('Chi phí'!$C$77+'Chi phí'!$D$77*B948+'Chi phí'!$E$77*A948+'Giả định'!$B$15*('Chi phí'!$F$77+'Chi phí'!$G$77*B948+'Chi phí'!$H$77*A948))*(1+'Giả định'!$B$16)</f>
        <v>1117639820</v>
      </c>
      <c r="E948" s="25" t="n">
        <f aca="false">A948/'Giả định'!$B$19*'Giả định'!$B$20+A948*'Giả định'!$B$23+'Giả định'!$B$24</f>
        <v>351049579.831933</v>
      </c>
      <c r="F948" s="25" t="n">
        <f aca="false">E948-D948</f>
        <v>-766590240.168067</v>
      </c>
      <c r="G948" s="25" t="n">
        <f aca="false">E948-C948</f>
        <v>-622985240.168067</v>
      </c>
      <c r="H948" s="7" t="str">
        <f aca="false">IF(F948&gt;=0,A948,"")</f>
        <v/>
      </c>
      <c r="I948" s="7" t="n">
        <f aca="false">IF(F948&lt;0,A948,0)</f>
        <v>943</v>
      </c>
      <c r="J948" s="7" t="str">
        <f aca="false">IF(G948&gt;=0,A948,"")</f>
        <v/>
      </c>
      <c r="K948" s="7" t="n">
        <f aca="false">IF(G948&lt;0,A948,0)</f>
        <v>943</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974071560</v>
      </c>
      <c r="D949" s="25" t="n">
        <f aca="false">('Chi phí'!$C$77+'Chi phí'!$D$77*B949+'Chi phí'!$E$77*A949+'Giả định'!$B$15*('Chi phí'!$F$77+'Chi phí'!$G$77*B949+'Chi phí'!$H$77*A949))*(1+'Giả định'!$B$16)</f>
        <v>1117676560</v>
      </c>
      <c r="E949" s="25" t="n">
        <f aca="false">A949/'Giả định'!$B$19*'Giả định'!$B$20+A949*'Giả định'!$B$23+'Giả định'!$B$24</f>
        <v>351421848.739496</v>
      </c>
      <c r="F949" s="25" t="n">
        <f aca="false">E949-D949</f>
        <v>-766254711.260504</v>
      </c>
      <c r="G949" s="25" t="n">
        <f aca="false">E949-C949</f>
        <v>-622649711.260504</v>
      </c>
      <c r="H949" s="7" t="str">
        <f aca="false">IF(F949&gt;=0,A949,"")</f>
        <v/>
      </c>
      <c r="I949" s="7" t="n">
        <f aca="false">IF(F949&lt;0,A949,0)</f>
        <v>944</v>
      </c>
      <c r="J949" s="7" t="str">
        <f aca="false">IF(G949&gt;=0,A949,"")</f>
        <v/>
      </c>
      <c r="K949" s="7" t="n">
        <f aca="false">IF(G949&lt;0,A949,0)</f>
        <v>944</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974108300</v>
      </c>
      <c r="D950" s="25" t="n">
        <f aca="false">('Chi phí'!$C$77+'Chi phí'!$D$77*B950+'Chi phí'!$E$77*A950+'Giả định'!$B$15*('Chi phí'!$F$77+'Chi phí'!$G$77*B950+'Chi phí'!$H$77*A950))*(1+'Giả định'!$B$16)</f>
        <v>1117713300</v>
      </c>
      <c r="E950" s="25" t="n">
        <f aca="false">A950/'Giả định'!$B$19*'Giả định'!$B$20+A950*'Giả định'!$B$23+'Giả định'!$B$24</f>
        <v>351794117.647059</v>
      </c>
      <c r="F950" s="25" t="n">
        <f aca="false">E950-D950</f>
        <v>-765919182.352941</v>
      </c>
      <c r="G950" s="25" t="n">
        <f aca="false">E950-C950</f>
        <v>-622314182.352941</v>
      </c>
      <c r="H950" s="7" t="str">
        <f aca="false">IF(F950&gt;=0,A950,"")</f>
        <v/>
      </c>
      <c r="I950" s="7" t="n">
        <f aca="false">IF(F950&lt;0,A950,0)</f>
        <v>945</v>
      </c>
      <c r="J950" s="7" t="str">
        <f aca="false">IF(G950&gt;=0,A950,"")</f>
        <v/>
      </c>
      <c r="K950" s="7" t="n">
        <f aca="false">IF(G950&lt;0,A950,0)</f>
        <v>945</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974145040</v>
      </c>
      <c r="D951" s="25" t="n">
        <f aca="false">('Chi phí'!$C$77+'Chi phí'!$D$77*B951+'Chi phí'!$E$77*A951+'Giả định'!$B$15*('Chi phí'!$F$77+'Chi phí'!$G$77*B951+'Chi phí'!$H$77*A951))*(1+'Giả định'!$B$16)</f>
        <v>1117750040</v>
      </c>
      <c r="E951" s="25" t="n">
        <f aca="false">A951/'Giả định'!$B$19*'Giả định'!$B$20+A951*'Giả định'!$B$23+'Giả định'!$B$24</f>
        <v>352166386.554622</v>
      </c>
      <c r="F951" s="25" t="n">
        <f aca="false">E951-D951</f>
        <v>-765583653.445378</v>
      </c>
      <c r="G951" s="25" t="n">
        <f aca="false">E951-C951</f>
        <v>-621978653.445378</v>
      </c>
      <c r="H951" s="7" t="str">
        <f aca="false">IF(F951&gt;=0,A951,"")</f>
        <v/>
      </c>
      <c r="I951" s="7" t="n">
        <f aca="false">IF(F951&lt;0,A951,0)</f>
        <v>946</v>
      </c>
      <c r="J951" s="7" t="str">
        <f aca="false">IF(G951&gt;=0,A951,"")</f>
        <v/>
      </c>
      <c r="K951" s="7" t="n">
        <f aca="false">IF(G951&lt;0,A951,0)</f>
        <v>946</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974181780</v>
      </c>
      <c r="D952" s="25" t="n">
        <f aca="false">('Chi phí'!$C$77+'Chi phí'!$D$77*B952+'Chi phí'!$E$77*A952+'Giả định'!$B$15*('Chi phí'!$F$77+'Chi phí'!$G$77*B952+'Chi phí'!$H$77*A952))*(1+'Giả định'!$B$16)</f>
        <v>1117786780</v>
      </c>
      <c r="E952" s="25" t="n">
        <f aca="false">A952/'Giả định'!$B$19*'Giả định'!$B$20+A952*'Giả định'!$B$23+'Giả định'!$B$24</f>
        <v>352538655.462185</v>
      </c>
      <c r="F952" s="25" t="n">
        <f aca="false">E952-D952</f>
        <v>-765248124.537815</v>
      </c>
      <c r="G952" s="25" t="n">
        <f aca="false">E952-C952</f>
        <v>-621643124.537815</v>
      </c>
      <c r="H952" s="7" t="str">
        <f aca="false">IF(F952&gt;=0,A952,"")</f>
        <v/>
      </c>
      <c r="I952" s="7" t="n">
        <f aca="false">IF(F952&lt;0,A952,0)</f>
        <v>947</v>
      </c>
      <c r="J952" s="7" t="str">
        <f aca="false">IF(G952&gt;=0,A952,"")</f>
        <v/>
      </c>
      <c r="K952" s="7" t="n">
        <f aca="false">IF(G952&lt;0,A952,0)</f>
        <v>947</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974218520</v>
      </c>
      <c r="D953" s="25" t="n">
        <f aca="false">('Chi phí'!$C$77+'Chi phí'!$D$77*B953+'Chi phí'!$E$77*A953+'Giả định'!$B$15*('Chi phí'!$F$77+'Chi phí'!$G$77*B953+'Chi phí'!$H$77*A953))*(1+'Giả định'!$B$16)</f>
        <v>1117823520</v>
      </c>
      <c r="E953" s="25" t="n">
        <f aca="false">A953/'Giả định'!$B$19*'Giả định'!$B$20+A953*'Giả định'!$B$23+'Giả định'!$B$24</f>
        <v>352910924.369748</v>
      </c>
      <c r="F953" s="25" t="n">
        <f aca="false">E953-D953</f>
        <v>-764912595.630252</v>
      </c>
      <c r="G953" s="25" t="n">
        <f aca="false">E953-C953</f>
        <v>-621307595.630252</v>
      </c>
      <c r="H953" s="7" t="str">
        <f aca="false">IF(F953&gt;=0,A953,"")</f>
        <v/>
      </c>
      <c r="I953" s="7" t="n">
        <f aca="false">IF(F953&lt;0,A953,0)</f>
        <v>948</v>
      </c>
      <c r="J953" s="7" t="str">
        <f aca="false">IF(G953&gt;=0,A953,"")</f>
        <v/>
      </c>
      <c r="K953" s="7" t="n">
        <f aca="false">IF(G953&lt;0,A953,0)</f>
        <v>948</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974255260</v>
      </c>
      <c r="D954" s="25" t="n">
        <f aca="false">('Chi phí'!$C$77+'Chi phí'!$D$77*B954+'Chi phí'!$E$77*A954+'Giả định'!$B$15*('Chi phí'!$F$77+'Chi phí'!$G$77*B954+'Chi phí'!$H$77*A954))*(1+'Giả định'!$B$16)</f>
        <v>1117860260</v>
      </c>
      <c r="E954" s="25" t="n">
        <f aca="false">A954/'Giả định'!$B$19*'Giả định'!$B$20+A954*'Giả định'!$B$23+'Giả định'!$B$24</f>
        <v>353283193.277311</v>
      </c>
      <c r="F954" s="25" t="n">
        <f aca="false">E954-D954</f>
        <v>-764577066.722689</v>
      </c>
      <c r="G954" s="25" t="n">
        <f aca="false">E954-C954</f>
        <v>-620972066.722689</v>
      </c>
      <c r="H954" s="7" t="str">
        <f aca="false">IF(F954&gt;=0,A954,"")</f>
        <v/>
      </c>
      <c r="I954" s="7" t="n">
        <f aca="false">IF(F954&lt;0,A954,0)</f>
        <v>949</v>
      </c>
      <c r="J954" s="7" t="str">
        <f aca="false">IF(G954&gt;=0,A954,"")</f>
        <v/>
      </c>
      <c r="K954" s="7" t="n">
        <f aca="false">IF(G954&lt;0,A954,0)</f>
        <v>949</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974292000</v>
      </c>
      <c r="D955" s="25" t="n">
        <f aca="false">('Chi phí'!$C$77+'Chi phí'!$D$77*B955+'Chi phí'!$E$77*A955+'Giả định'!$B$15*('Chi phí'!$F$77+'Chi phí'!$G$77*B955+'Chi phí'!$H$77*A955))*(1+'Giả định'!$B$16)</f>
        <v>1117897000</v>
      </c>
      <c r="E955" s="25" t="n">
        <f aca="false">A955/'Giả định'!$B$19*'Giả định'!$B$20+A955*'Giả định'!$B$23+'Giả định'!$B$24</f>
        <v>353655462.184874</v>
      </c>
      <c r="F955" s="25" t="n">
        <f aca="false">E955-D955</f>
        <v>-764241537.815126</v>
      </c>
      <c r="G955" s="25" t="n">
        <f aca="false">E955-C955</f>
        <v>-620636537.815126</v>
      </c>
      <c r="H955" s="7" t="str">
        <f aca="false">IF(F955&gt;=0,A955,"")</f>
        <v/>
      </c>
      <c r="I955" s="7" t="n">
        <f aca="false">IF(F955&lt;0,A955,0)</f>
        <v>950</v>
      </c>
      <c r="J955" s="7" t="str">
        <f aca="false">IF(G955&gt;=0,A955,"")</f>
        <v/>
      </c>
      <c r="K955" s="7" t="n">
        <f aca="false">IF(G955&lt;0,A955,0)</f>
        <v>950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983502740</v>
      </c>
      <c r="D956" s="25" t="n">
        <f aca="false">('Chi phí'!$C$77+'Chi phí'!$D$77*B956+'Chi phí'!$E$77*A956+'Giả định'!$B$15*('Chi phí'!$F$77+'Chi phí'!$G$77*B956+'Chi phí'!$H$77*A956))*(1+'Giả định'!$B$16)</f>
        <v>1127107740</v>
      </c>
      <c r="E956" s="25" t="n">
        <f aca="false">A956/'Giả định'!$B$19*'Giả định'!$B$20+A956*'Giả định'!$B$23+'Giả định'!$B$24</f>
        <v>354027731.092437</v>
      </c>
      <c r="F956" s="25" t="n">
        <f aca="false">E956-D956</f>
        <v>-773080008.907563</v>
      </c>
      <c r="G956" s="25" t="n">
        <f aca="false">E956-C956</f>
        <v>-629475008.907563</v>
      </c>
      <c r="H956" s="7" t="str">
        <f aca="false">IF(F956&gt;=0,A956,"")</f>
        <v/>
      </c>
      <c r="I956" s="7" t="n">
        <f aca="false">IF(F956&lt;0,A956,0)</f>
        <v>951</v>
      </c>
      <c r="J956" s="7" t="str">
        <f aca="false">IF(G956&gt;=0,A956,"")</f>
        <v/>
      </c>
      <c r="K956" s="7" t="n">
        <f aca="false">IF(G956&lt;0,A956,0)</f>
        <v>951</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983539480</v>
      </c>
      <c r="D957" s="25" t="n">
        <f aca="false">('Chi phí'!$C$77+'Chi phí'!$D$77*B957+'Chi phí'!$E$77*A957+'Giả định'!$B$15*('Chi phí'!$F$77+'Chi phí'!$G$77*B957+'Chi phí'!$H$77*A957))*(1+'Giả định'!$B$16)</f>
        <v>1127144480</v>
      </c>
      <c r="E957" s="25" t="n">
        <f aca="false">A957/'Giả định'!$B$19*'Giả định'!$B$20+A957*'Giả định'!$B$23+'Giả định'!$B$24</f>
        <v>354400000</v>
      </c>
      <c r="F957" s="25" t="n">
        <f aca="false">E957-D957</f>
        <v>-772744480</v>
      </c>
      <c r="G957" s="25" t="n">
        <f aca="false">E957-C957</f>
        <v>-629139480</v>
      </c>
      <c r="H957" s="7" t="str">
        <f aca="false">IF(F957&gt;=0,A957,"")</f>
        <v/>
      </c>
      <c r="I957" s="7" t="n">
        <f aca="false">IF(F957&lt;0,A957,0)</f>
        <v>952</v>
      </c>
      <c r="J957" s="7" t="str">
        <f aca="false">IF(G957&gt;=0,A957,"")</f>
        <v/>
      </c>
      <c r="K957" s="7" t="n">
        <f aca="false">IF(G957&lt;0,A957,0)</f>
        <v>952</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983576220</v>
      </c>
      <c r="D958" s="25" t="n">
        <f aca="false">('Chi phí'!$C$77+'Chi phí'!$D$77*B958+'Chi phí'!$E$77*A958+'Giả định'!$B$15*('Chi phí'!$F$77+'Chi phí'!$G$77*B958+'Chi phí'!$H$77*A958))*(1+'Giả định'!$B$16)</f>
        <v>1127181220</v>
      </c>
      <c r="E958" s="25" t="n">
        <f aca="false">A958/'Giả định'!$B$19*'Giả định'!$B$20+A958*'Giả định'!$B$23+'Giả định'!$B$24</f>
        <v>354772268.907563</v>
      </c>
      <c r="F958" s="25" t="n">
        <f aca="false">E958-D958</f>
        <v>-772408951.092437</v>
      </c>
      <c r="G958" s="25" t="n">
        <f aca="false">E958-C958</f>
        <v>-628803951.092437</v>
      </c>
      <c r="H958" s="7" t="str">
        <f aca="false">IF(F958&gt;=0,A958,"")</f>
        <v/>
      </c>
      <c r="I958" s="7" t="n">
        <f aca="false">IF(F958&lt;0,A958,0)</f>
        <v>953</v>
      </c>
      <c r="J958" s="7" t="str">
        <f aca="false">IF(G958&gt;=0,A958,"")</f>
        <v/>
      </c>
      <c r="K958" s="7" t="n">
        <f aca="false">IF(G958&lt;0,A958,0)</f>
        <v>953</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983612960</v>
      </c>
      <c r="D959" s="25" t="n">
        <f aca="false">('Chi phí'!$C$77+'Chi phí'!$D$77*B959+'Chi phí'!$E$77*A959+'Giả định'!$B$15*('Chi phí'!$F$77+'Chi phí'!$G$77*B959+'Chi phí'!$H$77*A959))*(1+'Giả định'!$B$16)</f>
        <v>1127217960</v>
      </c>
      <c r="E959" s="25" t="n">
        <f aca="false">A959/'Giả định'!$B$19*'Giả định'!$B$20+A959*'Giả định'!$B$23+'Giả định'!$B$24</f>
        <v>355144537.815126</v>
      </c>
      <c r="F959" s="25" t="n">
        <f aca="false">E959-D959</f>
        <v>-772073422.184874</v>
      </c>
      <c r="G959" s="25" t="n">
        <f aca="false">E959-C959</f>
        <v>-628468422.184874</v>
      </c>
      <c r="H959" s="7" t="str">
        <f aca="false">IF(F959&gt;=0,A959,"")</f>
        <v/>
      </c>
      <c r="I959" s="7" t="n">
        <f aca="false">IF(F959&lt;0,A959,0)</f>
        <v>954</v>
      </c>
      <c r="J959" s="7" t="str">
        <f aca="false">IF(G959&gt;=0,A959,"")</f>
        <v/>
      </c>
      <c r="K959" s="7" t="n">
        <f aca="false">IF(G959&lt;0,A959,0)</f>
        <v>954</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983649700</v>
      </c>
      <c r="D960" s="25" t="n">
        <f aca="false">('Chi phí'!$C$77+'Chi phí'!$D$77*B960+'Chi phí'!$E$77*A960+'Giả định'!$B$15*('Chi phí'!$F$77+'Chi phí'!$G$77*B960+'Chi phí'!$H$77*A960))*(1+'Giả định'!$B$16)</f>
        <v>1127254700</v>
      </c>
      <c r="E960" s="25" t="n">
        <f aca="false">A960/'Giả định'!$B$19*'Giả định'!$B$20+A960*'Giả định'!$B$23+'Giả định'!$B$24</f>
        <v>355516806.722689</v>
      </c>
      <c r="F960" s="25" t="n">
        <f aca="false">E960-D960</f>
        <v>-771737893.277311</v>
      </c>
      <c r="G960" s="25" t="n">
        <f aca="false">E960-C960</f>
        <v>-628132893.277311</v>
      </c>
      <c r="H960" s="7" t="str">
        <f aca="false">IF(F960&gt;=0,A960,"")</f>
        <v/>
      </c>
      <c r="I960" s="7" t="n">
        <f aca="false">IF(F960&lt;0,A960,0)</f>
        <v>955</v>
      </c>
      <c r="J960" s="7" t="str">
        <f aca="false">IF(G960&gt;=0,A960,"")</f>
        <v/>
      </c>
      <c r="K960" s="7" t="n">
        <f aca="false">IF(G960&lt;0,A960,0)</f>
        <v>955</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983686440</v>
      </c>
      <c r="D961" s="25" t="n">
        <f aca="false">('Chi phí'!$C$77+'Chi phí'!$D$77*B961+'Chi phí'!$E$77*A961+'Giả định'!$B$15*('Chi phí'!$F$77+'Chi phí'!$G$77*B961+'Chi phí'!$H$77*A961))*(1+'Giả định'!$B$16)</f>
        <v>1127291440</v>
      </c>
      <c r="E961" s="25" t="n">
        <f aca="false">A961/'Giả định'!$B$19*'Giả định'!$B$20+A961*'Giả định'!$B$23+'Giả định'!$B$24</f>
        <v>355889075.630252</v>
      </c>
      <c r="F961" s="25" t="n">
        <f aca="false">E961-D961</f>
        <v>-771402364.369748</v>
      </c>
      <c r="G961" s="25" t="n">
        <f aca="false">E961-C961</f>
        <v>-627797364.369748</v>
      </c>
      <c r="H961" s="7" t="str">
        <f aca="false">IF(F961&gt;=0,A961,"")</f>
        <v/>
      </c>
      <c r="I961" s="7" t="n">
        <f aca="false">IF(F961&lt;0,A961,0)</f>
        <v>956</v>
      </c>
      <c r="J961" s="7" t="str">
        <f aca="false">IF(G961&gt;=0,A961,"")</f>
        <v/>
      </c>
      <c r="K961" s="7" t="n">
        <f aca="false">IF(G961&lt;0,A961,0)</f>
        <v>956</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983723180</v>
      </c>
      <c r="D962" s="25" t="n">
        <f aca="false">('Chi phí'!$C$77+'Chi phí'!$D$77*B962+'Chi phí'!$E$77*A962+'Giả định'!$B$15*('Chi phí'!$F$77+'Chi phí'!$G$77*B962+'Chi phí'!$H$77*A962))*(1+'Giả định'!$B$16)</f>
        <v>1127328180</v>
      </c>
      <c r="E962" s="25" t="n">
        <f aca="false">A962/'Giả định'!$B$19*'Giả định'!$B$20+A962*'Giả định'!$B$23+'Giả định'!$B$24</f>
        <v>356261344.537815</v>
      </c>
      <c r="F962" s="25" t="n">
        <f aca="false">E962-D962</f>
        <v>-771066835.462185</v>
      </c>
      <c r="G962" s="25" t="n">
        <f aca="false">E962-C962</f>
        <v>-627461835.462185</v>
      </c>
      <c r="H962" s="7" t="str">
        <f aca="false">IF(F962&gt;=0,A962,"")</f>
        <v/>
      </c>
      <c r="I962" s="7" t="n">
        <f aca="false">IF(F962&lt;0,A962,0)</f>
        <v>957</v>
      </c>
      <c r="J962" s="7" t="str">
        <f aca="false">IF(G962&gt;=0,A962,"")</f>
        <v/>
      </c>
      <c r="K962" s="7" t="n">
        <f aca="false">IF(G962&lt;0,A962,0)</f>
        <v>957</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983759920</v>
      </c>
      <c r="D963" s="25" t="n">
        <f aca="false">('Chi phí'!$C$77+'Chi phí'!$D$77*B963+'Chi phí'!$E$77*A963+'Giả định'!$B$15*('Chi phí'!$F$77+'Chi phí'!$G$77*B963+'Chi phí'!$H$77*A963))*(1+'Giả định'!$B$16)</f>
        <v>1127364920</v>
      </c>
      <c r="E963" s="25" t="n">
        <f aca="false">A963/'Giả định'!$B$19*'Giả định'!$B$20+A963*'Giả định'!$B$23+'Giả định'!$B$24</f>
        <v>356633613.445378</v>
      </c>
      <c r="F963" s="25" t="n">
        <f aca="false">E963-D963</f>
        <v>-770731306.554622</v>
      </c>
      <c r="G963" s="25" t="n">
        <f aca="false">E963-C963</f>
        <v>-627126306.554622</v>
      </c>
      <c r="H963" s="7" t="str">
        <f aca="false">IF(F963&gt;=0,A963,"")</f>
        <v/>
      </c>
      <c r="I963" s="7" t="n">
        <f aca="false">IF(F963&lt;0,A963,0)</f>
        <v>958</v>
      </c>
      <c r="J963" s="7" t="str">
        <f aca="false">IF(G963&gt;=0,A963,"")</f>
        <v/>
      </c>
      <c r="K963" s="7" t="n">
        <f aca="false">IF(G963&lt;0,A963,0)</f>
        <v>958</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983796660</v>
      </c>
      <c r="D964" s="25" t="n">
        <f aca="false">('Chi phí'!$C$77+'Chi phí'!$D$77*B964+'Chi phí'!$E$77*A964+'Giả định'!$B$15*('Chi phí'!$F$77+'Chi phí'!$G$77*B964+'Chi phí'!$H$77*A964))*(1+'Giả định'!$B$16)</f>
        <v>1127401660</v>
      </c>
      <c r="E964" s="25" t="n">
        <f aca="false">A964/'Giả định'!$B$19*'Giả định'!$B$20+A964*'Giả định'!$B$23+'Giả định'!$B$24</f>
        <v>357005882.352941</v>
      </c>
      <c r="F964" s="25" t="n">
        <f aca="false">E964-D964</f>
        <v>-770395777.647059</v>
      </c>
      <c r="G964" s="25" t="n">
        <f aca="false">E964-C964</f>
        <v>-626790777.647059</v>
      </c>
      <c r="H964" s="7" t="str">
        <f aca="false">IF(F964&gt;=0,A964,"")</f>
        <v/>
      </c>
      <c r="I964" s="7" t="n">
        <f aca="false">IF(F964&lt;0,A964,0)</f>
        <v>959</v>
      </c>
      <c r="J964" s="7" t="str">
        <f aca="false">IF(G964&gt;=0,A964,"")</f>
        <v/>
      </c>
      <c r="K964" s="7" t="n">
        <f aca="false">IF(G964&lt;0,A964,0)</f>
        <v>959</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983833400</v>
      </c>
      <c r="D965" s="25" t="n">
        <f aca="false">('Chi phí'!$C$77+'Chi phí'!$D$77*B965+'Chi phí'!$E$77*A965+'Giả định'!$B$15*('Chi phí'!$F$77+'Chi phí'!$G$77*B965+'Chi phí'!$H$77*A965))*(1+'Giả định'!$B$16)</f>
        <v>1127438400</v>
      </c>
      <c r="E965" s="25" t="n">
        <f aca="false">A965/'Giả định'!$B$19*'Giả định'!$B$20+A965*'Giả định'!$B$23+'Giả định'!$B$24</f>
        <v>357378151.260504</v>
      </c>
      <c r="F965" s="25" t="n">
        <f aca="false">E965-D965</f>
        <v>-770060248.739496</v>
      </c>
      <c r="G965" s="25" t="n">
        <f aca="false">E965-C965</f>
        <v>-626455248.739496</v>
      </c>
      <c r="H965" s="7" t="str">
        <f aca="false">IF(F965&gt;=0,A965,"")</f>
        <v/>
      </c>
      <c r="I965" s="7" t="n">
        <f aca="false">IF(F965&lt;0,A965,0)</f>
        <v>960</v>
      </c>
      <c r="J965" s="7" t="str">
        <f aca="false">IF(G965&gt;=0,A965,"")</f>
        <v/>
      </c>
      <c r="K965" s="7" t="n">
        <f aca="false">IF(G965&lt;0,A965,0)</f>
        <v>960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993044140</v>
      </c>
      <c r="D966" s="25" t="n">
        <f aca="false">('Chi phí'!$C$77+'Chi phí'!$D$77*B966+'Chi phí'!$E$77*A966+'Giả định'!$B$15*('Chi phí'!$F$77+'Chi phí'!$G$77*B966+'Chi phí'!$H$77*A966))*(1+'Giả định'!$B$16)</f>
        <v>1136649140</v>
      </c>
      <c r="E966" s="25" t="n">
        <f aca="false">A966/'Giả định'!$B$19*'Giả định'!$B$20+A966*'Giả định'!$B$23+'Giả định'!$B$24</f>
        <v>357750420.168067</v>
      </c>
      <c r="F966" s="25" t="n">
        <f aca="false">E966-D966</f>
        <v>-778898719.831933</v>
      </c>
      <c r="G966" s="25" t="n">
        <f aca="false">E966-C966</f>
        <v>-635293719.831933</v>
      </c>
      <c r="H966" s="7" t="str">
        <f aca="false">IF(F966&gt;=0,A966,"")</f>
        <v/>
      </c>
      <c r="I966" s="7" t="n">
        <f aca="false">IF(F966&lt;0,A966,0)</f>
        <v>961</v>
      </c>
      <c r="J966" s="7" t="str">
        <f aca="false">IF(G966&gt;=0,A966,"")</f>
        <v/>
      </c>
      <c r="K966" s="7" t="n">
        <f aca="false">IF(G966&lt;0,A966,0)</f>
        <v>961</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993080880</v>
      </c>
      <c r="D967" s="25" t="n">
        <f aca="false">('Chi phí'!$C$77+'Chi phí'!$D$77*B967+'Chi phí'!$E$77*A967+'Giả định'!$B$15*('Chi phí'!$F$77+'Chi phí'!$G$77*B967+'Chi phí'!$H$77*A967))*(1+'Giả định'!$B$16)</f>
        <v>1136685880</v>
      </c>
      <c r="E967" s="25" t="n">
        <f aca="false">A967/'Giả định'!$B$19*'Giả định'!$B$20+A967*'Giả định'!$B$23+'Giả định'!$B$24</f>
        <v>358122689.07563</v>
      </c>
      <c r="F967" s="25" t="n">
        <f aca="false">E967-D967</f>
        <v>-778563190.92437</v>
      </c>
      <c r="G967" s="25" t="n">
        <f aca="false">E967-C967</f>
        <v>-634958190.92437</v>
      </c>
      <c r="H967" s="7" t="str">
        <f aca="false">IF(F967&gt;=0,A967,"")</f>
        <v/>
      </c>
      <c r="I967" s="7" t="n">
        <f aca="false">IF(F967&lt;0,A967,0)</f>
        <v>962</v>
      </c>
      <c r="J967" s="7" t="str">
        <f aca="false">IF(G967&gt;=0,A967,"")</f>
        <v/>
      </c>
      <c r="K967" s="7" t="n">
        <f aca="false">IF(G967&lt;0,A967,0)</f>
        <v>962</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993117620</v>
      </c>
      <c r="D968" s="25" t="n">
        <f aca="false">('Chi phí'!$C$77+'Chi phí'!$D$77*B968+'Chi phí'!$E$77*A968+'Giả định'!$B$15*('Chi phí'!$F$77+'Chi phí'!$G$77*B968+'Chi phí'!$H$77*A968))*(1+'Giả định'!$B$16)</f>
        <v>1136722620</v>
      </c>
      <c r="E968" s="25" t="n">
        <f aca="false">A968/'Giả định'!$B$19*'Giả định'!$B$20+A968*'Giả định'!$B$23+'Giả định'!$B$24</f>
        <v>358494957.983193</v>
      </c>
      <c r="F968" s="25" t="n">
        <f aca="false">E968-D968</f>
        <v>-778227662.016807</v>
      </c>
      <c r="G968" s="25" t="n">
        <f aca="false">E968-C968</f>
        <v>-634622662.016807</v>
      </c>
      <c r="H968" s="7" t="str">
        <f aca="false">IF(F968&gt;=0,A968,"")</f>
        <v/>
      </c>
      <c r="I968" s="7" t="n">
        <f aca="false">IF(F968&lt;0,A968,0)</f>
        <v>963</v>
      </c>
      <c r="J968" s="7" t="str">
        <f aca="false">IF(G968&gt;=0,A968,"")</f>
        <v/>
      </c>
      <c r="K968" s="7" t="n">
        <f aca="false">IF(G968&lt;0,A968,0)</f>
        <v>963</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993154360</v>
      </c>
      <c r="D969" s="25" t="n">
        <f aca="false">('Chi phí'!$C$77+'Chi phí'!$D$77*B969+'Chi phí'!$E$77*A969+'Giả định'!$B$15*('Chi phí'!$F$77+'Chi phí'!$G$77*B969+'Chi phí'!$H$77*A969))*(1+'Giả định'!$B$16)</f>
        <v>1136759360</v>
      </c>
      <c r="E969" s="25" t="n">
        <f aca="false">A969/'Giả định'!$B$19*'Giả định'!$B$20+A969*'Giả định'!$B$23+'Giả định'!$B$24</f>
        <v>358867226.890756</v>
      </c>
      <c r="F969" s="25" t="n">
        <f aca="false">E969-D969</f>
        <v>-777892133.109244</v>
      </c>
      <c r="G969" s="25" t="n">
        <f aca="false">E969-C969</f>
        <v>-634287133.109244</v>
      </c>
      <c r="H969" s="7" t="str">
        <f aca="false">IF(F969&gt;=0,A969,"")</f>
        <v/>
      </c>
      <c r="I969" s="7" t="n">
        <f aca="false">IF(F969&lt;0,A969,0)</f>
        <v>964</v>
      </c>
      <c r="J969" s="7" t="str">
        <f aca="false">IF(G969&gt;=0,A969,"")</f>
        <v/>
      </c>
      <c r="K969" s="7" t="n">
        <f aca="false">IF(G969&lt;0,A969,0)</f>
        <v>964</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993191100</v>
      </c>
      <c r="D970" s="25" t="n">
        <f aca="false">('Chi phí'!$C$77+'Chi phí'!$D$77*B970+'Chi phí'!$E$77*A970+'Giả định'!$B$15*('Chi phí'!$F$77+'Chi phí'!$G$77*B970+'Chi phí'!$H$77*A970))*(1+'Giả định'!$B$16)</f>
        <v>1136796100</v>
      </c>
      <c r="E970" s="25" t="n">
        <f aca="false">A970/'Giả định'!$B$19*'Giả định'!$B$20+A970*'Giả định'!$B$23+'Giả định'!$B$24</f>
        <v>359239495.798319</v>
      </c>
      <c r="F970" s="25" t="n">
        <f aca="false">E970-D970</f>
        <v>-777556604.201681</v>
      </c>
      <c r="G970" s="25" t="n">
        <f aca="false">E970-C970</f>
        <v>-633951604.201681</v>
      </c>
      <c r="H970" s="7" t="str">
        <f aca="false">IF(F970&gt;=0,A970,"")</f>
        <v/>
      </c>
      <c r="I970" s="7" t="n">
        <f aca="false">IF(F970&lt;0,A970,0)</f>
        <v>965</v>
      </c>
      <c r="J970" s="7" t="str">
        <f aca="false">IF(G970&gt;=0,A970,"")</f>
        <v/>
      </c>
      <c r="K970" s="7" t="n">
        <f aca="false">IF(G970&lt;0,A970,0)</f>
        <v>965</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993227840</v>
      </c>
      <c r="D971" s="25" t="n">
        <f aca="false">('Chi phí'!$C$77+'Chi phí'!$D$77*B971+'Chi phí'!$E$77*A971+'Giả định'!$B$15*('Chi phí'!$F$77+'Chi phí'!$G$77*B971+'Chi phí'!$H$77*A971))*(1+'Giả định'!$B$16)</f>
        <v>1136832840</v>
      </c>
      <c r="E971" s="25" t="n">
        <f aca="false">A971/'Giả định'!$B$19*'Giả định'!$B$20+A971*'Giả định'!$B$23+'Giả định'!$B$24</f>
        <v>359611764.705882</v>
      </c>
      <c r="F971" s="25" t="n">
        <f aca="false">E971-D971</f>
        <v>-777221075.294118</v>
      </c>
      <c r="G971" s="25" t="n">
        <f aca="false">E971-C971</f>
        <v>-633616075.294118</v>
      </c>
      <c r="H971" s="7" t="str">
        <f aca="false">IF(F971&gt;=0,A971,"")</f>
        <v/>
      </c>
      <c r="I971" s="7" t="n">
        <f aca="false">IF(F971&lt;0,A971,0)</f>
        <v>966</v>
      </c>
      <c r="J971" s="7" t="str">
        <f aca="false">IF(G971&gt;=0,A971,"")</f>
        <v/>
      </c>
      <c r="K971" s="7" t="n">
        <f aca="false">IF(G971&lt;0,A971,0)</f>
        <v>966</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993264580</v>
      </c>
      <c r="D972" s="25" t="n">
        <f aca="false">('Chi phí'!$C$77+'Chi phí'!$D$77*B972+'Chi phí'!$E$77*A972+'Giả định'!$B$15*('Chi phí'!$F$77+'Chi phí'!$G$77*B972+'Chi phí'!$H$77*A972))*(1+'Giả định'!$B$16)</f>
        <v>1136869580</v>
      </c>
      <c r="E972" s="25" t="n">
        <f aca="false">A972/'Giả định'!$B$19*'Giả định'!$B$20+A972*'Giả định'!$B$23+'Giả định'!$B$24</f>
        <v>359984033.613445</v>
      </c>
      <c r="F972" s="25" t="n">
        <f aca="false">E972-D972</f>
        <v>-776885546.386555</v>
      </c>
      <c r="G972" s="25" t="n">
        <f aca="false">E972-C972</f>
        <v>-633280546.386555</v>
      </c>
      <c r="H972" s="7" t="str">
        <f aca="false">IF(F972&gt;=0,A972,"")</f>
        <v/>
      </c>
      <c r="I972" s="7" t="n">
        <f aca="false">IF(F972&lt;0,A972,0)</f>
        <v>967</v>
      </c>
      <c r="J972" s="7" t="str">
        <f aca="false">IF(G972&gt;=0,A972,"")</f>
        <v/>
      </c>
      <c r="K972" s="7" t="n">
        <f aca="false">IF(G972&lt;0,A972,0)</f>
        <v>967</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993301320</v>
      </c>
      <c r="D973" s="25" t="n">
        <f aca="false">('Chi phí'!$C$77+'Chi phí'!$D$77*B973+'Chi phí'!$E$77*A973+'Giả định'!$B$15*('Chi phí'!$F$77+'Chi phí'!$G$77*B973+'Chi phí'!$H$77*A973))*(1+'Giả định'!$B$16)</f>
        <v>1136906320</v>
      </c>
      <c r="E973" s="25" t="n">
        <f aca="false">A973/'Giả định'!$B$19*'Giả định'!$B$20+A973*'Giả định'!$B$23+'Giả định'!$B$24</f>
        <v>360356302.521008</v>
      </c>
      <c r="F973" s="25" t="n">
        <f aca="false">E973-D973</f>
        <v>-776550017.478992</v>
      </c>
      <c r="G973" s="25" t="n">
        <f aca="false">E973-C973</f>
        <v>-632945017.478992</v>
      </c>
      <c r="H973" s="7" t="str">
        <f aca="false">IF(F973&gt;=0,A973,"")</f>
        <v/>
      </c>
      <c r="I973" s="7" t="n">
        <f aca="false">IF(F973&lt;0,A973,0)</f>
        <v>968</v>
      </c>
      <c r="J973" s="7" t="str">
        <f aca="false">IF(G973&gt;=0,A973,"")</f>
        <v/>
      </c>
      <c r="K973" s="7" t="n">
        <f aca="false">IF(G973&lt;0,A973,0)</f>
        <v>968</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993338060</v>
      </c>
      <c r="D974" s="25" t="n">
        <f aca="false">('Chi phí'!$C$77+'Chi phí'!$D$77*B974+'Chi phí'!$E$77*A974+'Giả định'!$B$15*('Chi phí'!$F$77+'Chi phí'!$G$77*B974+'Chi phí'!$H$77*A974))*(1+'Giả định'!$B$16)</f>
        <v>1136943060</v>
      </c>
      <c r="E974" s="25" t="n">
        <f aca="false">A974/'Giả định'!$B$19*'Giả định'!$B$20+A974*'Giả định'!$B$23+'Giả định'!$B$24</f>
        <v>360728571.428571</v>
      </c>
      <c r="F974" s="25" t="n">
        <f aca="false">E974-D974</f>
        <v>-776214488.571429</v>
      </c>
      <c r="G974" s="25" t="n">
        <f aca="false">E974-C974</f>
        <v>-632609488.571429</v>
      </c>
      <c r="H974" s="7" t="str">
        <f aca="false">IF(F974&gt;=0,A974,"")</f>
        <v/>
      </c>
      <c r="I974" s="7" t="n">
        <f aca="false">IF(F974&lt;0,A974,0)</f>
        <v>969</v>
      </c>
      <c r="J974" s="7" t="str">
        <f aca="false">IF(G974&gt;=0,A974,"")</f>
        <v/>
      </c>
      <c r="K974" s="7" t="n">
        <f aca="false">IF(G974&lt;0,A974,0)</f>
        <v>969</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993374800</v>
      </c>
      <c r="D975" s="25" t="n">
        <f aca="false">('Chi phí'!$C$77+'Chi phí'!$D$77*B975+'Chi phí'!$E$77*A975+'Giả định'!$B$15*('Chi phí'!$F$77+'Chi phí'!$G$77*B975+'Chi phí'!$H$77*A975))*(1+'Giả định'!$B$16)</f>
        <v>1136979800</v>
      </c>
      <c r="E975" s="25" t="n">
        <f aca="false">A975/'Giả định'!$B$19*'Giả định'!$B$20+A975*'Giả định'!$B$23+'Giả định'!$B$24</f>
        <v>361100840.336135</v>
      </c>
      <c r="F975" s="25" t="n">
        <f aca="false">E975-D975</f>
        <v>-775878959.663866</v>
      </c>
      <c r="G975" s="25" t="n">
        <f aca="false">E975-C975</f>
        <v>-632273959.663866</v>
      </c>
      <c r="H975" s="7" t="str">
        <f aca="false">IF(F975&gt;=0,A975,"")</f>
        <v/>
      </c>
      <c r="I975" s="7" t="n">
        <f aca="false">IF(F975&lt;0,A975,0)</f>
        <v>970</v>
      </c>
      <c r="J975" s="7" t="str">
        <f aca="false">IF(G975&gt;=0,A975,"")</f>
        <v/>
      </c>
      <c r="K975" s="7" t="n">
        <f aca="false">IF(G975&lt;0,A975,0)</f>
        <v>970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1002585540</v>
      </c>
      <c r="D976" s="25" t="n">
        <f aca="false">('Chi phí'!$C$77+'Chi phí'!$D$77*B976+'Chi phí'!$E$77*A976+'Giả định'!$B$15*('Chi phí'!$F$77+'Chi phí'!$G$77*B976+'Chi phí'!$H$77*A976))*(1+'Giả định'!$B$16)</f>
        <v>1146190540</v>
      </c>
      <c r="E976" s="25" t="n">
        <f aca="false">A976/'Giả định'!$B$19*'Giả định'!$B$20+A976*'Giả định'!$B$23+'Giả định'!$B$24</f>
        <v>361473109.243698</v>
      </c>
      <c r="F976" s="25" t="n">
        <f aca="false">E976-D976</f>
        <v>-784717430.756303</v>
      </c>
      <c r="G976" s="25" t="n">
        <f aca="false">E976-C976</f>
        <v>-641112430.756303</v>
      </c>
      <c r="H976" s="7" t="str">
        <f aca="false">IF(F976&gt;=0,A976,"")</f>
        <v/>
      </c>
      <c r="I976" s="7" t="n">
        <f aca="false">IF(F976&lt;0,A976,0)</f>
        <v>971</v>
      </c>
      <c r="J976" s="7" t="str">
        <f aca="false">IF(G976&gt;=0,A976,"")</f>
        <v/>
      </c>
      <c r="K976" s="7" t="n">
        <f aca="false">IF(G976&lt;0,A976,0)</f>
        <v>971</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1002622280</v>
      </c>
      <c r="D977" s="25" t="n">
        <f aca="false">('Chi phí'!$C$77+'Chi phí'!$D$77*B977+'Chi phí'!$E$77*A977+'Giả định'!$B$15*('Chi phí'!$F$77+'Chi phí'!$G$77*B977+'Chi phí'!$H$77*A977))*(1+'Giả định'!$B$16)</f>
        <v>1146227280</v>
      </c>
      <c r="E977" s="25" t="n">
        <f aca="false">A977/'Giả định'!$B$19*'Giả định'!$B$20+A977*'Giả định'!$B$23+'Giả định'!$B$24</f>
        <v>361845378.151261</v>
      </c>
      <c r="F977" s="25" t="n">
        <f aca="false">E977-D977</f>
        <v>-784381901.848739</v>
      </c>
      <c r="G977" s="25" t="n">
        <f aca="false">E977-C977</f>
        <v>-640776901.84874</v>
      </c>
      <c r="H977" s="7" t="str">
        <f aca="false">IF(F977&gt;=0,A977,"")</f>
        <v/>
      </c>
      <c r="I977" s="7" t="n">
        <f aca="false">IF(F977&lt;0,A977,0)</f>
        <v>972</v>
      </c>
      <c r="J977" s="7" t="str">
        <f aca="false">IF(G977&gt;=0,A977,"")</f>
        <v/>
      </c>
      <c r="K977" s="7" t="n">
        <f aca="false">IF(G977&lt;0,A977,0)</f>
        <v>972</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1002659020</v>
      </c>
      <c r="D978" s="25" t="n">
        <f aca="false">('Chi phí'!$C$77+'Chi phí'!$D$77*B978+'Chi phí'!$E$77*A978+'Giả định'!$B$15*('Chi phí'!$F$77+'Chi phí'!$G$77*B978+'Chi phí'!$H$77*A978))*(1+'Giả định'!$B$16)</f>
        <v>1146264020</v>
      </c>
      <c r="E978" s="25" t="n">
        <f aca="false">A978/'Giả định'!$B$19*'Giả định'!$B$20+A978*'Giả định'!$B$23+'Giả định'!$B$24</f>
        <v>362217647.058824</v>
      </c>
      <c r="F978" s="25" t="n">
        <f aca="false">E978-D978</f>
        <v>-784046372.941176</v>
      </c>
      <c r="G978" s="25" t="n">
        <f aca="false">E978-C978</f>
        <v>-640441372.941177</v>
      </c>
      <c r="H978" s="7" t="str">
        <f aca="false">IF(F978&gt;=0,A978,"")</f>
        <v/>
      </c>
      <c r="I978" s="7" t="n">
        <f aca="false">IF(F978&lt;0,A978,0)</f>
        <v>973</v>
      </c>
      <c r="J978" s="7" t="str">
        <f aca="false">IF(G978&gt;=0,A978,"")</f>
        <v/>
      </c>
      <c r="K978" s="7" t="n">
        <f aca="false">IF(G978&lt;0,A978,0)</f>
        <v>973</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1002695760</v>
      </c>
      <c r="D979" s="25" t="n">
        <f aca="false">('Chi phí'!$C$77+'Chi phí'!$D$77*B979+'Chi phí'!$E$77*A979+'Giả định'!$B$15*('Chi phí'!$F$77+'Chi phí'!$G$77*B979+'Chi phí'!$H$77*A979))*(1+'Giả định'!$B$16)</f>
        <v>1146300760</v>
      </c>
      <c r="E979" s="25" t="n">
        <f aca="false">A979/'Giả định'!$B$19*'Giả định'!$B$20+A979*'Giả định'!$B$23+'Giả định'!$B$24</f>
        <v>362589915.966387</v>
      </c>
      <c r="F979" s="25" t="n">
        <f aca="false">E979-D979</f>
        <v>-783710844.033613</v>
      </c>
      <c r="G979" s="25" t="n">
        <f aca="false">E979-C979</f>
        <v>-640105844.033614</v>
      </c>
      <c r="H979" s="7" t="str">
        <f aca="false">IF(F979&gt;=0,A979,"")</f>
        <v/>
      </c>
      <c r="I979" s="7" t="n">
        <f aca="false">IF(F979&lt;0,A979,0)</f>
        <v>974</v>
      </c>
      <c r="J979" s="7" t="str">
        <f aca="false">IF(G979&gt;=0,A979,"")</f>
        <v/>
      </c>
      <c r="K979" s="7" t="n">
        <f aca="false">IF(G979&lt;0,A979,0)</f>
        <v>974</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1002732500</v>
      </c>
      <c r="D980" s="25" t="n">
        <f aca="false">('Chi phí'!$C$77+'Chi phí'!$D$77*B980+'Chi phí'!$E$77*A980+'Giả định'!$B$15*('Chi phí'!$F$77+'Chi phí'!$G$77*B980+'Chi phí'!$H$77*A980))*(1+'Giả định'!$B$16)</f>
        <v>1146337500</v>
      </c>
      <c r="E980" s="25" t="n">
        <f aca="false">A980/'Giả định'!$B$19*'Giả định'!$B$20+A980*'Giả định'!$B$23+'Giả định'!$B$24</f>
        <v>362962184.87395</v>
      </c>
      <c r="F980" s="25" t="n">
        <f aca="false">E980-D980</f>
        <v>-783375315.126051</v>
      </c>
      <c r="G980" s="25" t="n">
        <f aca="false">E980-C980</f>
        <v>-639770315.126051</v>
      </c>
      <c r="H980" s="7" t="str">
        <f aca="false">IF(F980&gt;=0,A980,"")</f>
        <v/>
      </c>
      <c r="I980" s="7" t="n">
        <f aca="false">IF(F980&lt;0,A980,0)</f>
        <v>975</v>
      </c>
      <c r="J980" s="7" t="str">
        <f aca="false">IF(G980&gt;=0,A980,"")</f>
        <v/>
      </c>
      <c r="K980" s="7" t="n">
        <f aca="false">IF(G980&lt;0,A980,0)</f>
        <v>975</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1002769240</v>
      </c>
      <c r="D981" s="25" t="n">
        <f aca="false">('Chi phí'!$C$77+'Chi phí'!$D$77*B981+'Chi phí'!$E$77*A981+'Giả định'!$B$15*('Chi phí'!$F$77+'Chi phí'!$G$77*B981+'Chi phí'!$H$77*A981))*(1+'Giả định'!$B$16)</f>
        <v>1146374240</v>
      </c>
      <c r="E981" s="25" t="n">
        <f aca="false">A981/'Giả định'!$B$19*'Giả định'!$B$20+A981*'Giả định'!$B$23+'Giả định'!$B$24</f>
        <v>363334453.781513</v>
      </c>
      <c r="F981" s="25" t="n">
        <f aca="false">E981-D981</f>
        <v>-783039786.218487</v>
      </c>
      <c r="G981" s="25" t="n">
        <f aca="false">E981-C981</f>
        <v>-639434786.218488</v>
      </c>
      <c r="H981" s="7" t="str">
        <f aca="false">IF(F981&gt;=0,A981,"")</f>
        <v/>
      </c>
      <c r="I981" s="7" t="n">
        <f aca="false">IF(F981&lt;0,A981,0)</f>
        <v>976</v>
      </c>
      <c r="J981" s="7" t="str">
        <f aca="false">IF(G981&gt;=0,A981,"")</f>
        <v/>
      </c>
      <c r="K981" s="7" t="n">
        <f aca="false">IF(G981&lt;0,A981,0)</f>
        <v>976</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1002805980</v>
      </c>
      <c r="D982" s="25" t="n">
        <f aca="false">('Chi phí'!$C$77+'Chi phí'!$D$77*B982+'Chi phí'!$E$77*A982+'Giả định'!$B$15*('Chi phí'!$F$77+'Chi phí'!$G$77*B982+'Chi phí'!$H$77*A982))*(1+'Giả định'!$B$16)</f>
        <v>1146410980</v>
      </c>
      <c r="E982" s="25" t="n">
        <f aca="false">A982/'Giả định'!$B$19*'Giả định'!$B$20+A982*'Giả định'!$B$23+'Giả định'!$B$24</f>
        <v>363706722.689076</v>
      </c>
      <c r="F982" s="25" t="n">
        <f aca="false">E982-D982</f>
        <v>-782704257.310924</v>
      </c>
      <c r="G982" s="25" t="n">
        <f aca="false">E982-C982</f>
        <v>-639099257.310925</v>
      </c>
      <c r="H982" s="7" t="str">
        <f aca="false">IF(F982&gt;=0,A982,"")</f>
        <v/>
      </c>
      <c r="I982" s="7" t="n">
        <f aca="false">IF(F982&lt;0,A982,0)</f>
        <v>977</v>
      </c>
      <c r="J982" s="7" t="str">
        <f aca="false">IF(G982&gt;=0,A982,"")</f>
        <v/>
      </c>
      <c r="K982" s="7" t="n">
        <f aca="false">IF(G982&lt;0,A982,0)</f>
        <v>977</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1002842720</v>
      </c>
      <c r="D983" s="25" t="n">
        <f aca="false">('Chi phí'!$C$77+'Chi phí'!$D$77*B983+'Chi phí'!$E$77*A983+'Giả định'!$B$15*('Chi phí'!$F$77+'Chi phí'!$G$77*B983+'Chi phí'!$H$77*A983))*(1+'Giả định'!$B$16)</f>
        <v>1146447720</v>
      </c>
      <c r="E983" s="25" t="n">
        <f aca="false">A983/'Giả định'!$B$19*'Giả định'!$B$20+A983*'Giả định'!$B$23+'Giả định'!$B$24</f>
        <v>364078991.596639</v>
      </c>
      <c r="F983" s="25" t="n">
        <f aca="false">E983-D983</f>
        <v>-782368728.403361</v>
      </c>
      <c r="G983" s="25" t="n">
        <f aca="false">E983-C983</f>
        <v>-638763728.403361</v>
      </c>
      <c r="H983" s="7" t="str">
        <f aca="false">IF(F983&gt;=0,A983,"")</f>
        <v/>
      </c>
      <c r="I983" s="7" t="n">
        <f aca="false">IF(F983&lt;0,A983,0)</f>
        <v>978</v>
      </c>
      <c r="J983" s="7" t="str">
        <f aca="false">IF(G983&gt;=0,A983,"")</f>
        <v/>
      </c>
      <c r="K983" s="7" t="n">
        <f aca="false">IF(G983&lt;0,A983,0)</f>
        <v>978</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1002879460</v>
      </c>
      <c r="D984" s="25" t="n">
        <f aca="false">('Chi phí'!$C$77+'Chi phí'!$D$77*B984+'Chi phí'!$E$77*A984+'Giả định'!$B$15*('Chi phí'!$F$77+'Chi phí'!$G$77*B984+'Chi phí'!$H$77*A984))*(1+'Giả định'!$B$16)</f>
        <v>1146484460</v>
      </c>
      <c r="E984" s="25" t="n">
        <f aca="false">A984/'Giả định'!$B$19*'Giả định'!$B$20+A984*'Giả định'!$B$23+'Giả định'!$B$24</f>
        <v>364451260.504202</v>
      </c>
      <c r="F984" s="25" t="n">
        <f aca="false">E984-D984</f>
        <v>-782033199.495798</v>
      </c>
      <c r="G984" s="25" t="n">
        <f aca="false">E984-C984</f>
        <v>-638428199.495798</v>
      </c>
      <c r="H984" s="7" t="str">
        <f aca="false">IF(F984&gt;=0,A984,"")</f>
        <v/>
      </c>
      <c r="I984" s="7" t="n">
        <f aca="false">IF(F984&lt;0,A984,0)</f>
        <v>979</v>
      </c>
      <c r="J984" s="7" t="str">
        <f aca="false">IF(G984&gt;=0,A984,"")</f>
        <v/>
      </c>
      <c r="K984" s="7" t="n">
        <f aca="false">IF(G984&lt;0,A984,0)</f>
        <v>979</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1002916200</v>
      </c>
      <c r="D985" s="25" t="n">
        <f aca="false">('Chi phí'!$C$77+'Chi phí'!$D$77*B985+'Chi phí'!$E$77*A985+'Giả định'!$B$15*('Chi phí'!$F$77+'Chi phí'!$G$77*B985+'Chi phí'!$H$77*A985))*(1+'Giả định'!$B$16)</f>
        <v>1146521200</v>
      </c>
      <c r="E985" s="25" t="n">
        <f aca="false">A985/'Giả định'!$B$19*'Giả định'!$B$20+A985*'Giả định'!$B$23+'Giả định'!$B$24</f>
        <v>364823529.411765</v>
      </c>
      <c r="F985" s="25" t="n">
        <f aca="false">E985-D985</f>
        <v>-781697670.588235</v>
      </c>
      <c r="G985" s="25" t="n">
        <f aca="false">E985-C985</f>
        <v>-638092670.588235</v>
      </c>
      <c r="H985" s="7" t="str">
        <f aca="false">IF(F985&gt;=0,A985,"")</f>
        <v/>
      </c>
      <c r="I985" s="7" t="n">
        <f aca="false">IF(F985&lt;0,A985,0)</f>
        <v>980</v>
      </c>
      <c r="J985" s="7" t="str">
        <f aca="false">IF(G985&gt;=0,A985,"")</f>
        <v/>
      </c>
      <c r="K985" s="7" t="n">
        <f aca="false">IF(G985&lt;0,A985,0)</f>
        <v>980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1012126940</v>
      </c>
      <c r="D986" s="25" t="n">
        <f aca="false">('Chi phí'!$C$77+'Chi phí'!$D$77*B986+'Chi phí'!$E$77*A986+'Giả định'!$B$15*('Chi phí'!$F$77+'Chi phí'!$G$77*B986+'Chi phí'!$H$77*A986))*(1+'Giả định'!$B$16)</f>
        <v>1155731940</v>
      </c>
      <c r="E986" s="25" t="n">
        <f aca="false">A986/'Giả định'!$B$19*'Giả định'!$B$20+A986*'Giả định'!$B$23+'Giả định'!$B$24</f>
        <v>365195798.319328</v>
      </c>
      <c r="F986" s="25" t="n">
        <f aca="false">E986-D986</f>
        <v>-790536141.680672</v>
      </c>
      <c r="G986" s="25" t="n">
        <f aca="false">E986-C986</f>
        <v>-646931141.680672</v>
      </c>
      <c r="H986" s="7" t="str">
        <f aca="false">IF(F986&gt;=0,A986,"")</f>
        <v/>
      </c>
      <c r="I986" s="7" t="n">
        <f aca="false">IF(F986&lt;0,A986,0)</f>
        <v>981</v>
      </c>
      <c r="J986" s="7" t="str">
        <f aca="false">IF(G986&gt;=0,A986,"")</f>
        <v/>
      </c>
      <c r="K986" s="7" t="n">
        <f aca="false">IF(G986&lt;0,A986,0)</f>
        <v>981</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1012163680</v>
      </c>
      <c r="D987" s="25" t="n">
        <f aca="false">('Chi phí'!$C$77+'Chi phí'!$D$77*B987+'Chi phí'!$E$77*A987+'Giả định'!$B$15*('Chi phí'!$F$77+'Chi phí'!$G$77*B987+'Chi phí'!$H$77*A987))*(1+'Giả định'!$B$16)</f>
        <v>1155768680</v>
      </c>
      <c r="E987" s="25" t="n">
        <f aca="false">A987/'Giả định'!$B$19*'Giả định'!$B$20+A987*'Giả định'!$B$23+'Giả định'!$B$24</f>
        <v>365568067.226891</v>
      </c>
      <c r="F987" s="25" t="n">
        <f aca="false">E987-D987</f>
        <v>-790200612.773109</v>
      </c>
      <c r="G987" s="25" t="n">
        <f aca="false">E987-C987</f>
        <v>-646595612.773109</v>
      </c>
      <c r="H987" s="7" t="str">
        <f aca="false">IF(F987&gt;=0,A987,"")</f>
        <v/>
      </c>
      <c r="I987" s="7" t="n">
        <f aca="false">IF(F987&lt;0,A987,0)</f>
        <v>982</v>
      </c>
      <c r="J987" s="7" t="str">
        <f aca="false">IF(G987&gt;=0,A987,"")</f>
        <v/>
      </c>
      <c r="K987" s="7" t="n">
        <f aca="false">IF(G987&lt;0,A987,0)</f>
        <v>982</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1012200420</v>
      </c>
      <c r="D988" s="25" t="n">
        <f aca="false">('Chi phí'!$C$77+'Chi phí'!$D$77*B988+'Chi phí'!$E$77*A988+'Giả định'!$B$15*('Chi phí'!$F$77+'Chi phí'!$G$77*B988+'Chi phí'!$H$77*A988))*(1+'Giả định'!$B$16)</f>
        <v>1155805420</v>
      </c>
      <c r="E988" s="25" t="n">
        <f aca="false">A988/'Giả định'!$B$19*'Giả định'!$B$20+A988*'Giả định'!$B$23+'Giả định'!$B$24</f>
        <v>365940336.134454</v>
      </c>
      <c r="F988" s="25" t="n">
        <f aca="false">E988-D988</f>
        <v>-789865083.865546</v>
      </c>
      <c r="G988" s="25" t="n">
        <f aca="false">E988-C988</f>
        <v>-646260083.865546</v>
      </c>
      <c r="H988" s="7" t="str">
        <f aca="false">IF(F988&gt;=0,A988,"")</f>
        <v/>
      </c>
      <c r="I988" s="7" t="n">
        <f aca="false">IF(F988&lt;0,A988,0)</f>
        <v>983</v>
      </c>
      <c r="J988" s="7" t="str">
        <f aca="false">IF(G988&gt;=0,A988,"")</f>
        <v/>
      </c>
      <c r="K988" s="7" t="n">
        <f aca="false">IF(G988&lt;0,A988,0)</f>
        <v>983</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1012237160</v>
      </c>
      <c r="D989" s="25" t="n">
        <f aca="false">('Chi phí'!$C$77+'Chi phí'!$D$77*B989+'Chi phí'!$E$77*A989+'Giả định'!$B$15*('Chi phí'!$F$77+'Chi phí'!$G$77*B989+'Chi phí'!$H$77*A989))*(1+'Giả định'!$B$16)</f>
        <v>1155842160</v>
      </c>
      <c r="E989" s="25" t="n">
        <f aca="false">A989/'Giả định'!$B$19*'Giả định'!$B$20+A989*'Giả định'!$B$23+'Giả định'!$B$24</f>
        <v>366312605.042017</v>
      </c>
      <c r="F989" s="25" t="n">
        <f aca="false">E989-D989</f>
        <v>-789529554.957983</v>
      </c>
      <c r="G989" s="25" t="n">
        <f aca="false">E989-C989</f>
        <v>-645924554.957983</v>
      </c>
      <c r="H989" s="7" t="str">
        <f aca="false">IF(F989&gt;=0,A989,"")</f>
        <v/>
      </c>
      <c r="I989" s="7" t="n">
        <f aca="false">IF(F989&lt;0,A989,0)</f>
        <v>984</v>
      </c>
      <c r="J989" s="7" t="str">
        <f aca="false">IF(G989&gt;=0,A989,"")</f>
        <v/>
      </c>
      <c r="K989" s="7" t="n">
        <f aca="false">IF(G989&lt;0,A989,0)</f>
        <v>984</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1012273900</v>
      </c>
      <c r="D990" s="25" t="n">
        <f aca="false">('Chi phí'!$C$77+'Chi phí'!$D$77*B990+'Chi phí'!$E$77*A990+'Giả định'!$B$15*('Chi phí'!$F$77+'Chi phí'!$G$77*B990+'Chi phí'!$H$77*A990))*(1+'Giả định'!$B$16)</f>
        <v>1155878900</v>
      </c>
      <c r="E990" s="25" t="n">
        <f aca="false">A990/'Giả định'!$B$19*'Giả định'!$B$20+A990*'Giả định'!$B$23+'Giả định'!$B$24</f>
        <v>366684873.94958</v>
      </c>
      <c r="F990" s="25" t="n">
        <f aca="false">E990-D990</f>
        <v>-789194026.05042</v>
      </c>
      <c r="G990" s="25" t="n">
        <f aca="false">E990-C990</f>
        <v>-645589026.05042</v>
      </c>
      <c r="H990" s="7" t="str">
        <f aca="false">IF(F990&gt;=0,A990,"")</f>
        <v/>
      </c>
      <c r="I990" s="7" t="n">
        <f aca="false">IF(F990&lt;0,A990,0)</f>
        <v>985</v>
      </c>
      <c r="J990" s="7" t="str">
        <f aca="false">IF(G990&gt;=0,A990,"")</f>
        <v/>
      </c>
      <c r="K990" s="7" t="n">
        <f aca="false">IF(G990&lt;0,A990,0)</f>
        <v>985</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1012310640</v>
      </c>
      <c r="D991" s="25" t="n">
        <f aca="false">('Chi phí'!$C$77+'Chi phí'!$D$77*B991+'Chi phí'!$E$77*A991+'Giả định'!$B$15*('Chi phí'!$F$77+'Chi phí'!$G$77*B991+'Chi phí'!$H$77*A991))*(1+'Giả định'!$B$16)</f>
        <v>1155915640</v>
      </c>
      <c r="E991" s="25" t="n">
        <f aca="false">A991/'Giả định'!$B$19*'Giả định'!$B$20+A991*'Giả định'!$B$23+'Giả định'!$B$24</f>
        <v>367057142.857143</v>
      </c>
      <c r="F991" s="25" t="n">
        <f aca="false">E991-D991</f>
        <v>-788858497.142857</v>
      </c>
      <c r="G991" s="25" t="n">
        <f aca="false">E991-C991</f>
        <v>-645253497.142857</v>
      </c>
      <c r="H991" s="7" t="str">
        <f aca="false">IF(F991&gt;=0,A991,"")</f>
        <v/>
      </c>
      <c r="I991" s="7" t="n">
        <f aca="false">IF(F991&lt;0,A991,0)</f>
        <v>986</v>
      </c>
      <c r="J991" s="7" t="str">
        <f aca="false">IF(G991&gt;=0,A991,"")</f>
        <v/>
      </c>
      <c r="K991" s="7" t="n">
        <f aca="false">IF(G991&lt;0,A991,0)</f>
        <v>986</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1012347380</v>
      </c>
      <c r="D992" s="25" t="n">
        <f aca="false">('Chi phí'!$C$77+'Chi phí'!$D$77*B992+'Chi phí'!$E$77*A992+'Giả định'!$B$15*('Chi phí'!$F$77+'Chi phí'!$G$77*B992+'Chi phí'!$H$77*A992))*(1+'Giả định'!$B$16)</f>
        <v>1155952380</v>
      </c>
      <c r="E992" s="25" t="n">
        <f aca="false">A992/'Giả định'!$B$19*'Giả định'!$B$20+A992*'Giả định'!$B$23+'Giả định'!$B$24</f>
        <v>367429411.764706</v>
      </c>
      <c r="F992" s="25" t="n">
        <f aca="false">E992-D992</f>
        <v>-788522968.235294</v>
      </c>
      <c r="G992" s="25" t="n">
        <f aca="false">E992-C992</f>
        <v>-644917968.235294</v>
      </c>
      <c r="H992" s="7" t="str">
        <f aca="false">IF(F992&gt;=0,A992,"")</f>
        <v/>
      </c>
      <c r="I992" s="7" t="n">
        <f aca="false">IF(F992&lt;0,A992,0)</f>
        <v>987</v>
      </c>
      <c r="J992" s="7" t="str">
        <f aca="false">IF(G992&gt;=0,A992,"")</f>
        <v/>
      </c>
      <c r="K992" s="7" t="n">
        <f aca="false">IF(G992&lt;0,A992,0)</f>
        <v>987</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1012384120</v>
      </c>
      <c r="D993" s="25" t="n">
        <f aca="false">('Chi phí'!$C$77+'Chi phí'!$D$77*B993+'Chi phí'!$E$77*A993+'Giả định'!$B$15*('Chi phí'!$F$77+'Chi phí'!$G$77*B993+'Chi phí'!$H$77*A993))*(1+'Giả định'!$B$16)</f>
        <v>1155989120</v>
      </c>
      <c r="E993" s="25" t="n">
        <f aca="false">A993/'Giả định'!$B$19*'Giả định'!$B$20+A993*'Giả định'!$B$23+'Giả định'!$B$24</f>
        <v>367801680.672269</v>
      </c>
      <c r="F993" s="25" t="n">
        <f aca="false">E993-D993</f>
        <v>-788187439.327731</v>
      </c>
      <c r="G993" s="25" t="n">
        <f aca="false">E993-C993</f>
        <v>-644582439.327731</v>
      </c>
      <c r="H993" s="7" t="str">
        <f aca="false">IF(F993&gt;=0,A993,"")</f>
        <v/>
      </c>
      <c r="I993" s="7" t="n">
        <f aca="false">IF(F993&lt;0,A993,0)</f>
        <v>988</v>
      </c>
      <c r="J993" s="7" t="str">
        <f aca="false">IF(G993&gt;=0,A993,"")</f>
        <v/>
      </c>
      <c r="K993" s="7" t="n">
        <f aca="false">IF(G993&lt;0,A993,0)</f>
        <v>988</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1012420860</v>
      </c>
      <c r="D994" s="25" t="n">
        <f aca="false">('Chi phí'!$C$77+'Chi phí'!$D$77*B994+'Chi phí'!$E$77*A994+'Giả định'!$B$15*('Chi phí'!$F$77+'Chi phí'!$G$77*B994+'Chi phí'!$H$77*A994))*(1+'Giả định'!$B$16)</f>
        <v>1156025860</v>
      </c>
      <c r="E994" s="25" t="n">
        <f aca="false">A994/'Giả định'!$B$19*'Giả định'!$B$20+A994*'Giả định'!$B$23+'Giả định'!$B$24</f>
        <v>368173949.579832</v>
      </c>
      <c r="F994" s="25" t="n">
        <f aca="false">E994-D994</f>
        <v>-787851910.420168</v>
      </c>
      <c r="G994" s="25" t="n">
        <f aca="false">E994-C994</f>
        <v>-644246910.420168</v>
      </c>
      <c r="H994" s="7" t="str">
        <f aca="false">IF(F994&gt;=0,A994,"")</f>
        <v/>
      </c>
      <c r="I994" s="7" t="n">
        <f aca="false">IF(F994&lt;0,A994,0)</f>
        <v>989</v>
      </c>
      <c r="J994" s="7" t="str">
        <f aca="false">IF(G994&gt;=0,A994,"")</f>
        <v/>
      </c>
      <c r="K994" s="7" t="n">
        <f aca="false">IF(G994&lt;0,A994,0)</f>
        <v>989</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1012457600</v>
      </c>
      <c r="D995" s="25" t="n">
        <f aca="false">('Chi phí'!$C$77+'Chi phí'!$D$77*B995+'Chi phí'!$E$77*A995+'Giả định'!$B$15*('Chi phí'!$F$77+'Chi phí'!$G$77*B995+'Chi phí'!$H$77*A995))*(1+'Giả định'!$B$16)</f>
        <v>1156062600</v>
      </c>
      <c r="E995" s="25" t="n">
        <f aca="false">A995/'Giả định'!$B$19*'Giả định'!$B$20+A995*'Giả định'!$B$23+'Giả định'!$B$24</f>
        <v>368546218.487395</v>
      </c>
      <c r="F995" s="25" t="n">
        <f aca="false">E995-D995</f>
        <v>-787516381.512605</v>
      </c>
      <c r="G995" s="25" t="n">
        <f aca="false">E995-C995</f>
        <v>-643911381.512605</v>
      </c>
      <c r="H995" s="7" t="str">
        <f aca="false">IF(F995&gt;=0,A995,"")</f>
        <v/>
      </c>
      <c r="I995" s="7" t="n">
        <f aca="false">IF(F995&lt;0,A995,0)</f>
        <v>990</v>
      </c>
      <c r="J995" s="7" t="str">
        <f aca="false">IF(G995&gt;=0,A995,"")</f>
        <v/>
      </c>
      <c r="K995" s="7" t="n">
        <f aca="false">IF(G995&lt;0,A995,0)</f>
        <v>990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1021668340</v>
      </c>
      <c r="D996" s="25" t="n">
        <f aca="false">('Chi phí'!$C$77+'Chi phí'!$D$77*B996+'Chi phí'!$E$77*A996+'Giả định'!$B$15*('Chi phí'!$F$77+'Chi phí'!$G$77*B996+'Chi phí'!$H$77*A996))*(1+'Giả định'!$B$16)</f>
        <v>1165273340</v>
      </c>
      <c r="E996" s="25" t="n">
        <f aca="false">A996/'Giả định'!$B$19*'Giả định'!$B$20+A996*'Giả định'!$B$23+'Giả định'!$B$24</f>
        <v>368918487.394958</v>
      </c>
      <c r="F996" s="25" t="n">
        <f aca="false">E996-D996</f>
        <v>-796354852.605042</v>
      </c>
      <c r="G996" s="25" t="n">
        <f aca="false">E996-C996</f>
        <v>-652749852.605042</v>
      </c>
      <c r="H996" s="7" t="str">
        <f aca="false">IF(F996&gt;=0,A996,"")</f>
        <v/>
      </c>
      <c r="I996" s="7" t="n">
        <f aca="false">IF(F996&lt;0,A996,0)</f>
        <v>991</v>
      </c>
      <c r="J996" s="7" t="str">
        <f aca="false">IF(G996&gt;=0,A996,"")</f>
        <v/>
      </c>
      <c r="K996" s="7" t="n">
        <f aca="false">IF(G996&lt;0,A996,0)</f>
        <v>991</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1021705080</v>
      </c>
      <c r="D997" s="25" t="n">
        <f aca="false">('Chi phí'!$C$77+'Chi phí'!$D$77*B997+'Chi phí'!$E$77*A997+'Giả định'!$B$15*('Chi phí'!$F$77+'Chi phí'!$G$77*B997+'Chi phí'!$H$77*A997))*(1+'Giả định'!$B$16)</f>
        <v>1165310080</v>
      </c>
      <c r="E997" s="25" t="n">
        <f aca="false">A997/'Giả định'!$B$19*'Giả định'!$B$20+A997*'Giả định'!$B$23+'Giả định'!$B$24</f>
        <v>369290756.302521</v>
      </c>
      <c r="F997" s="25" t="n">
        <f aca="false">E997-D997</f>
        <v>-796019323.697479</v>
      </c>
      <c r="G997" s="25" t="n">
        <f aca="false">E997-C997</f>
        <v>-652414323.697479</v>
      </c>
      <c r="H997" s="7" t="str">
        <f aca="false">IF(F997&gt;=0,A997,"")</f>
        <v/>
      </c>
      <c r="I997" s="7" t="n">
        <f aca="false">IF(F997&lt;0,A997,0)</f>
        <v>992</v>
      </c>
      <c r="J997" s="7" t="str">
        <f aca="false">IF(G997&gt;=0,A997,"")</f>
        <v/>
      </c>
      <c r="K997" s="7" t="n">
        <f aca="false">IF(G997&lt;0,A997,0)</f>
        <v>992</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1021741820</v>
      </c>
      <c r="D998" s="25" t="n">
        <f aca="false">('Chi phí'!$C$77+'Chi phí'!$D$77*B998+'Chi phí'!$E$77*A998+'Giả định'!$B$15*('Chi phí'!$F$77+'Chi phí'!$G$77*B998+'Chi phí'!$H$77*A998))*(1+'Giả định'!$B$16)</f>
        <v>1165346820</v>
      </c>
      <c r="E998" s="25" t="n">
        <f aca="false">A998/'Giả định'!$B$19*'Giả định'!$B$20+A998*'Giả định'!$B$23+'Giả định'!$B$24</f>
        <v>369663025.210084</v>
      </c>
      <c r="F998" s="25" t="n">
        <f aca="false">E998-D998</f>
        <v>-795683794.789916</v>
      </c>
      <c r="G998" s="25" t="n">
        <f aca="false">E998-C998</f>
        <v>-652078794.789916</v>
      </c>
      <c r="H998" s="7" t="str">
        <f aca="false">IF(F998&gt;=0,A998,"")</f>
        <v/>
      </c>
      <c r="I998" s="7" t="n">
        <f aca="false">IF(F998&lt;0,A998,0)</f>
        <v>993</v>
      </c>
      <c r="J998" s="7" t="str">
        <f aca="false">IF(G998&gt;=0,A998,"")</f>
        <v/>
      </c>
      <c r="K998" s="7" t="n">
        <f aca="false">IF(G998&lt;0,A998,0)</f>
        <v>993</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1021778560</v>
      </c>
      <c r="D999" s="25" t="n">
        <f aca="false">('Chi phí'!$C$77+'Chi phí'!$D$77*B999+'Chi phí'!$E$77*A999+'Giả định'!$B$15*('Chi phí'!$F$77+'Chi phí'!$G$77*B999+'Chi phí'!$H$77*A999))*(1+'Giả định'!$B$16)</f>
        <v>1165383560</v>
      </c>
      <c r="E999" s="25" t="n">
        <f aca="false">A999/'Giả định'!$B$19*'Giả định'!$B$20+A999*'Giả định'!$B$23+'Giả định'!$B$24</f>
        <v>370035294.117647</v>
      </c>
      <c r="F999" s="25" t="n">
        <f aca="false">E999-D999</f>
        <v>-795348265.882353</v>
      </c>
      <c r="G999" s="25" t="n">
        <f aca="false">E999-C999</f>
        <v>-651743265.882353</v>
      </c>
      <c r="H999" s="7" t="str">
        <f aca="false">IF(F999&gt;=0,A999,"")</f>
        <v/>
      </c>
      <c r="I999" s="7" t="n">
        <f aca="false">IF(F999&lt;0,A999,0)</f>
        <v>994</v>
      </c>
      <c r="J999" s="7" t="str">
        <f aca="false">IF(G999&gt;=0,A999,"")</f>
        <v/>
      </c>
      <c r="K999" s="7" t="n">
        <f aca="false">IF(G999&lt;0,A999,0)</f>
        <v>994</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1021815300</v>
      </c>
      <c r="D1000" s="25" t="n">
        <f aca="false">('Chi phí'!$C$77+'Chi phí'!$D$77*B1000+'Chi phí'!$E$77*A1000+'Giả định'!$B$15*('Chi phí'!$F$77+'Chi phí'!$G$77*B1000+'Chi phí'!$H$77*A1000))*(1+'Giả định'!$B$16)</f>
        <v>1165420300</v>
      </c>
      <c r="E1000" s="25" t="n">
        <f aca="false">A1000/'Giả định'!$B$19*'Giả định'!$B$20+A1000*'Giả định'!$B$23+'Giả định'!$B$24</f>
        <v>370407563.02521</v>
      </c>
      <c r="F1000" s="25" t="n">
        <f aca="false">E1000-D1000</f>
        <v>-795012736.97479</v>
      </c>
      <c r="G1000" s="25" t="n">
        <f aca="false">E1000-C1000</f>
        <v>-651407736.97479</v>
      </c>
      <c r="H1000" s="7" t="str">
        <f aca="false">IF(F1000&gt;=0,A1000,"")</f>
        <v/>
      </c>
      <c r="I1000" s="7" t="n">
        <f aca="false">IF(F1000&lt;0,A1000,0)</f>
        <v>995</v>
      </c>
      <c r="J1000" s="7" t="str">
        <f aca="false">IF(G1000&gt;=0,A1000,"")</f>
        <v/>
      </c>
      <c r="K1000" s="7" t="n">
        <f aca="false">IF(G1000&lt;0,A1000,0)</f>
        <v>995</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1021852040</v>
      </c>
      <c r="D1001" s="25" t="n">
        <f aca="false">('Chi phí'!$C$77+'Chi phí'!$D$77*B1001+'Chi phí'!$E$77*A1001+'Giả định'!$B$15*('Chi phí'!$F$77+'Chi phí'!$G$77*B1001+'Chi phí'!$H$77*A1001))*(1+'Giả định'!$B$16)</f>
        <v>1165457040</v>
      </c>
      <c r="E1001" s="25" t="n">
        <f aca="false">A1001/'Giả định'!$B$19*'Giả định'!$B$20+A1001*'Giả định'!$B$23+'Giả định'!$B$24</f>
        <v>370779831.932773</v>
      </c>
      <c r="F1001" s="25" t="n">
        <f aca="false">E1001-D1001</f>
        <v>-794677208.067227</v>
      </c>
      <c r="G1001" s="25" t="n">
        <f aca="false">E1001-C1001</f>
        <v>-651072208.067227</v>
      </c>
      <c r="H1001" s="7" t="str">
        <f aca="false">IF(F1001&gt;=0,A1001,"")</f>
        <v/>
      </c>
      <c r="I1001" s="7" t="n">
        <f aca="false">IF(F1001&lt;0,A1001,0)</f>
        <v>996</v>
      </c>
      <c r="J1001" s="7" t="str">
        <f aca="false">IF(G1001&gt;=0,A1001,"")</f>
        <v/>
      </c>
      <c r="K1001" s="7" t="n">
        <f aca="false">IF(G1001&lt;0,A1001,0)</f>
        <v>996</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1021888780</v>
      </c>
      <c r="D1002" s="25" t="n">
        <f aca="false">('Chi phí'!$C$77+'Chi phí'!$D$77*B1002+'Chi phí'!$E$77*A1002+'Giả định'!$B$15*('Chi phí'!$F$77+'Chi phí'!$G$77*B1002+'Chi phí'!$H$77*A1002))*(1+'Giả định'!$B$16)</f>
        <v>1165493780</v>
      </c>
      <c r="E1002" s="25" t="n">
        <f aca="false">A1002/'Giả định'!$B$19*'Giả định'!$B$20+A1002*'Giả định'!$B$23+'Giả định'!$B$24</f>
        <v>371152100.840336</v>
      </c>
      <c r="F1002" s="25" t="n">
        <f aca="false">E1002-D1002</f>
        <v>-794341679.159664</v>
      </c>
      <c r="G1002" s="25" t="n">
        <f aca="false">E1002-C1002</f>
        <v>-650736679.159664</v>
      </c>
      <c r="H1002" s="7" t="str">
        <f aca="false">IF(F1002&gt;=0,A1002,"")</f>
        <v/>
      </c>
      <c r="I1002" s="7" t="n">
        <f aca="false">IF(F1002&lt;0,A1002,0)</f>
        <v>997</v>
      </c>
      <c r="J1002" s="7" t="str">
        <f aca="false">IF(G1002&gt;=0,A1002,"")</f>
        <v/>
      </c>
      <c r="K1002" s="7" t="n">
        <f aca="false">IF(G1002&lt;0,A1002,0)</f>
        <v>997</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1021925520</v>
      </c>
      <c r="D1003" s="25" t="n">
        <f aca="false">('Chi phí'!$C$77+'Chi phí'!$D$77*B1003+'Chi phí'!$E$77*A1003+'Giả định'!$B$15*('Chi phí'!$F$77+'Chi phí'!$G$77*B1003+'Chi phí'!$H$77*A1003))*(1+'Giả định'!$B$16)</f>
        <v>1165530520</v>
      </c>
      <c r="E1003" s="25" t="n">
        <f aca="false">A1003/'Giả định'!$B$19*'Giả định'!$B$20+A1003*'Giả định'!$B$23+'Giả định'!$B$24</f>
        <v>371524369.747899</v>
      </c>
      <c r="F1003" s="25" t="n">
        <f aca="false">E1003-D1003</f>
        <v>-794006150.252101</v>
      </c>
      <c r="G1003" s="25" t="n">
        <f aca="false">E1003-C1003</f>
        <v>-650401150.252101</v>
      </c>
      <c r="H1003" s="7" t="str">
        <f aca="false">IF(F1003&gt;=0,A1003,"")</f>
        <v/>
      </c>
      <c r="I1003" s="7" t="n">
        <f aca="false">IF(F1003&lt;0,A1003,0)</f>
        <v>998</v>
      </c>
      <c r="J1003" s="7" t="str">
        <f aca="false">IF(G1003&gt;=0,A1003,"")</f>
        <v/>
      </c>
      <c r="K1003" s="7" t="n">
        <f aca="false">IF(G1003&lt;0,A1003,0)</f>
        <v>998</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1021962260</v>
      </c>
      <c r="D1004" s="25" t="n">
        <f aca="false">('Chi phí'!$C$77+'Chi phí'!$D$77*B1004+'Chi phí'!$E$77*A1004+'Giả định'!$B$15*('Chi phí'!$F$77+'Chi phí'!$G$77*B1004+'Chi phí'!$H$77*A1004))*(1+'Giả định'!$B$16)</f>
        <v>1165567260</v>
      </c>
      <c r="E1004" s="25" t="n">
        <f aca="false">A1004/'Giả định'!$B$19*'Giả định'!$B$20+A1004*'Giả định'!$B$23+'Giả định'!$B$24</f>
        <v>371896638.655462</v>
      </c>
      <c r="F1004" s="25" t="n">
        <f aca="false">E1004-D1004</f>
        <v>-793670621.344538</v>
      </c>
      <c r="G1004" s="25" t="n">
        <f aca="false">E1004-C1004</f>
        <v>-650065621.344538</v>
      </c>
      <c r="H1004" s="7" t="str">
        <f aca="false">IF(F1004&gt;=0,A1004,"")</f>
        <v/>
      </c>
      <c r="I1004" s="7" t="n">
        <f aca="false">IF(F1004&lt;0,A1004,0)</f>
        <v>999</v>
      </c>
      <c r="J1004" s="7" t="str">
        <f aca="false">IF(G1004&gt;=0,A1004,"")</f>
        <v/>
      </c>
      <c r="K1004" s="7" t="n">
        <f aca="false">IF(G1004&lt;0,A1004,0)</f>
        <v>999</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1021999000</v>
      </c>
      <c r="D1005" s="25" t="n">
        <f aca="false">('Chi phí'!$C$77+'Chi phí'!$D$77*B1005+'Chi phí'!$E$77*A1005+'Giả định'!$B$15*('Chi phí'!$F$77+'Chi phí'!$G$77*B1005+'Chi phí'!$H$77*A1005))*(1+'Giả định'!$B$16)</f>
        <v>1165604000</v>
      </c>
      <c r="E1005" s="25" t="n">
        <f aca="false">A1005/'Giả định'!$B$19*'Giả định'!$B$20+A1005*'Giả định'!$B$23+'Giả định'!$B$24</f>
        <v>372268907.563025</v>
      </c>
      <c r="F1005" s="25" t="n">
        <f aca="false">E1005-D1005</f>
        <v>-793335092.436975</v>
      </c>
      <c r="G1005" s="25" t="n">
        <f aca="false">E1005-C1005</f>
        <v>-649730092.436975</v>
      </c>
      <c r="H1005" s="7" t="str">
        <f aca="false">IF(F1005&gt;=0,A1005,"")</f>
        <v/>
      </c>
      <c r="I1005" s="7" t="n">
        <f aca="false">IF(F1005&lt;0,A1005,0)</f>
        <v>1000</v>
      </c>
      <c r="J1005" s="7" t="str">
        <f aca="false">IF(G1005&gt;=0,A1005,"")</f>
        <v/>
      </c>
      <c r="K1005" s="7" t="n">
        <f aca="false">IF(G1005&lt;0,A1005,0)</f>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2026-10-23T21:55:33Z</dcterms:created>
  <dc:creator>openpyxl</dc:creator>
  <dc:description/>
  <dc:language>en-US</dc:language>
  <cp:lastModifiedBy/>
  <dcterms:modified xsi:type="dcterms:W3CDTF">2026-10-23T21:55:38Z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